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drawings/drawing5.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7" codeName="{643B0D74-A683-FBA9-23B4-8A0AA6E0B6B9}"/>
  <workbookPr codeName="ThisWorkbook"/>
  <mc:AlternateContent xmlns:mc="http://schemas.openxmlformats.org/markup-compatibility/2006">
    <mc:Choice Requires="x15">
      <x15ac:absPath xmlns:x15ac="http://schemas.microsoft.com/office/spreadsheetml/2010/11/ac" url="/Users/desferetpaul/Desktop/"/>
    </mc:Choice>
  </mc:AlternateContent>
  <xr:revisionPtr revIDLastSave="0" documentId="8_{B894612A-7EB7-1E4E-B3BD-98B53C27874E}" xr6:coauthVersionLast="47" xr6:coauthVersionMax="47" xr10:uidLastSave="{00000000-0000-0000-0000-000000000000}"/>
  <bookViews>
    <workbookView xWindow="10100" yWindow="740" windowWidth="19300" windowHeight="15620" firstSheet="6" activeTab="12" xr2:uid="{00000000-000D-0000-FFFF-FFFF00000000}"/>
  </bookViews>
  <sheets>
    <sheet name="Data" sheetId="1" r:id="rId1"/>
    <sheet name="Adj. Closing" sheetId="2" r:id="rId2"/>
    <sheet name="Correlation" sheetId="3" r:id="rId3"/>
    <sheet name="Covariance Matrix" sheetId="4" r:id="rId4"/>
    <sheet name="Returns-VOL" sheetId="5" r:id="rId5"/>
    <sheet name="Efficient Frontier" sheetId="6" r:id="rId6"/>
    <sheet name="B.5-B.6-B.7" sheetId="7" r:id="rId7"/>
    <sheet name="C.1-C.2-C.3" sheetId="8" r:id="rId8"/>
    <sheet name="MARKET" sheetId="9" r:id="rId9"/>
    <sheet name="INTERBANK" sheetId="10" r:id="rId10"/>
    <sheet name="Companies" sheetId="11" r:id="rId11"/>
    <sheet name="data vba" sheetId="24" r:id="rId12"/>
    <sheet name="returns vol VBA" sheetId="25" r:id="rId13"/>
    <sheet name="Covariance Matrix VBA" sheetId="26" r:id="rId14"/>
    <sheet name="AIRBUS" sheetId="12" r:id="rId15"/>
    <sheet name="BNP" sheetId="13" r:id="rId16"/>
    <sheet name="CAPGEMINI" sheetId="14" r:id="rId17"/>
    <sheet name="DANONE" sheetId="15" r:id="rId18"/>
    <sheet name="ENGIE" sheetId="16" r:id="rId19"/>
    <sheet name="HERMES INTL" sheetId="17" r:id="rId20"/>
    <sheet name="PERNOD RICARD" sheetId="18" r:id="rId21"/>
    <sheet name="RENAULT" sheetId="19" r:id="rId22"/>
    <sheet name="SANOFI" sheetId="20" r:id="rId23"/>
    <sheet name="SCHNEIDER ELECTRIC" sheetId="21" r:id="rId24"/>
    <sheet name="TOTALENERGIES" sheetId="22" r:id="rId25"/>
    <sheet name="VINCI" sheetId="23" r:id="rId26"/>
  </sheets>
  <definedNames>
    <definedName name="coin_cuttype" localSheetId="5" hidden="1">1</definedName>
    <definedName name="coin_dualtol" localSheetId="5" hidden="1">"0.0000001"</definedName>
    <definedName name="coin_heurs" localSheetId="5" hidden="1">1</definedName>
    <definedName name="coin_integerpresolve" localSheetId="5" hidden="1">1</definedName>
    <definedName name="coin_presolve1" localSheetId="5" hidden="1">1</definedName>
    <definedName name="coin_primaltol" localSheetId="5" hidden="1">"0.0000001"</definedName>
    <definedName name="solver_adj" localSheetId="6" hidden="1">'B.5-B.6-B.7'!$N$28:$N$39</definedName>
    <definedName name="solver_adj" localSheetId="5" hidden="1">'Efficient Frontier'!$E$46:$E$57</definedName>
    <definedName name="solver_cvg" localSheetId="6" hidden="1">0.0001</definedName>
    <definedName name="solver_cvg" localSheetId="5" hidden="1">"""""""""""""""""""""""""""""""""""""""""""""""""""""""""""""""""""""""""""""""""""""""""""""""""""""""""""""""""""""""""""""""0.0001"""""""""""""""""""""""""""""""""""""""""""""""""""""""""""""""""""""""""""""""""""""""""""""""""""""""""""""""""""""""""""""""</definedName>
    <definedName name="solver_drv" localSheetId="6" hidden="1">1</definedName>
    <definedName name="solver_drv" localSheetId="5" hidden="1">1</definedName>
    <definedName name="solver_eng" localSheetId="14" hidden="1">1</definedName>
    <definedName name="solver_eng" localSheetId="6" hidden="1">1</definedName>
    <definedName name="solver_eng" localSheetId="2" hidden="1">0</definedName>
    <definedName name="solver_eng" localSheetId="3" hidden="1">0</definedName>
    <definedName name="solver_eng" localSheetId="0" hidden="1">0</definedName>
    <definedName name="solver_eng" localSheetId="5" hidden="1">1</definedName>
    <definedName name="solver_eng" localSheetId="4" hidden="1">0</definedName>
    <definedName name="solver_est" localSheetId="5" hidden="1">1</definedName>
    <definedName name="solver_itr" localSheetId="6" hidden="1">2147483647</definedName>
    <definedName name="solver_itr" localSheetId="5" hidden="1">2147483647</definedName>
    <definedName name="solver_kiv" localSheetId="5" hidden="1">2E+30</definedName>
    <definedName name="solver_lhs1" localSheetId="6" hidden="1">'B.5-B.6-B.7'!$N$40</definedName>
    <definedName name="solver_lhs1" localSheetId="5" hidden="1">'Efficient Frontier'!$E$58</definedName>
    <definedName name="solver_lhs2" localSheetId="5" hidden="1">'Efficient Frontier'!$E$60</definedName>
    <definedName name="solver_lhs3" localSheetId="5" hidden="1">'Efficient Frontier'!#REF!</definedName>
    <definedName name="solver_lin" localSheetId="14" hidden="1">2</definedName>
    <definedName name="solver_lin" localSheetId="6" hidden="1">2</definedName>
    <definedName name="solver_lin" localSheetId="5" hidden="1">2</definedName>
    <definedName name="solver_mip" localSheetId="6" hidden="1">2147483647</definedName>
    <definedName name="solver_mip" localSheetId="5" hidden="1">2147483647</definedName>
    <definedName name="solver_mni" localSheetId="6" hidden="1">30</definedName>
    <definedName name="solver_mni" localSheetId="5" hidden="1">30</definedName>
    <definedName name="solver_mrt" localSheetId="6" hidden="1">0.075</definedName>
    <definedName name="solver_mrt" localSheetId="5" hidden="1">"""""""""""""""""""""""""""""""""""""""""""""""""""""""""""""""""""""""""""""""""""""""""""""""""""""""""""""""""""""""""""""""0.075"""""""""""""""""""""""""""""""""""""""""""""""""""""""""""""""""""""""""""""""""""""""""""""""""""""""""""""""""""""""""""""""</definedName>
    <definedName name="solver_msl" localSheetId="6" hidden="1">2</definedName>
    <definedName name="solver_msl" localSheetId="5" hidden="1">2</definedName>
    <definedName name="solver_neg" localSheetId="14" hidden="1">1</definedName>
    <definedName name="solver_neg" localSheetId="6" hidden="1">2</definedName>
    <definedName name="solver_neg" localSheetId="5" hidden="1">2</definedName>
    <definedName name="solver_nod" localSheetId="6" hidden="1">2147483647</definedName>
    <definedName name="solver_nod" localSheetId="5" hidden="1">2147483647</definedName>
    <definedName name="solver_num" localSheetId="14" hidden="1">0</definedName>
    <definedName name="solver_num" localSheetId="6" hidden="1">1</definedName>
    <definedName name="solver_num" localSheetId="5" hidden="1">2</definedName>
    <definedName name="solver_nwt" localSheetId="5" hidden="1">1</definedName>
    <definedName name="solver_opt" localSheetId="14" hidden="1">AIRBUS!$D$2</definedName>
    <definedName name="solver_opt" localSheetId="6" hidden="1">'B.5-B.6-B.7'!$N$45</definedName>
    <definedName name="solver_opt" localSheetId="5" hidden="1">'Efficient Frontier'!$E$61</definedName>
    <definedName name="solver_pre" localSheetId="6" hidden="1">0.000001</definedName>
    <definedName name="solver_pre" localSheetId="5" hidden="1">"""""""""""""""""""""""""""""""""""""""""""""""""""""""""""""""""""""""""""""""""""""""""""""""""""""""""""""""""""""""""""""""0.000001"""""""""""""""""""""""""""""""""""""""""""""""""""""""""""""""""""""""""""""""""""""""""""""""""""""""""""""""""""""""""""""""</definedName>
    <definedName name="solver_rbv" localSheetId="6" hidden="1">1</definedName>
    <definedName name="solver_rbv" localSheetId="5" hidden="1">1</definedName>
    <definedName name="solver_rel1" localSheetId="6" hidden="1">2</definedName>
    <definedName name="solver_rel1" localSheetId="5" hidden="1">2</definedName>
    <definedName name="solver_rel2" localSheetId="5" hidden="1">2</definedName>
    <definedName name="solver_rel3" localSheetId="5" hidden="1">2</definedName>
    <definedName name="solver_rhs1" localSheetId="6" hidden="1">1</definedName>
    <definedName name="solver_rhs1" localSheetId="5" hidden="1">1</definedName>
    <definedName name="solver_rhs2" localSheetId="5" hidden="1">'Efficient Frontier'!$E$45</definedName>
    <definedName name="solver_rhs3" localSheetId="5" hidden="1">'Efficient Frontier'!#REF!</definedName>
    <definedName name="solver_rlx" localSheetId="6" hidden="1">2</definedName>
    <definedName name="solver_rlx" localSheetId="5" hidden="1">2</definedName>
    <definedName name="solver_rsd" localSheetId="6" hidden="1">0</definedName>
    <definedName name="solver_rsd" localSheetId="5" hidden="1">0</definedName>
    <definedName name="solver_rxv" localSheetId="5" hidden="1">1</definedName>
    <definedName name="solver_scl" localSheetId="6" hidden="1">1</definedName>
    <definedName name="solver_scl" localSheetId="5" hidden="1">2</definedName>
    <definedName name="solver_sho" localSheetId="6" hidden="1">2</definedName>
    <definedName name="solver_sho" localSheetId="5" hidden="1">2</definedName>
    <definedName name="solver_ssz" localSheetId="6" hidden="1">100</definedName>
    <definedName name="solver_ssz" localSheetId="5" hidden="1">100</definedName>
    <definedName name="solver_tim" localSheetId="6" hidden="1">2147483647</definedName>
    <definedName name="solver_tim" localSheetId="5" hidden="1">2147483647</definedName>
    <definedName name="solver_tms" localSheetId="5" hidden="1">0</definedName>
    <definedName name="solver_tol" localSheetId="6" hidden="1">0.01</definedName>
    <definedName name="solver_tol" localSheetId="5" hidden="1">0</definedName>
    <definedName name="solver_typ" localSheetId="14" hidden="1">1</definedName>
    <definedName name="solver_typ" localSheetId="6" hidden="1">1</definedName>
    <definedName name="solver_typ" localSheetId="5" hidden="1">2</definedName>
    <definedName name="solver_val" localSheetId="14" hidden="1">0</definedName>
    <definedName name="solver_val" localSheetId="6" hidden="1">0</definedName>
    <definedName name="solver_val" localSheetId="5" hidden="1">0</definedName>
    <definedName name="solver_ver" localSheetId="14" hidden="1">2</definedName>
    <definedName name="solver_ver" localSheetId="6" hidden="1">2</definedName>
    <definedName name="solver_ver" localSheetId="5" hidden="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83" i="23" l="1"/>
  <c r="D182" i="23"/>
  <c r="D181" i="23"/>
  <c r="D180" i="23"/>
  <c r="D179" i="23"/>
  <c r="D178" i="23"/>
  <c r="D177" i="23"/>
  <c r="D176" i="23"/>
  <c r="D175" i="23"/>
  <c r="D174" i="23"/>
  <c r="D173" i="23"/>
  <c r="D172" i="23"/>
  <c r="D171" i="23"/>
  <c r="D170" i="23"/>
  <c r="D169" i="23"/>
  <c r="D168" i="23"/>
  <c r="D167" i="23"/>
  <c r="D166" i="23"/>
  <c r="D165" i="23"/>
  <c r="D164" i="23"/>
  <c r="D163" i="23"/>
  <c r="D162" i="23"/>
  <c r="D161" i="23"/>
  <c r="D160" i="23"/>
  <c r="D159" i="23"/>
  <c r="D158" i="23"/>
  <c r="D157" i="23"/>
  <c r="D156" i="23"/>
  <c r="D155" i="23"/>
  <c r="D154" i="23"/>
  <c r="D153" i="23"/>
  <c r="D152" i="23"/>
  <c r="D151" i="23"/>
  <c r="D150" i="23"/>
  <c r="D149" i="23"/>
  <c r="D148" i="23"/>
  <c r="D147" i="23"/>
  <c r="D146" i="23"/>
  <c r="D145" i="23"/>
  <c r="D144" i="23"/>
  <c r="D143" i="23"/>
  <c r="D142" i="23"/>
  <c r="D141" i="23"/>
  <c r="D140" i="23"/>
  <c r="D139" i="23"/>
  <c r="D138" i="23"/>
  <c r="D137" i="23"/>
  <c r="D136" i="23"/>
  <c r="D135" i="23"/>
  <c r="D134" i="23"/>
  <c r="D133" i="23"/>
  <c r="D132" i="23"/>
  <c r="D131" i="23"/>
  <c r="D130" i="23"/>
  <c r="D129" i="23"/>
  <c r="D128" i="23"/>
  <c r="D127" i="23"/>
  <c r="D126" i="23"/>
  <c r="D125" i="23"/>
  <c r="D124" i="23"/>
  <c r="D123" i="23"/>
  <c r="D122" i="23"/>
  <c r="D121" i="23"/>
  <c r="D120" i="23"/>
  <c r="D119" i="23"/>
  <c r="D118" i="23"/>
  <c r="D117" i="23"/>
  <c r="D116" i="23"/>
  <c r="D115" i="23"/>
  <c r="D114" i="23"/>
  <c r="D113" i="23"/>
  <c r="D112" i="23"/>
  <c r="D111" i="23"/>
  <c r="D110" i="23"/>
  <c r="D109" i="23"/>
  <c r="D108" i="23"/>
  <c r="D107" i="23"/>
  <c r="D106" i="23"/>
  <c r="D105" i="23"/>
  <c r="D104" i="23"/>
  <c r="D103" i="23"/>
  <c r="D102" i="23"/>
  <c r="D101" i="23"/>
  <c r="D100" i="23"/>
  <c r="D99" i="23"/>
  <c r="D98" i="23"/>
  <c r="D97" i="23"/>
  <c r="D96" i="23"/>
  <c r="D95" i="23"/>
  <c r="D94" i="23"/>
  <c r="D93" i="23"/>
  <c r="D92" i="23"/>
  <c r="D91" i="23"/>
  <c r="D90" i="23"/>
  <c r="D89" i="23"/>
  <c r="D88" i="23"/>
  <c r="D87" i="23"/>
  <c r="D86" i="23"/>
  <c r="D85" i="23"/>
  <c r="D84" i="23"/>
  <c r="D83" i="23"/>
  <c r="D82" i="23"/>
  <c r="D81" i="23"/>
  <c r="D80" i="23"/>
  <c r="D79" i="23"/>
  <c r="D78" i="23"/>
  <c r="D77" i="23"/>
  <c r="D76" i="23"/>
  <c r="D75" i="23"/>
  <c r="D74" i="23"/>
  <c r="D73" i="23"/>
  <c r="D72" i="23"/>
  <c r="D71" i="23"/>
  <c r="D70" i="23"/>
  <c r="D69" i="23"/>
  <c r="D68" i="23"/>
  <c r="D67" i="23"/>
  <c r="D66" i="23"/>
  <c r="D65" i="23"/>
  <c r="D64" i="23"/>
  <c r="D63" i="23"/>
  <c r="D62" i="23"/>
  <c r="D61" i="23"/>
  <c r="D60" i="23"/>
  <c r="D59" i="23"/>
  <c r="D58" i="23"/>
  <c r="D57" i="23"/>
  <c r="D56" i="23"/>
  <c r="D55" i="23"/>
  <c r="D54" i="23"/>
  <c r="D53" i="23"/>
  <c r="D52" i="23"/>
  <c r="D51" i="23"/>
  <c r="D50" i="23"/>
  <c r="D49" i="23"/>
  <c r="D48" i="23"/>
  <c r="D47" i="23"/>
  <c r="D46" i="23"/>
  <c r="D45" i="23"/>
  <c r="D44" i="23"/>
  <c r="D43" i="23"/>
  <c r="D42" i="23"/>
  <c r="D41" i="23"/>
  <c r="D40" i="23"/>
  <c r="D39" i="23"/>
  <c r="D38" i="23"/>
  <c r="D37" i="23"/>
  <c r="D36" i="23"/>
  <c r="D35" i="23"/>
  <c r="D34" i="23"/>
  <c r="D33" i="23"/>
  <c r="D32" i="23"/>
  <c r="D31" i="23"/>
  <c r="D30" i="23"/>
  <c r="D29" i="23"/>
  <c r="D28" i="23"/>
  <c r="D27" i="23"/>
  <c r="D26" i="23"/>
  <c r="D25" i="23"/>
  <c r="D24" i="23"/>
  <c r="D23" i="23"/>
  <c r="D22" i="23"/>
  <c r="D21" i="23"/>
  <c r="D20" i="23"/>
  <c r="D19" i="23"/>
  <c r="D18" i="23"/>
  <c r="D17" i="23"/>
  <c r="D16" i="23"/>
  <c r="D15" i="23"/>
  <c r="D14" i="23"/>
  <c r="D13" i="23"/>
  <c r="D12" i="23"/>
  <c r="D11" i="23"/>
  <c r="D10" i="23"/>
  <c r="D9" i="23"/>
  <c r="D8" i="23"/>
  <c r="D7" i="23"/>
  <c r="D6" i="23"/>
  <c r="D5" i="23"/>
  <c r="D4" i="23"/>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183" i="21"/>
  <c r="D182" i="21"/>
  <c r="D181" i="21"/>
  <c r="D180" i="21"/>
  <c r="D179" i="21"/>
  <c r="D178" i="21"/>
  <c r="D177" i="21"/>
  <c r="D176" i="21"/>
  <c r="D175" i="21"/>
  <c r="D174" i="21"/>
  <c r="D173" i="21"/>
  <c r="D172" i="21"/>
  <c r="D171" i="21"/>
  <c r="D170" i="21"/>
  <c r="D169" i="21"/>
  <c r="D168" i="21"/>
  <c r="D167" i="21"/>
  <c r="D166" i="21"/>
  <c r="D165" i="21"/>
  <c r="D164" i="21"/>
  <c r="D163" i="21"/>
  <c r="D162" i="21"/>
  <c r="D161" i="21"/>
  <c r="D160" i="21"/>
  <c r="D159" i="21"/>
  <c r="D158" i="21"/>
  <c r="D157" i="21"/>
  <c r="D156" i="21"/>
  <c r="D155" i="21"/>
  <c r="D154" i="21"/>
  <c r="D153" i="21"/>
  <c r="D152" i="21"/>
  <c r="D151" i="21"/>
  <c r="D150" i="21"/>
  <c r="D149" i="21"/>
  <c r="D148" i="21"/>
  <c r="D147" i="21"/>
  <c r="D146" i="21"/>
  <c r="D145" i="21"/>
  <c r="D144" i="21"/>
  <c r="D143" i="21"/>
  <c r="D142" i="21"/>
  <c r="D141" i="21"/>
  <c r="D140" i="21"/>
  <c r="D139" i="21"/>
  <c r="D138" i="21"/>
  <c r="D137" i="21"/>
  <c r="D136" i="21"/>
  <c r="D135" i="21"/>
  <c r="D134" i="21"/>
  <c r="D133" i="21"/>
  <c r="D132" i="21"/>
  <c r="D131" i="21"/>
  <c r="D130" i="21"/>
  <c r="D129" i="21"/>
  <c r="D128" i="21"/>
  <c r="D127" i="21"/>
  <c r="D126" i="21"/>
  <c r="D125" i="21"/>
  <c r="D124" i="21"/>
  <c r="D123" i="21"/>
  <c r="D122" i="21"/>
  <c r="D121" i="21"/>
  <c r="D120" i="21"/>
  <c r="D119" i="21"/>
  <c r="D118" i="21"/>
  <c r="D117" i="21"/>
  <c r="D116" i="21"/>
  <c r="D115" i="21"/>
  <c r="D114" i="21"/>
  <c r="D113" i="21"/>
  <c r="D112" i="21"/>
  <c r="D111" i="21"/>
  <c r="D110" i="21"/>
  <c r="D109" i="21"/>
  <c r="D108" i="21"/>
  <c r="D107" i="21"/>
  <c r="D106" i="21"/>
  <c r="D105" i="21"/>
  <c r="D104" i="21"/>
  <c r="D103" i="21"/>
  <c r="D102" i="21"/>
  <c r="D101" i="21"/>
  <c r="D100" i="21"/>
  <c r="D99" i="21"/>
  <c r="D98" i="21"/>
  <c r="D97" i="21"/>
  <c r="D96" i="21"/>
  <c r="D95" i="21"/>
  <c r="D94" i="21"/>
  <c r="D93" i="21"/>
  <c r="D92" i="21"/>
  <c r="D91" i="21"/>
  <c r="D90" i="21"/>
  <c r="D89" i="21"/>
  <c r="D88" i="21"/>
  <c r="D87" i="21"/>
  <c r="D86" i="21"/>
  <c r="D85" i="21"/>
  <c r="D84" i="21"/>
  <c r="D83" i="21"/>
  <c r="D82" i="21"/>
  <c r="D81" i="21"/>
  <c r="D80" i="21"/>
  <c r="D79" i="21"/>
  <c r="D78" i="21"/>
  <c r="D77" i="21"/>
  <c r="D76" i="21"/>
  <c r="D75" i="21"/>
  <c r="D74" i="21"/>
  <c r="D73" i="21"/>
  <c r="D72" i="21"/>
  <c r="D71" i="21"/>
  <c r="D70" i="21"/>
  <c r="D69" i="21"/>
  <c r="D68" i="21"/>
  <c r="D67" i="21"/>
  <c r="D66" i="21"/>
  <c r="D65" i="21"/>
  <c r="D64" i="21"/>
  <c r="D63" i="21"/>
  <c r="D62" i="21"/>
  <c r="D61" i="21"/>
  <c r="D60" i="21"/>
  <c r="D59" i="21"/>
  <c r="D58" i="21"/>
  <c r="D57" i="21"/>
  <c r="D56" i="21"/>
  <c r="D55" i="21"/>
  <c r="D54" i="21"/>
  <c r="D53" i="21"/>
  <c r="D52" i="21"/>
  <c r="D51" i="21"/>
  <c r="D50" i="21"/>
  <c r="D49" i="21"/>
  <c r="D48" i="21"/>
  <c r="D47" i="21"/>
  <c r="D46" i="21"/>
  <c r="D45" i="21"/>
  <c r="D44" i="21"/>
  <c r="D43" i="21"/>
  <c r="D42" i="21"/>
  <c r="D41" i="21"/>
  <c r="D40" i="21"/>
  <c r="D39" i="21"/>
  <c r="D38" i="21"/>
  <c r="D37" i="21"/>
  <c r="D36" i="21"/>
  <c r="D35" i="21"/>
  <c r="D34" i="21"/>
  <c r="D33" i="21"/>
  <c r="D32" i="21"/>
  <c r="D31" i="21"/>
  <c r="D30" i="21"/>
  <c r="D29" i="21"/>
  <c r="D28" i="21"/>
  <c r="D27" i="21"/>
  <c r="D26" i="21"/>
  <c r="D25" i="21"/>
  <c r="D24" i="21"/>
  <c r="D23" i="21"/>
  <c r="D22" i="21"/>
  <c r="D21" i="21"/>
  <c r="D20" i="21"/>
  <c r="D19" i="21"/>
  <c r="D18" i="21"/>
  <c r="D17" i="21"/>
  <c r="D16" i="21"/>
  <c r="D15" i="21"/>
  <c r="D14" i="21"/>
  <c r="D13" i="21"/>
  <c r="D12" i="21"/>
  <c r="D11" i="21"/>
  <c r="D10" i="21"/>
  <c r="D9" i="21"/>
  <c r="D8" i="21"/>
  <c r="D7" i="21"/>
  <c r="D6" i="21"/>
  <c r="D5" i="21"/>
  <c r="D4" i="21"/>
  <c r="D183" i="20"/>
  <c r="D182" i="20"/>
  <c r="D181" i="20"/>
  <c r="D180" i="20"/>
  <c r="D179" i="20"/>
  <c r="D178" i="20"/>
  <c r="D177" i="20"/>
  <c r="D176" i="20"/>
  <c r="D175" i="20"/>
  <c r="D174" i="20"/>
  <c r="D173" i="20"/>
  <c r="D172" i="20"/>
  <c r="D171" i="20"/>
  <c r="D170" i="20"/>
  <c r="D169" i="20"/>
  <c r="D168" i="20"/>
  <c r="D167" i="20"/>
  <c r="D166" i="20"/>
  <c r="D165" i="20"/>
  <c r="D164" i="20"/>
  <c r="D163" i="20"/>
  <c r="D162" i="20"/>
  <c r="D161" i="20"/>
  <c r="D160" i="20"/>
  <c r="D159" i="20"/>
  <c r="D158" i="20"/>
  <c r="D157" i="20"/>
  <c r="D156" i="20"/>
  <c r="D155" i="20"/>
  <c r="D154" i="20"/>
  <c r="D153" i="20"/>
  <c r="D152" i="20"/>
  <c r="D151" i="20"/>
  <c r="D150" i="20"/>
  <c r="D149" i="20"/>
  <c r="D148" i="20"/>
  <c r="D147" i="20"/>
  <c r="D146" i="20"/>
  <c r="D145" i="20"/>
  <c r="D144" i="20"/>
  <c r="D143" i="20"/>
  <c r="D142" i="20"/>
  <c r="D141" i="20"/>
  <c r="D140" i="20"/>
  <c r="D139" i="20"/>
  <c r="D138" i="20"/>
  <c r="D137" i="20"/>
  <c r="D136" i="20"/>
  <c r="D135" i="20"/>
  <c r="D134" i="20"/>
  <c r="D133" i="20"/>
  <c r="D132" i="20"/>
  <c r="D131" i="20"/>
  <c r="D130" i="20"/>
  <c r="D129" i="20"/>
  <c r="D128" i="20"/>
  <c r="D127" i="20"/>
  <c r="D126" i="20"/>
  <c r="D125" i="20"/>
  <c r="D124" i="20"/>
  <c r="D123" i="20"/>
  <c r="D122" i="20"/>
  <c r="D121" i="20"/>
  <c r="D120" i="20"/>
  <c r="D119" i="20"/>
  <c r="D118" i="20"/>
  <c r="D117" i="20"/>
  <c r="D116" i="20"/>
  <c r="D115" i="20"/>
  <c r="D114" i="20"/>
  <c r="D113" i="20"/>
  <c r="D112" i="20"/>
  <c r="D111" i="20"/>
  <c r="D110" i="20"/>
  <c r="D109" i="20"/>
  <c r="D108" i="20"/>
  <c r="D107" i="20"/>
  <c r="D106" i="20"/>
  <c r="D105" i="20"/>
  <c r="D104" i="20"/>
  <c r="D103" i="20"/>
  <c r="D102" i="20"/>
  <c r="D101" i="20"/>
  <c r="D100" i="20"/>
  <c r="D99" i="20"/>
  <c r="D98" i="20"/>
  <c r="D97" i="20"/>
  <c r="D96" i="20"/>
  <c r="D95" i="20"/>
  <c r="D94" i="20"/>
  <c r="D93" i="20"/>
  <c r="D92" i="20"/>
  <c r="D91" i="20"/>
  <c r="D90" i="20"/>
  <c r="D89" i="20"/>
  <c r="D88" i="20"/>
  <c r="D87" i="20"/>
  <c r="D86" i="20"/>
  <c r="D85" i="20"/>
  <c r="D84" i="20"/>
  <c r="D83" i="20"/>
  <c r="D82" i="20"/>
  <c r="D81" i="20"/>
  <c r="D80" i="20"/>
  <c r="D79" i="20"/>
  <c r="D78" i="20"/>
  <c r="D77" i="20"/>
  <c r="D76" i="20"/>
  <c r="D75" i="20"/>
  <c r="D74" i="20"/>
  <c r="D73" i="20"/>
  <c r="D72" i="20"/>
  <c r="D71" i="20"/>
  <c r="D70" i="20"/>
  <c r="D69" i="20"/>
  <c r="D68" i="20"/>
  <c r="D67" i="20"/>
  <c r="D66" i="20"/>
  <c r="D65" i="20"/>
  <c r="D64" i="20"/>
  <c r="D63" i="20"/>
  <c r="D62" i="20"/>
  <c r="D61" i="20"/>
  <c r="D60" i="20"/>
  <c r="D59" i="20"/>
  <c r="D58" i="20"/>
  <c r="D57" i="20"/>
  <c r="D56" i="20"/>
  <c r="D55" i="20"/>
  <c r="D54" i="20"/>
  <c r="D53" i="20"/>
  <c r="D52" i="20"/>
  <c r="D51" i="20"/>
  <c r="D50" i="20"/>
  <c r="D49" i="20"/>
  <c r="D48" i="20"/>
  <c r="D47" i="20"/>
  <c r="D46" i="20"/>
  <c r="D45" i="20"/>
  <c r="D44" i="20"/>
  <c r="D43" i="20"/>
  <c r="D42" i="20"/>
  <c r="D41" i="20"/>
  <c r="D40" i="20"/>
  <c r="D39" i="20"/>
  <c r="D38" i="20"/>
  <c r="D37" i="20"/>
  <c r="D36" i="20"/>
  <c r="D35" i="20"/>
  <c r="D34" i="20"/>
  <c r="D33" i="20"/>
  <c r="D32" i="20"/>
  <c r="D31" i="20"/>
  <c r="D30" i="20"/>
  <c r="D29" i="20"/>
  <c r="D28" i="20"/>
  <c r="D27" i="20"/>
  <c r="D26" i="20"/>
  <c r="D25" i="20"/>
  <c r="D24" i="20"/>
  <c r="D23" i="20"/>
  <c r="D22" i="20"/>
  <c r="D21" i="20"/>
  <c r="D20" i="20"/>
  <c r="D19" i="20"/>
  <c r="D18" i="20"/>
  <c r="D17" i="20"/>
  <c r="D16" i="20"/>
  <c r="D15" i="20"/>
  <c r="D14" i="20"/>
  <c r="D13" i="20"/>
  <c r="D12" i="20"/>
  <c r="D11" i="20"/>
  <c r="D10" i="20"/>
  <c r="D9" i="20"/>
  <c r="D8" i="20"/>
  <c r="D7" i="20"/>
  <c r="D6" i="20"/>
  <c r="D5" i="20"/>
  <c r="D4" i="20"/>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D158" i="18"/>
  <c r="D157" i="18"/>
  <c r="D156" i="18"/>
  <c r="D155" i="18"/>
  <c r="D154" i="18"/>
  <c r="D153" i="18"/>
  <c r="D152" i="18"/>
  <c r="D151" i="18"/>
  <c r="D150" i="18"/>
  <c r="D149" i="18"/>
  <c r="D148" i="18"/>
  <c r="D147" i="18"/>
  <c r="D146" i="18"/>
  <c r="D145" i="18"/>
  <c r="D144" i="18"/>
  <c r="D143" i="18"/>
  <c r="D142" i="18"/>
  <c r="D141" i="18"/>
  <c r="D140" i="18"/>
  <c r="D139" i="18"/>
  <c r="D138" i="18"/>
  <c r="D137" i="18"/>
  <c r="D136" i="18"/>
  <c r="D135" i="18"/>
  <c r="D134" i="18"/>
  <c r="D133" i="18"/>
  <c r="D132" i="18"/>
  <c r="D131" i="18"/>
  <c r="D130" i="18"/>
  <c r="D129" i="18"/>
  <c r="D128" i="18"/>
  <c r="D127" i="18"/>
  <c r="D126" i="18"/>
  <c r="D125" i="18"/>
  <c r="D124" i="18"/>
  <c r="D123" i="18"/>
  <c r="D122" i="18"/>
  <c r="D121" i="18"/>
  <c r="D120" i="18"/>
  <c r="D119" i="18"/>
  <c r="D118" i="18"/>
  <c r="D117" i="18"/>
  <c r="D116" i="18"/>
  <c r="D115" i="18"/>
  <c r="D114" i="18"/>
  <c r="D113" i="18"/>
  <c r="D112" i="18"/>
  <c r="D111" i="18"/>
  <c r="D110" i="18"/>
  <c r="D109" i="18"/>
  <c r="D108" i="18"/>
  <c r="D107" i="18"/>
  <c r="D106" i="18"/>
  <c r="D105" i="18"/>
  <c r="D104" i="18"/>
  <c r="D103" i="18"/>
  <c r="D102" i="18"/>
  <c r="D101" i="18"/>
  <c r="D100" i="18"/>
  <c r="D99" i="18"/>
  <c r="D98" i="18"/>
  <c r="D97" i="18"/>
  <c r="D96" i="18"/>
  <c r="D95" i="18"/>
  <c r="D94" i="18"/>
  <c r="D93" i="18"/>
  <c r="D92" i="18"/>
  <c r="D91" i="18"/>
  <c r="D90" i="18"/>
  <c r="D89" i="18"/>
  <c r="D88" i="18"/>
  <c r="D87" i="18"/>
  <c r="D86" i="18"/>
  <c r="D85" i="18"/>
  <c r="D84" i="18"/>
  <c r="D83" i="18"/>
  <c r="D82" i="18"/>
  <c r="D81" i="18"/>
  <c r="D80" i="18"/>
  <c r="D79" i="18"/>
  <c r="D78" i="18"/>
  <c r="D77" i="18"/>
  <c r="D76" i="18"/>
  <c r="D75" i="18"/>
  <c r="D74" i="18"/>
  <c r="D73" i="18"/>
  <c r="D72" i="18"/>
  <c r="D71" i="18"/>
  <c r="D70" i="18"/>
  <c r="D69" i="18"/>
  <c r="D68" i="18"/>
  <c r="D67" i="18"/>
  <c r="D66" i="18"/>
  <c r="D65" i="18"/>
  <c r="D64" i="18"/>
  <c r="D63" i="18"/>
  <c r="D62" i="18"/>
  <c r="D61" i="18"/>
  <c r="D60" i="18"/>
  <c r="D59" i="18"/>
  <c r="D58" i="18"/>
  <c r="D57" i="18"/>
  <c r="D56" i="18"/>
  <c r="D55" i="18"/>
  <c r="D54" i="18"/>
  <c r="D53" i="18"/>
  <c r="D52" i="18"/>
  <c r="D51" i="18"/>
  <c r="D50" i="18"/>
  <c r="D49" i="18"/>
  <c r="D48" i="18"/>
  <c r="D47" i="18"/>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D5" i="18"/>
  <c r="D4" i="18"/>
  <c r="D183" i="17"/>
  <c r="D182" i="17"/>
  <c r="D181" i="17"/>
  <c r="D180" i="17"/>
  <c r="D179" i="17"/>
  <c r="D178" i="17"/>
  <c r="D177" i="17"/>
  <c r="D176" i="17"/>
  <c r="D175" i="17"/>
  <c r="D174" i="17"/>
  <c r="D173" i="17"/>
  <c r="D172" i="17"/>
  <c r="D171" i="17"/>
  <c r="D170" i="17"/>
  <c r="D169" i="17"/>
  <c r="D168" i="17"/>
  <c r="D167" i="17"/>
  <c r="D166" i="17"/>
  <c r="D165" i="17"/>
  <c r="D164" i="17"/>
  <c r="D163" i="17"/>
  <c r="D162" i="17"/>
  <c r="D161" i="17"/>
  <c r="D160" i="17"/>
  <c r="D159" i="17"/>
  <c r="D158" i="17"/>
  <c r="D157" i="17"/>
  <c r="D156" i="17"/>
  <c r="D155" i="17"/>
  <c r="D154" i="17"/>
  <c r="D153" i="17"/>
  <c r="D152" i="17"/>
  <c r="D151" i="17"/>
  <c r="D150" i="17"/>
  <c r="D149" i="17"/>
  <c r="D148" i="17"/>
  <c r="D147" i="17"/>
  <c r="D146" i="17"/>
  <c r="D145" i="17"/>
  <c r="D144" i="17"/>
  <c r="D143" i="17"/>
  <c r="D142" i="17"/>
  <c r="D141" i="17"/>
  <c r="D140" i="17"/>
  <c r="D139" i="17"/>
  <c r="D138" i="17"/>
  <c r="D137" i="17"/>
  <c r="D136" i="17"/>
  <c r="D135" i="17"/>
  <c r="D134" i="17"/>
  <c r="D133" i="17"/>
  <c r="D132" i="17"/>
  <c r="D131" i="17"/>
  <c r="D130" i="17"/>
  <c r="D129" i="17"/>
  <c r="D128" i="17"/>
  <c r="D127" i="17"/>
  <c r="D126" i="17"/>
  <c r="D125" i="17"/>
  <c r="D124" i="17"/>
  <c r="D123" i="17"/>
  <c r="D122" i="17"/>
  <c r="D121" i="17"/>
  <c r="D120" i="17"/>
  <c r="D119" i="17"/>
  <c r="D118" i="17"/>
  <c r="D117" i="17"/>
  <c r="D116" i="17"/>
  <c r="D115" i="17"/>
  <c r="D114" i="17"/>
  <c r="D113" i="17"/>
  <c r="D112" i="17"/>
  <c r="D111" i="17"/>
  <c r="D110" i="17"/>
  <c r="D109" i="17"/>
  <c r="D108" i="17"/>
  <c r="D107" i="17"/>
  <c r="D106" i="17"/>
  <c r="D105" i="17"/>
  <c r="D104" i="17"/>
  <c r="D103" i="17"/>
  <c r="D102" i="17"/>
  <c r="D101" i="17"/>
  <c r="D100" i="17"/>
  <c r="D99" i="17"/>
  <c r="D98" i="17"/>
  <c r="D97" i="17"/>
  <c r="D96" i="17"/>
  <c r="D95" i="17"/>
  <c r="D94" i="17"/>
  <c r="D93" i="17"/>
  <c r="D92" i="17"/>
  <c r="D91" i="17"/>
  <c r="D90" i="17"/>
  <c r="D89" i="17"/>
  <c r="D88" i="17"/>
  <c r="D87" i="17"/>
  <c r="D86" i="17"/>
  <c r="D85" i="17"/>
  <c r="D84" i="17"/>
  <c r="D83" i="17"/>
  <c r="D82" i="17"/>
  <c r="D81" i="17"/>
  <c r="D80" i="17"/>
  <c r="D79" i="17"/>
  <c r="D78" i="17"/>
  <c r="D77" i="17"/>
  <c r="D76" i="17"/>
  <c r="D75" i="17"/>
  <c r="D74" i="17"/>
  <c r="D73" i="17"/>
  <c r="D72" i="17"/>
  <c r="D71" i="17"/>
  <c r="D70" i="17"/>
  <c r="D69" i="17"/>
  <c r="D68" i="17"/>
  <c r="D67" i="17"/>
  <c r="D66" i="17"/>
  <c r="D65" i="17"/>
  <c r="D64" i="17"/>
  <c r="D63" i="17"/>
  <c r="D62" i="17"/>
  <c r="D61" i="17"/>
  <c r="D60" i="17"/>
  <c r="D59" i="17"/>
  <c r="D58" i="17"/>
  <c r="D57" i="17"/>
  <c r="D56" i="17"/>
  <c r="D55" i="17"/>
  <c r="D54" i="17"/>
  <c r="D53" i="17"/>
  <c r="D52" i="17"/>
  <c r="D51" i="17"/>
  <c r="D50" i="17"/>
  <c r="D49" i="17"/>
  <c r="D48" i="17"/>
  <c r="D47" i="17"/>
  <c r="D46" i="17"/>
  <c r="D45" i="17"/>
  <c r="D44" i="17"/>
  <c r="D43" i="17"/>
  <c r="D42" i="17"/>
  <c r="D41" i="17"/>
  <c r="D40" i="17"/>
  <c r="D39" i="17"/>
  <c r="D38" i="17"/>
  <c r="D37" i="17"/>
  <c r="D36" i="17"/>
  <c r="D35" i="17"/>
  <c r="D34" i="17"/>
  <c r="D33" i="17"/>
  <c r="D32" i="17"/>
  <c r="D31" i="17"/>
  <c r="D30" i="17"/>
  <c r="D29" i="17"/>
  <c r="D28" i="17"/>
  <c r="D27" i="17"/>
  <c r="D26" i="17"/>
  <c r="D25" i="17"/>
  <c r="D24" i="17"/>
  <c r="D23" i="17"/>
  <c r="D22" i="17"/>
  <c r="D21" i="17"/>
  <c r="D20" i="17"/>
  <c r="D19" i="17"/>
  <c r="D18" i="17"/>
  <c r="D17" i="17"/>
  <c r="D16" i="17"/>
  <c r="D15" i="17"/>
  <c r="D14" i="17"/>
  <c r="D13" i="17"/>
  <c r="D12" i="17"/>
  <c r="D11" i="17"/>
  <c r="D10" i="17"/>
  <c r="D9" i="17"/>
  <c r="D8" i="17"/>
  <c r="D7" i="17"/>
  <c r="D6" i="17"/>
  <c r="D5" i="17"/>
  <c r="D4" i="17"/>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D52" i="16"/>
  <c r="D51" i="16"/>
  <c r="D50" i="16"/>
  <c r="D49"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D17" i="16"/>
  <c r="D16" i="16"/>
  <c r="D15" i="16"/>
  <c r="D14" i="16"/>
  <c r="D13" i="16"/>
  <c r="D12" i="16"/>
  <c r="D11" i="16"/>
  <c r="D10" i="16"/>
  <c r="D9" i="16"/>
  <c r="D8" i="16"/>
  <c r="D7" i="16"/>
  <c r="D6" i="16"/>
  <c r="D5" i="16"/>
  <c r="D4" i="16"/>
  <c r="D183" i="15"/>
  <c r="D182" i="15"/>
  <c r="D181" i="15"/>
  <c r="D180" i="15"/>
  <c r="D179" i="15"/>
  <c r="D178" i="15"/>
  <c r="D177" i="15"/>
  <c r="D176" i="15"/>
  <c r="D175" i="15"/>
  <c r="D174" i="15"/>
  <c r="D173" i="15"/>
  <c r="D172" i="15"/>
  <c r="D171" i="15"/>
  <c r="D170" i="15"/>
  <c r="D169" i="15"/>
  <c r="D168" i="15"/>
  <c r="D167" i="15"/>
  <c r="D166" i="15"/>
  <c r="D165" i="15"/>
  <c r="D164" i="15"/>
  <c r="D163" i="15"/>
  <c r="D162" i="15"/>
  <c r="D161" i="15"/>
  <c r="D160" i="15"/>
  <c r="D159" i="15"/>
  <c r="D158" i="15"/>
  <c r="D157" i="15"/>
  <c r="D156" i="15"/>
  <c r="D155" i="15"/>
  <c r="D154" i="15"/>
  <c r="D153" i="15"/>
  <c r="D152" i="15"/>
  <c r="D151" i="15"/>
  <c r="D150" i="15"/>
  <c r="D149" i="15"/>
  <c r="D148" i="15"/>
  <c r="D147" i="15"/>
  <c r="D146" i="15"/>
  <c r="D145" i="15"/>
  <c r="D144" i="15"/>
  <c r="D143" i="15"/>
  <c r="D142" i="15"/>
  <c r="D141" i="15"/>
  <c r="D140" i="15"/>
  <c r="D139" i="15"/>
  <c r="D138" i="15"/>
  <c r="D137" i="15"/>
  <c r="D136" i="15"/>
  <c r="D135" i="15"/>
  <c r="D134" i="15"/>
  <c r="D133" i="15"/>
  <c r="D132" i="15"/>
  <c r="D131" i="15"/>
  <c r="D130" i="15"/>
  <c r="D129" i="15"/>
  <c r="D128" i="15"/>
  <c r="D127" i="15"/>
  <c r="D126" i="15"/>
  <c r="D125" i="15"/>
  <c r="D124" i="15"/>
  <c r="D123" i="15"/>
  <c r="D122" i="15"/>
  <c r="D121" i="15"/>
  <c r="D120" i="15"/>
  <c r="D119" i="15"/>
  <c r="D118" i="15"/>
  <c r="D117" i="15"/>
  <c r="D116" i="15"/>
  <c r="D115" i="15"/>
  <c r="D114" i="15"/>
  <c r="D113" i="15"/>
  <c r="D112" i="15"/>
  <c r="D111" i="15"/>
  <c r="D110" i="15"/>
  <c r="D109" i="15"/>
  <c r="D108" i="15"/>
  <c r="D107" i="15"/>
  <c r="D106" i="15"/>
  <c r="D105" i="15"/>
  <c r="D104" i="15"/>
  <c r="D103" i="15"/>
  <c r="D102" i="15"/>
  <c r="D101" i="15"/>
  <c r="D100" i="15"/>
  <c r="D99" i="15"/>
  <c r="D98" i="15"/>
  <c r="D97" i="15"/>
  <c r="D96" i="15"/>
  <c r="D95" i="15"/>
  <c r="D94" i="15"/>
  <c r="D93" i="15"/>
  <c r="D92" i="15"/>
  <c r="D91" i="15"/>
  <c r="D90" i="15"/>
  <c r="D89" i="15"/>
  <c r="D88" i="15"/>
  <c r="D87" i="15"/>
  <c r="D86" i="15"/>
  <c r="D85" i="15"/>
  <c r="D84" i="15"/>
  <c r="D83" i="15"/>
  <c r="D82" i="15"/>
  <c r="D81" i="15"/>
  <c r="D80" i="15"/>
  <c r="D79" i="15"/>
  <c r="D78" i="15"/>
  <c r="D77" i="15"/>
  <c r="D76" i="15"/>
  <c r="D75" i="15"/>
  <c r="D74" i="15"/>
  <c r="D73" i="15"/>
  <c r="D72" i="15"/>
  <c r="D71" i="15"/>
  <c r="D70" i="15"/>
  <c r="D69" i="15"/>
  <c r="D68" i="15"/>
  <c r="D67" i="15"/>
  <c r="D66" i="15"/>
  <c r="D65" i="15"/>
  <c r="D64" i="15"/>
  <c r="D63" i="15"/>
  <c r="D62" i="15"/>
  <c r="D61" i="15"/>
  <c r="D60" i="15"/>
  <c r="D59" i="15"/>
  <c r="D58" i="15"/>
  <c r="D57" i="15"/>
  <c r="D56" i="15"/>
  <c r="D55" i="15"/>
  <c r="D54" i="15"/>
  <c r="D53" i="15"/>
  <c r="D52" i="15"/>
  <c r="D51" i="15"/>
  <c r="D50" i="15"/>
  <c r="D49" i="15"/>
  <c r="D48" i="15"/>
  <c r="D47" i="15"/>
  <c r="D46" i="15"/>
  <c r="D45" i="15"/>
  <c r="D44" i="15"/>
  <c r="D43" i="15"/>
  <c r="D42" i="15"/>
  <c r="D41" i="15"/>
  <c r="D40" i="15"/>
  <c r="D39" i="15"/>
  <c r="D38" i="15"/>
  <c r="D37" i="15"/>
  <c r="D36" i="15"/>
  <c r="D35" i="15"/>
  <c r="D34" i="15"/>
  <c r="D33" i="15"/>
  <c r="D32" i="15"/>
  <c r="D31" i="15"/>
  <c r="D30" i="15"/>
  <c r="D29" i="15"/>
  <c r="D28" i="15"/>
  <c r="D27" i="15"/>
  <c r="D26" i="15"/>
  <c r="D25" i="15"/>
  <c r="D24" i="15"/>
  <c r="D23" i="15"/>
  <c r="D22" i="15"/>
  <c r="D21" i="15"/>
  <c r="D20" i="15"/>
  <c r="D19" i="15"/>
  <c r="D18" i="15"/>
  <c r="D17" i="15"/>
  <c r="D16" i="15"/>
  <c r="D15" i="15"/>
  <c r="D14" i="15"/>
  <c r="D13" i="15"/>
  <c r="D12" i="15"/>
  <c r="D11" i="15"/>
  <c r="D10" i="15"/>
  <c r="D9" i="15"/>
  <c r="D8" i="15"/>
  <c r="D7" i="15"/>
  <c r="D6" i="15"/>
  <c r="D5" i="15"/>
  <c r="D4" i="15"/>
  <c r="D183" i="14"/>
  <c r="D182" i="14"/>
  <c r="D181" i="14"/>
  <c r="D180" i="14"/>
  <c r="D179" i="14"/>
  <c r="D178" i="14"/>
  <c r="D177" i="14"/>
  <c r="D176" i="14"/>
  <c r="D175" i="14"/>
  <c r="D174" i="14"/>
  <c r="D173" i="14"/>
  <c r="D172" i="14"/>
  <c r="D171" i="14"/>
  <c r="D170" i="14"/>
  <c r="D169" i="14"/>
  <c r="D168" i="14"/>
  <c r="D167" i="14"/>
  <c r="D166" i="14"/>
  <c r="D165" i="14"/>
  <c r="D164" i="14"/>
  <c r="D163" i="14"/>
  <c r="D162" i="14"/>
  <c r="D161" i="14"/>
  <c r="D160" i="14"/>
  <c r="D159" i="14"/>
  <c r="D158" i="14"/>
  <c r="D157" i="14"/>
  <c r="D156" i="14"/>
  <c r="D155" i="14"/>
  <c r="D154" i="14"/>
  <c r="D153" i="14"/>
  <c r="D152" i="14"/>
  <c r="D151" i="14"/>
  <c r="D150" i="14"/>
  <c r="D149" i="14"/>
  <c r="D148" i="14"/>
  <c r="D147" i="14"/>
  <c r="D146" i="14"/>
  <c r="D145" i="14"/>
  <c r="D144" i="14"/>
  <c r="D143" i="14"/>
  <c r="D142" i="14"/>
  <c r="D141" i="14"/>
  <c r="D140" i="14"/>
  <c r="D139" i="14"/>
  <c r="D138" i="14"/>
  <c r="D137" i="14"/>
  <c r="D136" i="14"/>
  <c r="D135" i="14"/>
  <c r="D134" i="14"/>
  <c r="D133" i="14"/>
  <c r="D132" i="14"/>
  <c r="D131" i="14"/>
  <c r="D130" i="14"/>
  <c r="D129" i="14"/>
  <c r="D128" i="14"/>
  <c r="D127" i="14"/>
  <c r="D126" i="14"/>
  <c r="D125" i="14"/>
  <c r="D124" i="14"/>
  <c r="D123" i="14"/>
  <c r="D122" i="14"/>
  <c r="D121" i="14"/>
  <c r="D120" i="14"/>
  <c r="D119" i="14"/>
  <c r="D118" i="14"/>
  <c r="D117" i="14"/>
  <c r="D116" i="14"/>
  <c r="D115" i="14"/>
  <c r="D114" i="14"/>
  <c r="D113" i="14"/>
  <c r="D112" i="14"/>
  <c r="D111" i="14"/>
  <c r="D110" i="14"/>
  <c r="D109" i="14"/>
  <c r="D108" i="14"/>
  <c r="D107" i="14"/>
  <c r="D106" i="14"/>
  <c r="D105" i="14"/>
  <c r="D104" i="14"/>
  <c r="D103" i="14"/>
  <c r="D102" i="14"/>
  <c r="D101" i="14"/>
  <c r="D100" i="14"/>
  <c r="D99" i="14"/>
  <c r="D98" i="14"/>
  <c r="D97" i="14"/>
  <c r="D96" i="14"/>
  <c r="D95" i="14"/>
  <c r="D94" i="14"/>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104" i="13"/>
  <c r="D103" i="13"/>
  <c r="D102" i="13"/>
  <c r="D101" i="13"/>
  <c r="D100" i="13"/>
  <c r="D99" i="13"/>
  <c r="D98" i="13"/>
  <c r="D97"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D4" i="13"/>
  <c r="D183" i="12"/>
  <c r="D182" i="12"/>
  <c r="D181" i="12"/>
  <c r="D180" i="12"/>
  <c r="D179" i="12"/>
  <c r="D178" i="12"/>
  <c r="D177" i="12"/>
  <c r="D176" i="12"/>
  <c r="D175" i="12"/>
  <c r="D174" i="12"/>
  <c r="D173" i="12"/>
  <c r="D172" i="12"/>
  <c r="D171" i="12"/>
  <c r="D170" i="12"/>
  <c r="D169" i="12"/>
  <c r="D168" i="12"/>
  <c r="D167" i="12"/>
  <c r="D166" i="12"/>
  <c r="D165" i="12"/>
  <c r="D164" i="12"/>
  <c r="D163" i="12"/>
  <c r="D162" i="12"/>
  <c r="D161" i="12"/>
  <c r="D160" i="12"/>
  <c r="D159" i="12"/>
  <c r="D158" i="12"/>
  <c r="D157" i="12"/>
  <c r="D156" i="12"/>
  <c r="D155" i="12"/>
  <c r="D154" i="12"/>
  <c r="D153" i="12"/>
  <c r="D152" i="12"/>
  <c r="D151" i="12"/>
  <c r="D150" i="12"/>
  <c r="D149" i="12"/>
  <c r="D148" i="12"/>
  <c r="D147" i="12"/>
  <c r="D146" i="12"/>
  <c r="D145"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108" i="12"/>
  <c r="D107" i="12"/>
  <c r="D106" i="12"/>
  <c r="D105" i="12"/>
  <c r="D104" i="12"/>
  <c r="D103" i="12"/>
  <c r="D102" i="12"/>
  <c r="D101" i="12"/>
  <c r="D100" i="12"/>
  <c r="D99" i="12"/>
  <c r="D98" i="12"/>
  <c r="D97" i="12"/>
  <c r="D96" i="12"/>
  <c r="D95" i="12"/>
  <c r="D94" i="12"/>
  <c r="D93" i="12"/>
  <c r="D92" i="12"/>
  <c r="D91" i="12"/>
  <c r="D90" i="12"/>
  <c r="D89" i="12"/>
  <c r="D88" i="12"/>
  <c r="D87" i="12"/>
  <c r="D86" i="12"/>
  <c r="D85" i="12"/>
  <c r="D84" i="12"/>
  <c r="D83" i="12"/>
  <c r="D82" i="12"/>
  <c r="D81" i="12"/>
  <c r="D80" i="12"/>
  <c r="D79" i="12"/>
  <c r="D78" i="12"/>
  <c r="D77" i="12"/>
  <c r="D76" i="12"/>
  <c r="D75" i="12"/>
  <c r="D74" i="12"/>
  <c r="D73" i="12"/>
  <c r="D72" i="12"/>
  <c r="D71" i="12"/>
  <c r="D70" i="12"/>
  <c r="D69" i="12"/>
  <c r="D68" i="12"/>
  <c r="D67" i="12"/>
  <c r="D66" i="12"/>
  <c r="D65" i="12"/>
  <c r="D64" i="12"/>
  <c r="D63" i="12"/>
  <c r="D62" i="12"/>
  <c r="D61" i="12"/>
  <c r="D60" i="12"/>
  <c r="D59" i="12"/>
  <c r="D58" i="12"/>
  <c r="D57" i="12"/>
  <c r="D56" i="12"/>
  <c r="D55" i="12"/>
  <c r="D54" i="12"/>
  <c r="D53" i="12"/>
  <c r="D52" i="12"/>
  <c r="D51" i="12"/>
  <c r="D50" i="12"/>
  <c r="D49" i="12"/>
  <c r="D48" i="12"/>
  <c r="D47" i="12"/>
  <c r="D46" i="12"/>
  <c r="D45" i="12"/>
  <c r="D44" i="12"/>
  <c r="D43" i="12"/>
  <c r="D42" i="12"/>
  <c r="D41" i="12"/>
  <c r="D40" i="12"/>
  <c r="D39" i="12"/>
  <c r="D38" i="12"/>
  <c r="D37" i="12"/>
  <c r="D36" i="12"/>
  <c r="D35" i="12"/>
  <c r="D34" i="12"/>
  <c r="D33" i="12"/>
  <c r="D32" i="12"/>
  <c r="D31" i="12"/>
  <c r="D30" i="12"/>
  <c r="D29" i="12"/>
  <c r="D28" i="12"/>
  <c r="D27" i="12"/>
  <c r="D26" i="12"/>
  <c r="D25" i="12"/>
  <c r="D24" i="12"/>
  <c r="D23" i="12"/>
  <c r="D22" i="12"/>
  <c r="D21" i="12"/>
  <c r="D20" i="12"/>
  <c r="D19" i="12"/>
  <c r="D18" i="12"/>
  <c r="D17" i="12"/>
  <c r="D16" i="12"/>
  <c r="D15" i="12"/>
  <c r="D14" i="12"/>
  <c r="D13" i="12"/>
  <c r="D12" i="12"/>
  <c r="D11" i="12"/>
  <c r="D10" i="12"/>
  <c r="D9" i="12"/>
  <c r="D8" i="12"/>
  <c r="D7" i="12"/>
  <c r="D6" i="12"/>
  <c r="D5" i="12"/>
  <c r="D4" i="12"/>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21" i="10"/>
  <c r="D20" i="10"/>
  <c r="D19" i="10"/>
  <c r="D18" i="10"/>
  <c r="D17" i="10"/>
  <c r="D16" i="10"/>
  <c r="D15" i="10"/>
  <c r="D14" i="10"/>
  <c r="D13" i="10"/>
  <c r="D12" i="10"/>
  <c r="D11" i="10"/>
  <c r="D10" i="10"/>
  <c r="D9" i="10"/>
  <c r="D8" i="10"/>
  <c r="D7" i="10"/>
  <c r="D6" i="10"/>
  <c r="D5" i="10"/>
  <c r="D4" i="10"/>
  <c r="D3" i="10"/>
  <c r="N40" i="7"/>
  <c r="H21" i="7"/>
  <c r="H40" i="7" s="1"/>
  <c r="G21" i="7"/>
  <c r="G40" i="7" s="1"/>
  <c r="F21" i="7"/>
  <c r="F40" i="7" s="1"/>
  <c r="E21" i="7"/>
  <c r="E40" i="7" s="1"/>
  <c r="D21" i="7"/>
  <c r="D40" i="7" s="1"/>
  <c r="C21" i="7"/>
  <c r="C40" i="7" s="1"/>
  <c r="H5" i="7"/>
  <c r="G5" i="7"/>
  <c r="F5" i="7"/>
  <c r="E5" i="7"/>
  <c r="D5" i="7"/>
  <c r="D51" i="7" s="1"/>
  <c r="C5" i="7"/>
  <c r="D57" i="7" s="1"/>
  <c r="H58" i="6"/>
  <c r="G58" i="6"/>
  <c r="F58" i="6"/>
  <c r="E58" i="6"/>
  <c r="D58" i="6"/>
  <c r="C58" i="6"/>
  <c r="N17" i="6"/>
  <c r="M17" i="6"/>
  <c r="L17" i="6"/>
  <c r="K17" i="6"/>
  <c r="J17" i="6"/>
  <c r="G17" i="6"/>
  <c r="C17" i="6"/>
  <c r="N202" i="5"/>
  <c r="M202" i="5"/>
  <c r="L202" i="5"/>
  <c r="K202" i="5"/>
  <c r="J202" i="5"/>
  <c r="I202" i="5"/>
  <c r="H202" i="5"/>
  <c r="G202" i="5"/>
  <c r="F202" i="5"/>
  <c r="E202" i="5"/>
  <c r="D202" i="5"/>
  <c r="C202" i="5"/>
  <c r="N185" i="5"/>
  <c r="M185" i="5"/>
  <c r="L185" i="5"/>
  <c r="K185" i="5"/>
  <c r="J185" i="5"/>
  <c r="I185" i="5"/>
  <c r="H185" i="5"/>
  <c r="G185" i="5"/>
  <c r="P185" i="5" s="1"/>
  <c r="F185" i="5"/>
  <c r="E185" i="5"/>
  <c r="D185" i="5"/>
  <c r="C185" i="5"/>
  <c r="N184" i="5"/>
  <c r="M184" i="5"/>
  <c r="L184" i="5"/>
  <c r="K184" i="5"/>
  <c r="J184" i="5"/>
  <c r="I184" i="5"/>
  <c r="H184" i="5"/>
  <c r="G184" i="5"/>
  <c r="P184" i="5" s="1"/>
  <c r="F184" i="5"/>
  <c r="E184" i="5"/>
  <c r="D184" i="5"/>
  <c r="C184" i="5"/>
  <c r="N183" i="5"/>
  <c r="M183" i="5"/>
  <c r="L183" i="5"/>
  <c r="K183" i="5"/>
  <c r="J183" i="5"/>
  <c r="I183" i="5"/>
  <c r="H183" i="5"/>
  <c r="G183" i="5"/>
  <c r="F183" i="5"/>
  <c r="E183" i="5"/>
  <c r="D183" i="5"/>
  <c r="P183" i="5" s="1"/>
  <c r="C183" i="5"/>
  <c r="N182" i="5"/>
  <c r="M182" i="5"/>
  <c r="L182" i="5"/>
  <c r="K182" i="5"/>
  <c r="J182" i="5"/>
  <c r="I182" i="5"/>
  <c r="H182" i="5"/>
  <c r="G182" i="5"/>
  <c r="F182" i="5"/>
  <c r="E182" i="5"/>
  <c r="P182" i="5" s="1"/>
  <c r="D182" i="5"/>
  <c r="C182" i="5"/>
  <c r="N181" i="5"/>
  <c r="M181" i="5"/>
  <c r="L181" i="5"/>
  <c r="K181" i="5"/>
  <c r="J181" i="5"/>
  <c r="I181" i="5"/>
  <c r="H181" i="5"/>
  <c r="G181" i="5"/>
  <c r="F181" i="5"/>
  <c r="E181" i="5"/>
  <c r="D181" i="5"/>
  <c r="C181" i="5"/>
  <c r="P181" i="5" s="1"/>
  <c r="N180" i="5"/>
  <c r="M180" i="5"/>
  <c r="L180" i="5"/>
  <c r="K180" i="5"/>
  <c r="J180" i="5"/>
  <c r="I180" i="5"/>
  <c r="H180" i="5"/>
  <c r="G180" i="5"/>
  <c r="F180" i="5"/>
  <c r="E180" i="5"/>
  <c r="D180" i="5"/>
  <c r="C180" i="5"/>
  <c r="P180" i="5" s="1"/>
  <c r="N179" i="5"/>
  <c r="M179" i="5"/>
  <c r="L179" i="5"/>
  <c r="K179" i="5"/>
  <c r="J179" i="5"/>
  <c r="I179" i="5"/>
  <c r="H179" i="5"/>
  <c r="G179" i="5"/>
  <c r="F179" i="5"/>
  <c r="E179" i="5"/>
  <c r="D179" i="5"/>
  <c r="C179" i="5"/>
  <c r="P179" i="5" s="1"/>
  <c r="N178" i="5"/>
  <c r="M178" i="5"/>
  <c r="L178" i="5"/>
  <c r="K178" i="5"/>
  <c r="J178" i="5"/>
  <c r="I178" i="5"/>
  <c r="H178" i="5"/>
  <c r="G178" i="5"/>
  <c r="F178" i="5"/>
  <c r="E178" i="5"/>
  <c r="D178" i="5"/>
  <c r="C178" i="5"/>
  <c r="P178" i="5" s="1"/>
  <c r="N177" i="5"/>
  <c r="M177" i="5"/>
  <c r="L177" i="5"/>
  <c r="K177" i="5"/>
  <c r="J177" i="5"/>
  <c r="I177" i="5"/>
  <c r="H177" i="5"/>
  <c r="G177" i="5"/>
  <c r="P177" i="5" s="1"/>
  <c r="F177" i="5"/>
  <c r="E177" i="5"/>
  <c r="D177" i="5"/>
  <c r="C177" i="5"/>
  <c r="N176" i="5"/>
  <c r="M176" i="5"/>
  <c r="L176" i="5"/>
  <c r="K176" i="5"/>
  <c r="J176" i="5"/>
  <c r="I176" i="5"/>
  <c r="H176" i="5"/>
  <c r="G176" i="5"/>
  <c r="P176" i="5" s="1"/>
  <c r="F176" i="5"/>
  <c r="E176" i="5"/>
  <c r="D176" i="5"/>
  <c r="C176" i="5"/>
  <c r="N175" i="5"/>
  <c r="M175" i="5"/>
  <c r="L175" i="5"/>
  <c r="K175" i="5"/>
  <c r="J175" i="5"/>
  <c r="I175" i="5"/>
  <c r="H175" i="5"/>
  <c r="G175" i="5"/>
  <c r="F175" i="5"/>
  <c r="E175" i="5"/>
  <c r="D175" i="5"/>
  <c r="P175" i="5" s="1"/>
  <c r="C175" i="5"/>
  <c r="N174" i="5"/>
  <c r="M174" i="5"/>
  <c r="L174" i="5"/>
  <c r="K174" i="5"/>
  <c r="J174" i="5"/>
  <c r="I174" i="5"/>
  <c r="H174" i="5"/>
  <c r="G174" i="5"/>
  <c r="F174" i="5"/>
  <c r="E174" i="5"/>
  <c r="P174" i="5" s="1"/>
  <c r="D174" i="5"/>
  <c r="C174" i="5"/>
  <c r="N173" i="5"/>
  <c r="M173" i="5"/>
  <c r="L173" i="5"/>
  <c r="K173" i="5"/>
  <c r="J173" i="5"/>
  <c r="I173" i="5"/>
  <c r="H173" i="5"/>
  <c r="G173" i="5"/>
  <c r="F173" i="5"/>
  <c r="E173" i="5"/>
  <c r="D173" i="5"/>
  <c r="C173" i="5"/>
  <c r="P173" i="5" s="1"/>
  <c r="N172" i="5"/>
  <c r="M172" i="5"/>
  <c r="L172" i="5"/>
  <c r="K172" i="5"/>
  <c r="J172" i="5"/>
  <c r="I172" i="5"/>
  <c r="H172" i="5"/>
  <c r="G172" i="5"/>
  <c r="F172" i="5"/>
  <c r="E172" i="5"/>
  <c r="D172" i="5"/>
  <c r="C172" i="5"/>
  <c r="P172" i="5" s="1"/>
  <c r="N171" i="5"/>
  <c r="M171" i="5"/>
  <c r="L171" i="5"/>
  <c r="K171" i="5"/>
  <c r="J171" i="5"/>
  <c r="I171" i="5"/>
  <c r="H171" i="5"/>
  <c r="G171" i="5"/>
  <c r="F171" i="5"/>
  <c r="E171" i="5"/>
  <c r="D171" i="5"/>
  <c r="C171" i="5"/>
  <c r="P171" i="5" s="1"/>
  <c r="N170" i="5"/>
  <c r="M170" i="5"/>
  <c r="L170" i="5"/>
  <c r="K170" i="5"/>
  <c r="J170" i="5"/>
  <c r="I170" i="5"/>
  <c r="H170" i="5"/>
  <c r="G170" i="5"/>
  <c r="F170" i="5"/>
  <c r="E170" i="5"/>
  <c r="D170" i="5"/>
  <c r="C170" i="5"/>
  <c r="P170" i="5" s="1"/>
  <c r="N169" i="5"/>
  <c r="M169" i="5"/>
  <c r="L169" i="5"/>
  <c r="K169" i="5"/>
  <c r="J169" i="5"/>
  <c r="I169" i="5"/>
  <c r="H169" i="5"/>
  <c r="G169" i="5"/>
  <c r="P169" i="5" s="1"/>
  <c r="F169" i="5"/>
  <c r="E169" i="5"/>
  <c r="D169" i="5"/>
  <c r="C169" i="5"/>
  <c r="N168" i="5"/>
  <c r="M168" i="5"/>
  <c r="L168" i="5"/>
  <c r="K168" i="5"/>
  <c r="J168" i="5"/>
  <c r="I168" i="5"/>
  <c r="H168" i="5"/>
  <c r="G168" i="5"/>
  <c r="P168" i="5" s="1"/>
  <c r="F168" i="5"/>
  <c r="E168" i="5"/>
  <c r="D168" i="5"/>
  <c r="C168" i="5"/>
  <c r="N167" i="5"/>
  <c r="M167" i="5"/>
  <c r="L167" i="5"/>
  <c r="K167" i="5"/>
  <c r="J167" i="5"/>
  <c r="I167" i="5"/>
  <c r="H167" i="5"/>
  <c r="G167" i="5"/>
  <c r="F167" i="5"/>
  <c r="E167" i="5"/>
  <c r="D167" i="5"/>
  <c r="P167" i="5" s="1"/>
  <c r="C167" i="5"/>
  <c r="N166" i="5"/>
  <c r="M166" i="5"/>
  <c r="L166" i="5"/>
  <c r="K166" i="5"/>
  <c r="J166" i="5"/>
  <c r="I166" i="5"/>
  <c r="H166" i="5"/>
  <c r="G166" i="5"/>
  <c r="F166" i="5"/>
  <c r="E166" i="5"/>
  <c r="P166" i="5" s="1"/>
  <c r="D166" i="5"/>
  <c r="C166" i="5"/>
  <c r="N165" i="5"/>
  <c r="M165" i="5"/>
  <c r="L165" i="5"/>
  <c r="K165" i="5"/>
  <c r="J165" i="5"/>
  <c r="I165" i="5"/>
  <c r="H165" i="5"/>
  <c r="G165" i="5"/>
  <c r="F165" i="5"/>
  <c r="E165" i="5"/>
  <c r="D165" i="5"/>
  <c r="C165" i="5"/>
  <c r="P165" i="5" s="1"/>
  <c r="N164" i="5"/>
  <c r="M164" i="5"/>
  <c r="L164" i="5"/>
  <c r="K164" i="5"/>
  <c r="J164" i="5"/>
  <c r="I164" i="5"/>
  <c r="H164" i="5"/>
  <c r="G164" i="5"/>
  <c r="F164" i="5"/>
  <c r="E164" i="5"/>
  <c r="D164" i="5"/>
  <c r="C164" i="5"/>
  <c r="P164" i="5" s="1"/>
  <c r="N163" i="5"/>
  <c r="M163" i="5"/>
  <c r="L163" i="5"/>
  <c r="K163" i="5"/>
  <c r="J163" i="5"/>
  <c r="I163" i="5"/>
  <c r="H163" i="5"/>
  <c r="G163" i="5"/>
  <c r="F163" i="5"/>
  <c r="E163" i="5"/>
  <c r="D163" i="5"/>
  <c r="C163" i="5"/>
  <c r="P163" i="5" s="1"/>
  <c r="N162" i="5"/>
  <c r="M162" i="5"/>
  <c r="L162" i="5"/>
  <c r="K162" i="5"/>
  <c r="J162" i="5"/>
  <c r="I162" i="5"/>
  <c r="H162" i="5"/>
  <c r="G162" i="5"/>
  <c r="F162" i="5"/>
  <c r="E162" i="5"/>
  <c r="D162" i="5"/>
  <c r="C162" i="5"/>
  <c r="P162" i="5" s="1"/>
  <c r="N161" i="5"/>
  <c r="M161" i="5"/>
  <c r="L161" i="5"/>
  <c r="K161" i="5"/>
  <c r="J161" i="5"/>
  <c r="I161" i="5"/>
  <c r="H161" i="5"/>
  <c r="G161" i="5"/>
  <c r="P161" i="5" s="1"/>
  <c r="F161" i="5"/>
  <c r="E161" i="5"/>
  <c r="D161" i="5"/>
  <c r="C161" i="5"/>
  <c r="N160" i="5"/>
  <c r="M160" i="5"/>
  <c r="L160" i="5"/>
  <c r="K160" i="5"/>
  <c r="J160" i="5"/>
  <c r="I160" i="5"/>
  <c r="H160" i="5"/>
  <c r="G160" i="5"/>
  <c r="P160" i="5" s="1"/>
  <c r="F160" i="5"/>
  <c r="E160" i="5"/>
  <c r="D160" i="5"/>
  <c r="C160" i="5"/>
  <c r="N159" i="5"/>
  <c r="M159" i="5"/>
  <c r="L159" i="5"/>
  <c r="K159" i="5"/>
  <c r="J159" i="5"/>
  <c r="I159" i="5"/>
  <c r="H159" i="5"/>
  <c r="G159" i="5"/>
  <c r="F159" i="5"/>
  <c r="E159" i="5"/>
  <c r="D159" i="5"/>
  <c r="P159" i="5" s="1"/>
  <c r="C159" i="5"/>
  <c r="N158" i="5"/>
  <c r="M158" i="5"/>
  <c r="L158" i="5"/>
  <c r="K158" i="5"/>
  <c r="J158" i="5"/>
  <c r="I158" i="5"/>
  <c r="H158" i="5"/>
  <c r="G158" i="5"/>
  <c r="F158" i="5"/>
  <c r="E158" i="5"/>
  <c r="P158" i="5" s="1"/>
  <c r="D158" i="5"/>
  <c r="C158" i="5"/>
  <c r="N157" i="5"/>
  <c r="M157" i="5"/>
  <c r="L157" i="5"/>
  <c r="K157" i="5"/>
  <c r="J157" i="5"/>
  <c r="I157" i="5"/>
  <c r="H157" i="5"/>
  <c r="G157" i="5"/>
  <c r="F157" i="5"/>
  <c r="E157" i="5"/>
  <c r="D157" i="5"/>
  <c r="C157" i="5"/>
  <c r="P157" i="5" s="1"/>
  <c r="N156" i="5"/>
  <c r="M156" i="5"/>
  <c r="L156" i="5"/>
  <c r="K156" i="5"/>
  <c r="J156" i="5"/>
  <c r="I156" i="5"/>
  <c r="H156" i="5"/>
  <c r="G156" i="5"/>
  <c r="F156" i="5"/>
  <c r="E156" i="5"/>
  <c r="D156" i="5"/>
  <c r="C156" i="5"/>
  <c r="P156" i="5" s="1"/>
  <c r="N155" i="5"/>
  <c r="M155" i="5"/>
  <c r="L155" i="5"/>
  <c r="K155" i="5"/>
  <c r="J155" i="5"/>
  <c r="I155" i="5"/>
  <c r="H155" i="5"/>
  <c r="G155" i="5"/>
  <c r="F155" i="5"/>
  <c r="E155" i="5"/>
  <c r="D155" i="5"/>
  <c r="C155" i="5"/>
  <c r="P155" i="5" s="1"/>
  <c r="N154" i="5"/>
  <c r="M154" i="5"/>
  <c r="L154" i="5"/>
  <c r="K154" i="5"/>
  <c r="J154" i="5"/>
  <c r="I154" i="5"/>
  <c r="H154" i="5"/>
  <c r="G154" i="5"/>
  <c r="F154" i="5"/>
  <c r="E154" i="5"/>
  <c r="D154" i="5"/>
  <c r="C154" i="5"/>
  <c r="P154" i="5" s="1"/>
  <c r="N153" i="5"/>
  <c r="M153" i="5"/>
  <c r="L153" i="5"/>
  <c r="K153" i="5"/>
  <c r="J153" i="5"/>
  <c r="I153" i="5"/>
  <c r="H153" i="5"/>
  <c r="G153" i="5"/>
  <c r="P153" i="5" s="1"/>
  <c r="F153" i="5"/>
  <c r="E153" i="5"/>
  <c r="D153" i="5"/>
  <c r="C153" i="5"/>
  <c r="N152" i="5"/>
  <c r="M152" i="5"/>
  <c r="L152" i="5"/>
  <c r="K152" i="5"/>
  <c r="J152" i="5"/>
  <c r="I152" i="5"/>
  <c r="H152" i="5"/>
  <c r="G152" i="5"/>
  <c r="P152" i="5" s="1"/>
  <c r="F152" i="5"/>
  <c r="E152" i="5"/>
  <c r="D152" i="5"/>
  <c r="C152" i="5"/>
  <c r="N151" i="5"/>
  <c r="M151" i="5"/>
  <c r="L151" i="5"/>
  <c r="K151" i="5"/>
  <c r="J151" i="5"/>
  <c r="I151" i="5"/>
  <c r="H151" i="5"/>
  <c r="G151" i="5"/>
  <c r="F151" i="5"/>
  <c r="E151" i="5"/>
  <c r="D151" i="5"/>
  <c r="P151" i="5" s="1"/>
  <c r="C151" i="5"/>
  <c r="N150" i="5"/>
  <c r="M150" i="5"/>
  <c r="L150" i="5"/>
  <c r="K150" i="5"/>
  <c r="J150" i="5"/>
  <c r="I150" i="5"/>
  <c r="H150" i="5"/>
  <c r="G150" i="5"/>
  <c r="F150" i="5"/>
  <c r="E150" i="5"/>
  <c r="P150" i="5" s="1"/>
  <c r="D150" i="5"/>
  <c r="C150" i="5"/>
  <c r="N149" i="5"/>
  <c r="M149" i="5"/>
  <c r="L149" i="5"/>
  <c r="K149" i="5"/>
  <c r="J149" i="5"/>
  <c r="I149" i="5"/>
  <c r="H149" i="5"/>
  <c r="G149" i="5"/>
  <c r="F149" i="5"/>
  <c r="E149" i="5"/>
  <c r="D149" i="5"/>
  <c r="C149" i="5"/>
  <c r="P149" i="5" s="1"/>
  <c r="N148" i="5"/>
  <c r="M148" i="5"/>
  <c r="L148" i="5"/>
  <c r="K148" i="5"/>
  <c r="J148" i="5"/>
  <c r="I148" i="5"/>
  <c r="H148" i="5"/>
  <c r="G148" i="5"/>
  <c r="F148" i="5"/>
  <c r="E148" i="5"/>
  <c r="D148" i="5"/>
  <c r="C148" i="5"/>
  <c r="P148" i="5" s="1"/>
  <c r="N147" i="5"/>
  <c r="M147" i="5"/>
  <c r="L147" i="5"/>
  <c r="K147" i="5"/>
  <c r="J147" i="5"/>
  <c r="I147" i="5"/>
  <c r="H147" i="5"/>
  <c r="G147" i="5"/>
  <c r="F147" i="5"/>
  <c r="E147" i="5"/>
  <c r="D147" i="5"/>
  <c r="C147" i="5"/>
  <c r="P147" i="5" s="1"/>
  <c r="N146" i="5"/>
  <c r="M146" i="5"/>
  <c r="L146" i="5"/>
  <c r="K146" i="5"/>
  <c r="J146" i="5"/>
  <c r="I146" i="5"/>
  <c r="H146" i="5"/>
  <c r="G146" i="5"/>
  <c r="F146" i="5"/>
  <c r="E146" i="5"/>
  <c r="D146" i="5"/>
  <c r="C146" i="5"/>
  <c r="P146" i="5" s="1"/>
  <c r="N145" i="5"/>
  <c r="M145" i="5"/>
  <c r="L145" i="5"/>
  <c r="K145" i="5"/>
  <c r="J145" i="5"/>
  <c r="I145" i="5"/>
  <c r="H145" i="5"/>
  <c r="G145" i="5"/>
  <c r="P145" i="5" s="1"/>
  <c r="F145" i="5"/>
  <c r="E145" i="5"/>
  <c r="D145" i="5"/>
  <c r="C145" i="5"/>
  <c r="N144" i="5"/>
  <c r="M144" i="5"/>
  <c r="L144" i="5"/>
  <c r="K144" i="5"/>
  <c r="J144" i="5"/>
  <c r="I144" i="5"/>
  <c r="H144" i="5"/>
  <c r="G144" i="5"/>
  <c r="P144" i="5" s="1"/>
  <c r="F144" i="5"/>
  <c r="E144" i="5"/>
  <c r="D144" i="5"/>
  <c r="C144" i="5"/>
  <c r="N143" i="5"/>
  <c r="M143" i="5"/>
  <c r="L143" i="5"/>
  <c r="K143" i="5"/>
  <c r="J143" i="5"/>
  <c r="I143" i="5"/>
  <c r="H143" i="5"/>
  <c r="G143" i="5"/>
  <c r="F143" i="5"/>
  <c r="E143" i="5"/>
  <c r="D143" i="5"/>
  <c r="P143" i="5" s="1"/>
  <c r="C143" i="5"/>
  <c r="N142" i="5"/>
  <c r="M142" i="5"/>
  <c r="L142" i="5"/>
  <c r="K142" i="5"/>
  <c r="J142" i="5"/>
  <c r="I142" i="5"/>
  <c r="H142" i="5"/>
  <c r="G142" i="5"/>
  <c r="F142" i="5"/>
  <c r="E142" i="5"/>
  <c r="P142" i="5" s="1"/>
  <c r="D142" i="5"/>
  <c r="C142" i="5"/>
  <c r="N141" i="5"/>
  <c r="M141" i="5"/>
  <c r="L141" i="5"/>
  <c r="K141" i="5"/>
  <c r="J141" i="5"/>
  <c r="I141" i="5"/>
  <c r="H141" i="5"/>
  <c r="G141" i="5"/>
  <c r="F141" i="5"/>
  <c r="E141" i="5"/>
  <c r="D141" i="5"/>
  <c r="C141" i="5"/>
  <c r="P141" i="5" s="1"/>
  <c r="N140" i="5"/>
  <c r="M140" i="5"/>
  <c r="L140" i="5"/>
  <c r="K140" i="5"/>
  <c r="J140" i="5"/>
  <c r="I140" i="5"/>
  <c r="H140" i="5"/>
  <c r="G140" i="5"/>
  <c r="F140" i="5"/>
  <c r="E140" i="5"/>
  <c r="D140" i="5"/>
  <c r="C140" i="5"/>
  <c r="P140" i="5" s="1"/>
  <c r="N139" i="5"/>
  <c r="M139" i="5"/>
  <c r="L139" i="5"/>
  <c r="K139" i="5"/>
  <c r="J139" i="5"/>
  <c r="I139" i="5"/>
  <c r="H139" i="5"/>
  <c r="G139" i="5"/>
  <c r="F139" i="5"/>
  <c r="E139" i="5"/>
  <c r="D139" i="5"/>
  <c r="C139" i="5"/>
  <c r="P139" i="5" s="1"/>
  <c r="N138" i="5"/>
  <c r="M138" i="5"/>
  <c r="L138" i="5"/>
  <c r="K138" i="5"/>
  <c r="J138" i="5"/>
  <c r="I138" i="5"/>
  <c r="H138" i="5"/>
  <c r="G138" i="5"/>
  <c r="F138" i="5"/>
  <c r="E138" i="5"/>
  <c r="D138" i="5"/>
  <c r="C138" i="5"/>
  <c r="P138" i="5" s="1"/>
  <c r="N137" i="5"/>
  <c r="M137" i="5"/>
  <c r="L137" i="5"/>
  <c r="K137" i="5"/>
  <c r="J137" i="5"/>
  <c r="I137" i="5"/>
  <c r="H137" i="5"/>
  <c r="G137" i="5"/>
  <c r="P137" i="5" s="1"/>
  <c r="F137" i="5"/>
  <c r="E137" i="5"/>
  <c r="D137" i="5"/>
  <c r="C137" i="5"/>
  <c r="N136" i="5"/>
  <c r="M136" i="5"/>
  <c r="L136" i="5"/>
  <c r="K136" i="5"/>
  <c r="J136" i="5"/>
  <c r="I136" i="5"/>
  <c r="H136" i="5"/>
  <c r="G136" i="5"/>
  <c r="P136" i="5" s="1"/>
  <c r="F136" i="5"/>
  <c r="E136" i="5"/>
  <c r="D136" i="5"/>
  <c r="C136" i="5"/>
  <c r="N135" i="5"/>
  <c r="M135" i="5"/>
  <c r="L135" i="5"/>
  <c r="K135" i="5"/>
  <c r="J135" i="5"/>
  <c r="I135" i="5"/>
  <c r="H135" i="5"/>
  <c r="G135" i="5"/>
  <c r="F135" i="5"/>
  <c r="E135" i="5"/>
  <c r="D135" i="5"/>
  <c r="P135" i="5" s="1"/>
  <c r="C135" i="5"/>
  <c r="N134" i="5"/>
  <c r="M134" i="5"/>
  <c r="L134" i="5"/>
  <c r="K134" i="5"/>
  <c r="J134" i="5"/>
  <c r="I134" i="5"/>
  <c r="H134" i="5"/>
  <c r="G134" i="5"/>
  <c r="F134" i="5"/>
  <c r="E134" i="5"/>
  <c r="P134" i="5" s="1"/>
  <c r="D134" i="5"/>
  <c r="C134" i="5"/>
  <c r="N133" i="5"/>
  <c r="M133" i="5"/>
  <c r="L133" i="5"/>
  <c r="K133" i="5"/>
  <c r="J133" i="5"/>
  <c r="I133" i="5"/>
  <c r="H133" i="5"/>
  <c r="G133" i="5"/>
  <c r="F133" i="5"/>
  <c r="E133" i="5"/>
  <c r="D133" i="5"/>
  <c r="C133" i="5"/>
  <c r="P133" i="5" s="1"/>
  <c r="N132" i="5"/>
  <c r="M132" i="5"/>
  <c r="L132" i="5"/>
  <c r="K132" i="5"/>
  <c r="J132" i="5"/>
  <c r="I132" i="5"/>
  <c r="H132" i="5"/>
  <c r="G132" i="5"/>
  <c r="F132" i="5"/>
  <c r="E132" i="5"/>
  <c r="D132" i="5"/>
  <c r="C132" i="5"/>
  <c r="P132" i="5" s="1"/>
  <c r="N131" i="5"/>
  <c r="M131" i="5"/>
  <c r="L131" i="5"/>
  <c r="K131" i="5"/>
  <c r="J131" i="5"/>
  <c r="I131" i="5"/>
  <c r="H131" i="5"/>
  <c r="G131" i="5"/>
  <c r="F131" i="5"/>
  <c r="E131" i="5"/>
  <c r="D131" i="5"/>
  <c r="C131" i="5"/>
  <c r="P131" i="5" s="1"/>
  <c r="N130" i="5"/>
  <c r="M130" i="5"/>
  <c r="L130" i="5"/>
  <c r="K130" i="5"/>
  <c r="J130" i="5"/>
  <c r="I130" i="5"/>
  <c r="H130" i="5"/>
  <c r="G130" i="5"/>
  <c r="F130" i="5"/>
  <c r="E130" i="5"/>
  <c r="D130" i="5"/>
  <c r="C130" i="5"/>
  <c r="P130" i="5" s="1"/>
  <c r="N129" i="5"/>
  <c r="M129" i="5"/>
  <c r="L129" i="5"/>
  <c r="K129" i="5"/>
  <c r="J129" i="5"/>
  <c r="I129" i="5"/>
  <c r="H129" i="5"/>
  <c r="G129" i="5"/>
  <c r="P129" i="5" s="1"/>
  <c r="F129" i="5"/>
  <c r="E129" i="5"/>
  <c r="D129" i="5"/>
  <c r="C129" i="5"/>
  <c r="N128" i="5"/>
  <c r="M128" i="5"/>
  <c r="L128" i="5"/>
  <c r="K128" i="5"/>
  <c r="J128" i="5"/>
  <c r="I128" i="5"/>
  <c r="H128" i="5"/>
  <c r="G128" i="5"/>
  <c r="P128" i="5" s="1"/>
  <c r="F128" i="5"/>
  <c r="E128" i="5"/>
  <c r="D128" i="5"/>
  <c r="C128" i="5"/>
  <c r="N127" i="5"/>
  <c r="M127" i="5"/>
  <c r="L127" i="5"/>
  <c r="K127" i="5"/>
  <c r="J127" i="5"/>
  <c r="I127" i="5"/>
  <c r="H127" i="5"/>
  <c r="G127" i="5"/>
  <c r="F127" i="5"/>
  <c r="E127" i="5"/>
  <c r="D127" i="5"/>
  <c r="P127" i="5" s="1"/>
  <c r="C127" i="5"/>
  <c r="N126" i="5"/>
  <c r="M126" i="5"/>
  <c r="L126" i="5"/>
  <c r="K126" i="5"/>
  <c r="J126" i="5"/>
  <c r="I126" i="5"/>
  <c r="H126" i="5"/>
  <c r="G126" i="5"/>
  <c r="F126" i="5"/>
  <c r="E126" i="5"/>
  <c r="P126" i="5" s="1"/>
  <c r="D126" i="5"/>
  <c r="C126" i="5"/>
  <c r="N125" i="5"/>
  <c r="M125" i="5"/>
  <c r="L125" i="5"/>
  <c r="K125" i="5"/>
  <c r="J125" i="5"/>
  <c r="I125" i="5"/>
  <c r="H125" i="5"/>
  <c r="G125" i="5"/>
  <c r="F125" i="5"/>
  <c r="E125" i="5"/>
  <c r="D125" i="5"/>
  <c r="C125" i="5"/>
  <c r="P125" i="5" s="1"/>
  <c r="N124" i="5"/>
  <c r="M124" i="5"/>
  <c r="L124" i="5"/>
  <c r="K124" i="5"/>
  <c r="J124" i="5"/>
  <c r="I124" i="5"/>
  <c r="H124" i="5"/>
  <c r="G124" i="5"/>
  <c r="F124" i="5"/>
  <c r="E124" i="5"/>
  <c r="D124" i="5"/>
  <c r="C124" i="5"/>
  <c r="P124" i="5" s="1"/>
  <c r="N123" i="5"/>
  <c r="M123" i="5"/>
  <c r="L123" i="5"/>
  <c r="K123" i="5"/>
  <c r="J123" i="5"/>
  <c r="I123" i="5"/>
  <c r="H123" i="5"/>
  <c r="G123" i="5"/>
  <c r="F123" i="5"/>
  <c r="E123" i="5"/>
  <c r="D123" i="5"/>
  <c r="C123" i="5"/>
  <c r="P123" i="5" s="1"/>
  <c r="N122" i="5"/>
  <c r="M122" i="5"/>
  <c r="L122" i="5"/>
  <c r="K122" i="5"/>
  <c r="J122" i="5"/>
  <c r="I122" i="5"/>
  <c r="H122" i="5"/>
  <c r="G122" i="5"/>
  <c r="F122" i="5"/>
  <c r="E122" i="5"/>
  <c r="D122" i="5"/>
  <c r="C122" i="5"/>
  <c r="P122" i="5" s="1"/>
  <c r="N121" i="5"/>
  <c r="M121" i="5"/>
  <c r="L121" i="5"/>
  <c r="K121" i="5"/>
  <c r="J121" i="5"/>
  <c r="I121" i="5"/>
  <c r="H121" i="5"/>
  <c r="G121" i="5"/>
  <c r="P121" i="5" s="1"/>
  <c r="F121" i="5"/>
  <c r="E121" i="5"/>
  <c r="D121" i="5"/>
  <c r="C121" i="5"/>
  <c r="N120" i="5"/>
  <c r="M120" i="5"/>
  <c r="L120" i="5"/>
  <c r="K120" i="5"/>
  <c r="J120" i="5"/>
  <c r="I120" i="5"/>
  <c r="H120" i="5"/>
  <c r="G120" i="5"/>
  <c r="P120" i="5" s="1"/>
  <c r="F120" i="5"/>
  <c r="E120" i="5"/>
  <c r="D120" i="5"/>
  <c r="C120" i="5"/>
  <c r="N119" i="5"/>
  <c r="M119" i="5"/>
  <c r="L119" i="5"/>
  <c r="K119" i="5"/>
  <c r="J119" i="5"/>
  <c r="I119" i="5"/>
  <c r="H119" i="5"/>
  <c r="G119" i="5"/>
  <c r="F119" i="5"/>
  <c r="E119" i="5"/>
  <c r="D119" i="5"/>
  <c r="P119" i="5" s="1"/>
  <c r="C119" i="5"/>
  <c r="N118" i="5"/>
  <c r="M118" i="5"/>
  <c r="L118" i="5"/>
  <c r="K118" i="5"/>
  <c r="J118" i="5"/>
  <c r="I118" i="5"/>
  <c r="H118" i="5"/>
  <c r="G118" i="5"/>
  <c r="F118" i="5"/>
  <c r="E118" i="5"/>
  <c r="P118" i="5" s="1"/>
  <c r="D118" i="5"/>
  <c r="C118" i="5"/>
  <c r="N117" i="5"/>
  <c r="M117" i="5"/>
  <c r="L117" i="5"/>
  <c r="K117" i="5"/>
  <c r="J117" i="5"/>
  <c r="I117" i="5"/>
  <c r="H117" i="5"/>
  <c r="G117" i="5"/>
  <c r="F117" i="5"/>
  <c r="E117" i="5"/>
  <c r="D117" i="5"/>
  <c r="C117" i="5"/>
  <c r="P117" i="5" s="1"/>
  <c r="N116" i="5"/>
  <c r="M116" i="5"/>
  <c r="L116" i="5"/>
  <c r="K116" i="5"/>
  <c r="J116" i="5"/>
  <c r="I116" i="5"/>
  <c r="H116" i="5"/>
  <c r="G116" i="5"/>
  <c r="F116" i="5"/>
  <c r="E116" i="5"/>
  <c r="D116" i="5"/>
  <c r="C116" i="5"/>
  <c r="P116" i="5" s="1"/>
  <c r="N115" i="5"/>
  <c r="M115" i="5"/>
  <c r="L115" i="5"/>
  <c r="K115" i="5"/>
  <c r="J115" i="5"/>
  <c r="I115" i="5"/>
  <c r="H115" i="5"/>
  <c r="G115" i="5"/>
  <c r="F115" i="5"/>
  <c r="E115" i="5"/>
  <c r="D115" i="5"/>
  <c r="C115" i="5"/>
  <c r="P115" i="5" s="1"/>
  <c r="N114" i="5"/>
  <c r="M114" i="5"/>
  <c r="L114" i="5"/>
  <c r="K114" i="5"/>
  <c r="J114" i="5"/>
  <c r="I114" i="5"/>
  <c r="H114" i="5"/>
  <c r="G114" i="5"/>
  <c r="F114" i="5"/>
  <c r="E114" i="5"/>
  <c r="D114" i="5"/>
  <c r="C114" i="5"/>
  <c r="P114" i="5" s="1"/>
  <c r="N113" i="5"/>
  <c r="M113" i="5"/>
  <c r="L113" i="5"/>
  <c r="K113" i="5"/>
  <c r="J113" i="5"/>
  <c r="I113" i="5"/>
  <c r="H113" i="5"/>
  <c r="G113" i="5"/>
  <c r="P113" i="5" s="1"/>
  <c r="F113" i="5"/>
  <c r="E113" i="5"/>
  <c r="D113" i="5"/>
  <c r="C113" i="5"/>
  <c r="N112" i="5"/>
  <c r="M112" i="5"/>
  <c r="L112" i="5"/>
  <c r="K112" i="5"/>
  <c r="J112" i="5"/>
  <c r="I112" i="5"/>
  <c r="H112" i="5"/>
  <c r="G112" i="5"/>
  <c r="P112" i="5" s="1"/>
  <c r="F112" i="5"/>
  <c r="E112" i="5"/>
  <c r="D112" i="5"/>
  <c r="C112" i="5"/>
  <c r="N111" i="5"/>
  <c r="M111" i="5"/>
  <c r="L111" i="5"/>
  <c r="K111" i="5"/>
  <c r="J111" i="5"/>
  <c r="I111" i="5"/>
  <c r="H111" i="5"/>
  <c r="G111" i="5"/>
  <c r="F111" i="5"/>
  <c r="E111" i="5"/>
  <c r="D111" i="5"/>
  <c r="P111" i="5" s="1"/>
  <c r="C111" i="5"/>
  <c r="N110" i="5"/>
  <c r="M110" i="5"/>
  <c r="L110" i="5"/>
  <c r="K110" i="5"/>
  <c r="J110" i="5"/>
  <c r="I110" i="5"/>
  <c r="H110" i="5"/>
  <c r="G110" i="5"/>
  <c r="F110" i="5"/>
  <c r="E110" i="5"/>
  <c r="P110" i="5" s="1"/>
  <c r="D110" i="5"/>
  <c r="C110" i="5"/>
  <c r="N109" i="5"/>
  <c r="M109" i="5"/>
  <c r="L109" i="5"/>
  <c r="K109" i="5"/>
  <c r="J109" i="5"/>
  <c r="I109" i="5"/>
  <c r="H109" i="5"/>
  <c r="G109" i="5"/>
  <c r="F109" i="5"/>
  <c r="E109" i="5"/>
  <c r="D109" i="5"/>
  <c r="C109" i="5"/>
  <c r="P109" i="5" s="1"/>
  <c r="N108" i="5"/>
  <c r="M108" i="5"/>
  <c r="L108" i="5"/>
  <c r="K108" i="5"/>
  <c r="J108" i="5"/>
  <c r="I108" i="5"/>
  <c r="H108" i="5"/>
  <c r="G108" i="5"/>
  <c r="F108" i="5"/>
  <c r="E108" i="5"/>
  <c r="D108" i="5"/>
  <c r="C108" i="5"/>
  <c r="P108" i="5" s="1"/>
  <c r="N107" i="5"/>
  <c r="M107" i="5"/>
  <c r="L107" i="5"/>
  <c r="K107" i="5"/>
  <c r="J107" i="5"/>
  <c r="I107" i="5"/>
  <c r="H107" i="5"/>
  <c r="G107" i="5"/>
  <c r="F107" i="5"/>
  <c r="E107" i="5"/>
  <c r="D107" i="5"/>
  <c r="C107" i="5"/>
  <c r="P107" i="5" s="1"/>
  <c r="N106" i="5"/>
  <c r="M106" i="5"/>
  <c r="L106" i="5"/>
  <c r="K106" i="5"/>
  <c r="J106" i="5"/>
  <c r="I106" i="5"/>
  <c r="H106" i="5"/>
  <c r="G106" i="5"/>
  <c r="F106" i="5"/>
  <c r="E106" i="5"/>
  <c r="D106" i="5"/>
  <c r="C106" i="5"/>
  <c r="P106" i="5" s="1"/>
  <c r="N105" i="5"/>
  <c r="M105" i="5"/>
  <c r="L105" i="5"/>
  <c r="K105" i="5"/>
  <c r="J105" i="5"/>
  <c r="I105" i="5"/>
  <c r="H105" i="5"/>
  <c r="G105" i="5"/>
  <c r="P105" i="5" s="1"/>
  <c r="F105" i="5"/>
  <c r="E105" i="5"/>
  <c r="D105" i="5"/>
  <c r="C105" i="5"/>
  <c r="N104" i="5"/>
  <c r="M104" i="5"/>
  <c r="L104" i="5"/>
  <c r="K104" i="5"/>
  <c r="J104" i="5"/>
  <c r="I104" i="5"/>
  <c r="H104" i="5"/>
  <c r="G104" i="5"/>
  <c r="P104" i="5" s="1"/>
  <c r="F104" i="5"/>
  <c r="E104" i="5"/>
  <c r="D104" i="5"/>
  <c r="C104" i="5"/>
  <c r="N103" i="5"/>
  <c r="M103" i="5"/>
  <c r="L103" i="5"/>
  <c r="K103" i="5"/>
  <c r="J103" i="5"/>
  <c r="I103" i="5"/>
  <c r="H103" i="5"/>
  <c r="G103" i="5"/>
  <c r="F103" i="5"/>
  <c r="E103" i="5"/>
  <c r="D103" i="5"/>
  <c r="P103" i="5" s="1"/>
  <c r="C103" i="5"/>
  <c r="N102" i="5"/>
  <c r="M102" i="5"/>
  <c r="L102" i="5"/>
  <c r="K102" i="5"/>
  <c r="J102" i="5"/>
  <c r="I102" i="5"/>
  <c r="H102" i="5"/>
  <c r="G102" i="5"/>
  <c r="F102" i="5"/>
  <c r="E102" i="5"/>
  <c r="P102" i="5" s="1"/>
  <c r="D102" i="5"/>
  <c r="C102" i="5"/>
  <c r="N101" i="5"/>
  <c r="M101" i="5"/>
  <c r="L101" i="5"/>
  <c r="K101" i="5"/>
  <c r="J101" i="5"/>
  <c r="I101" i="5"/>
  <c r="H101" i="5"/>
  <c r="G101" i="5"/>
  <c r="F101" i="5"/>
  <c r="E101" i="5"/>
  <c r="D101" i="5"/>
  <c r="C101" i="5"/>
  <c r="P101" i="5" s="1"/>
  <c r="N100" i="5"/>
  <c r="M100" i="5"/>
  <c r="L100" i="5"/>
  <c r="K100" i="5"/>
  <c r="J100" i="5"/>
  <c r="I100" i="5"/>
  <c r="H100" i="5"/>
  <c r="G100" i="5"/>
  <c r="F100" i="5"/>
  <c r="E100" i="5"/>
  <c r="D100" i="5"/>
  <c r="C100" i="5"/>
  <c r="P100" i="5" s="1"/>
  <c r="N99" i="5"/>
  <c r="M99" i="5"/>
  <c r="L99" i="5"/>
  <c r="K99" i="5"/>
  <c r="J99" i="5"/>
  <c r="I99" i="5"/>
  <c r="H99" i="5"/>
  <c r="G99" i="5"/>
  <c r="F99" i="5"/>
  <c r="E99" i="5"/>
  <c r="D99" i="5"/>
  <c r="C99" i="5"/>
  <c r="P99" i="5" s="1"/>
  <c r="N98" i="5"/>
  <c r="M98" i="5"/>
  <c r="L98" i="5"/>
  <c r="K98" i="5"/>
  <c r="J98" i="5"/>
  <c r="I98" i="5"/>
  <c r="H98" i="5"/>
  <c r="G98" i="5"/>
  <c r="F98" i="5"/>
  <c r="E98" i="5"/>
  <c r="D98" i="5"/>
  <c r="C98" i="5"/>
  <c r="P98" i="5" s="1"/>
  <c r="N97" i="5"/>
  <c r="M97" i="5"/>
  <c r="L97" i="5"/>
  <c r="K97" i="5"/>
  <c r="J97" i="5"/>
  <c r="I97" i="5"/>
  <c r="H97" i="5"/>
  <c r="G97" i="5"/>
  <c r="P97" i="5" s="1"/>
  <c r="F97" i="5"/>
  <c r="E97" i="5"/>
  <c r="D97" i="5"/>
  <c r="C97" i="5"/>
  <c r="N96" i="5"/>
  <c r="M96" i="5"/>
  <c r="L96" i="5"/>
  <c r="K96" i="5"/>
  <c r="J96" i="5"/>
  <c r="I96" i="5"/>
  <c r="H96" i="5"/>
  <c r="G96" i="5"/>
  <c r="P96" i="5" s="1"/>
  <c r="F96" i="5"/>
  <c r="E96" i="5"/>
  <c r="D96" i="5"/>
  <c r="C96" i="5"/>
  <c r="N95" i="5"/>
  <c r="M95" i="5"/>
  <c r="L95" i="5"/>
  <c r="K95" i="5"/>
  <c r="J95" i="5"/>
  <c r="I95" i="5"/>
  <c r="H95" i="5"/>
  <c r="G95" i="5"/>
  <c r="F95" i="5"/>
  <c r="E95" i="5"/>
  <c r="D95" i="5"/>
  <c r="P95" i="5" s="1"/>
  <c r="C95" i="5"/>
  <c r="N94" i="5"/>
  <c r="M94" i="5"/>
  <c r="L94" i="5"/>
  <c r="K94" i="5"/>
  <c r="J94" i="5"/>
  <c r="I94" i="5"/>
  <c r="H94" i="5"/>
  <c r="G94" i="5"/>
  <c r="F94" i="5"/>
  <c r="E94" i="5"/>
  <c r="P94" i="5" s="1"/>
  <c r="D94" i="5"/>
  <c r="C94" i="5"/>
  <c r="N93" i="5"/>
  <c r="M93" i="5"/>
  <c r="L93" i="5"/>
  <c r="K93" i="5"/>
  <c r="J93" i="5"/>
  <c r="I93" i="5"/>
  <c r="H93" i="5"/>
  <c r="G93" i="5"/>
  <c r="F93" i="5"/>
  <c r="E93" i="5"/>
  <c r="D93" i="5"/>
  <c r="C93" i="5"/>
  <c r="P93" i="5" s="1"/>
  <c r="N92" i="5"/>
  <c r="M92" i="5"/>
  <c r="L92" i="5"/>
  <c r="K92" i="5"/>
  <c r="J92" i="5"/>
  <c r="I92" i="5"/>
  <c r="H92" i="5"/>
  <c r="G92" i="5"/>
  <c r="F92" i="5"/>
  <c r="E92" i="5"/>
  <c r="D92" i="5"/>
  <c r="C92" i="5"/>
  <c r="P92" i="5" s="1"/>
  <c r="N91" i="5"/>
  <c r="M91" i="5"/>
  <c r="L91" i="5"/>
  <c r="K91" i="5"/>
  <c r="J91" i="5"/>
  <c r="I91" i="5"/>
  <c r="H91" i="5"/>
  <c r="G91" i="5"/>
  <c r="F91" i="5"/>
  <c r="E91" i="5"/>
  <c r="D91" i="5"/>
  <c r="C91" i="5"/>
  <c r="P91" i="5" s="1"/>
  <c r="N90" i="5"/>
  <c r="M90" i="5"/>
  <c r="L90" i="5"/>
  <c r="K90" i="5"/>
  <c r="J90" i="5"/>
  <c r="I90" i="5"/>
  <c r="H90" i="5"/>
  <c r="G90" i="5"/>
  <c r="F90" i="5"/>
  <c r="E90" i="5"/>
  <c r="D90" i="5"/>
  <c r="C90" i="5"/>
  <c r="P90" i="5" s="1"/>
  <c r="N89" i="5"/>
  <c r="M89" i="5"/>
  <c r="L89" i="5"/>
  <c r="K89" i="5"/>
  <c r="J89" i="5"/>
  <c r="I89" i="5"/>
  <c r="H89" i="5"/>
  <c r="G89" i="5"/>
  <c r="P89" i="5" s="1"/>
  <c r="F89" i="5"/>
  <c r="E89" i="5"/>
  <c r="D89" i="5"/>
  <c r="C89" i="5"/>
  <c r="N88" i="5"/>
  <c r="M88" i="5"/>
  <c r="L88" i="5"/>
  <c r="K88" i="5"/>
  <c r="J88" i="5"/>
  <c r="I88" i="5"/>
  <c r="H88" i="5"/>
  <c r="G88" i="5"/>
  <c r="P88" i="5" s="1"/>
  <c r="F88" i="5"/>
  <c r="E88" i="5"/>
  <c r="D88" i="5"/>
  <c r="C88" i="5"/>
  <c r="N87" i="5"/>
  <c r="M87" i="5"/>
  <c r="L87" i="5"/>
  <c r="K87" i="5"/>
  <c r="J87" i="5"/>
  <c r="I87" i="5"/>
  <c r="H87" i="5"/>
  <c r="G87" i="5"/>
  <c r="F87" i="5"/>
  <c r="E87" i="5"/>
  <c r="D87" i="5"/>
  <c r="P87" i="5" s="1"/>
  <c r="C87" i="5"/>
  <c r="N86" i="5"/>
  <c r="M86" i="5"/>
  <c r="L86" i="5"/>
  <c r="K86" i="5"/>
  <c r="J86" i="5"/>
  <c r="I86" i="5"/>
  <c r="H86" i="5"/>
  <c r="G86" i="5"/>
  <c r="F86" i="5"/>
  <c r="E86" i="5"/>
  <c r="P86" i="5" s="1"/>
  <c r="D86" i="5"/>
  <c r="C86" i="5"/>
  <c r="N85" i="5"/>
  <c r="M85" i="5"/>
  <c r="L85" i="5"/>
  <c r="K85" i="5"/>
  <c r="J85" i="5"/>
  <c r="I85" i="5"/>
  <c r="H85" i="5"/>
  <c r="G85" i="5"/>
  <c r="F85" i="5"/>
  <c r="E85" i="5"/>
  <c r="D85" i="5"/>
  <c r="C85" i="5"/>
  <c r="P85" i="5" s="1"/>
  <c r="N84" i="5"/>
  <c r="M84" i="5"/>
  <c r="L84" i="5"/>
  <c r="K84" i="5"/>
  <c r="J84" i="5"/>
  <c r="I84" i="5"/>
  <c r="H84" i="5"/>
  <c r="G84" i="5"/>
  <c r="F84" i="5"/>
  <c r="E84" i="5"/>
  <c r="D84" i="5"/>
  <c r="C84" i="5"/>
  <c r="P84" i="5" s="1"/>
  <c r="N83" i="5"/>
  <c r="M83" i="5"/>
  <c r="L83" i="5"/>
  <c r="K83" i="5"/>
  <c r="J83" i="5"/>
  <c r="I83" i="5"/>
  <c r="H83" i="5"/>
  <c r="G83" i="5"/>
  <c r="F83" i="5"/>
  <c r="E83" i="5"/>
  <c r="D83" i="5"/>
  <c r="C83" i="5"/>
  <c r="P83" i="5" s="1"/>
  <c r="N82" i="5"/>
  <c r="M82" i="5"/>
  <c r="L82" i="5"/>
  <c r="K82" i="5"/>
  <c r="J82" i="5"/>
  <c r="I82" i="5"/>
  <c r="H82" i="5"/>
  <c r="G82" i="5"/>
  <c r="F82" i="5"/>
  <c r="E82" i="5"/>
  <c r="D82" i="5"/>
  <c r="C82" i="5"/>
  <c r="P82" i="5" s="1"/>
  <c r="N81" i="5"/>
  <c r="M81" i="5"/>
  <c r="L81" i="5"/>
  <c r="K81" i="5"/>
  <c r="J81" i="5"/>
  <c r="I81" i="5"/>
  <c r="H81" i="5"/>
  <c r="G81" i="5"/>
  <c r="P81" i="5" s="1"/>
  <c r="F81" i="5"/>
  <c r="E81" i="5"/>
  <c r="D81" i="5"/>
  <c r="C81" i="5"/>
  <c r="N80" i="5"/>
  <c r="M80" i="5"/>
  <c r="L80" i="5"/>
  <c r="K80" i="5"/>
  <c r="J80" i="5"/>
  <c r="I80" i="5"/>
  <c r="H80" i="5"/>
  <c r="G80" i="5"/>
  <c r="P80" i="5" s="1"/>
  <c r="F80" i="5"/>
  <c r="E80" i="5"/>
  <c r="D80" i="5"/>
  <c r="C80" i="5"/>
  <c r="N79" i="5"/>
  <c r="M79" i="5"/>
  <c r="L79" i="5"/>
  <c r="K79" i="5"/>
  <c r="J79" i="5"/>
  <c r="I79" i="5"/>
  <c r="H79" i="5"/>
  <c r="G79" i="5"/>
  <c r="F79" i="5"/>
  <c r="E79" i="5"/>
  <c r="D79" i="5"/>
  <c r="P79" i="5" s="1"/>
  <c r="C79" i="5"/>
  <c r="N78" i="5"/>
  <c r="M78" i="5"/>
  <c r="L78" i="5"/>
  <c r="K78" i="5"/>
  <c r="J78" i="5"/>
  <c r="I78" i="5"/>
  <c r="H78" i="5"/>
  <c r="G78" i="5"/>
  <c r="F78" i="5"/>
  <c r="E78" i="5"/>
  <c r="P78" i="5" s="1"/>
  <c r="D78" i="5"/>
  <c r="C78" i="5"/>
  <c r="N77" i="5"/>
  <c r="M77" i="5"/>
  <c r="L77" i="5"/>
  <c r="K77" i="5"/>
  <c r="J77" i="5"/>
  <c r="I77" i="5"/>
  <c r="H77" i="5"/>
  <c r="G77" i="5"/>
  <c r="F77" i="5"/>
  <c r="E77" i="5"/>
  <c r="D77" i="5"/>
  <c r="C77" i="5"/>
  <c r="P77" i="5" s="1"/>
  <c r="N76" i="5"/>
  <c r="M76" i="5"/>
  <c r="L76" i="5"/>
  <c r="K76" i="5"/>
  <c r="J76" i="5"/>
  <c r="I76" i="5"/>
  <c r="H76" i="5"/>
  <c r="G76" i="5"/>
  <c r="F76" i="5"/>
  <c r="E76" i="5"/>
  <c r="D76" i="5"/>
  <c r="C76" i="5"/>
  <c r="P76" i="5" s="1"/>
  <c r="N75" i="5"/>
  <c r="M75" i="5"/>
  <c r="L75" i="5"/>
  <c r="K75" i="5"/>
  <c r="J75" i="5"/>
  <c r="I75" i="5"/>
  <c r="H75" i="5"/>
  <c r="G75" i="5"/>
  <c r="F75" i="5"/>
  <c r="E75" i="5"/>
  <c r="D75" i="5"/>
  <c r="P75" i="5" s="1"/>
  <c r="C75" i="5"/>
  <c r="N74" i="5"/>
  <c r="M74" i="5"/>
  <c r="L74" i="5"/>
  <c r="K74" i="5"/>
  <c r="J74" i="5"/>
  <c r="I74" i="5"/>
  <c r="H74" i="5"/>
  <c r="G74" i="5"/>
  <c r="F74" i="5"/>
  <c r="E74" i="5"/>
  <c r="D74" i="5"/>
  <c r="C74" i="5"/>
  <c r="P74" i="5" s="1"/>
  <c r="N73" i="5"/>
  <c r="M73" i="5"/>
  <c r="L73" i="5"/>
  <c r="K73" i="5"/>
  <c r="J73" i="5"/>
  <c r="I73" i="5"/>
  <c r="H73" i="5"/>
  <c r="G73" i="5"/>
  <c r="P73" i="5" s="1"/>
  <c r="F73" i="5"/>
  <c r="E73" i="5"/>
  <c r="D73" i="5"/>
  <c r="C73" i="5"/>
  <c r="N72" i="5"/>
  <c r="M72" i="5"/>
  <c r="L72" i="5"/>
  <c r="K72" i="5"/>
  <c r="J72" i="5"/>
  <c r="I72" i="5"/>
  <c r="H72" i="5"/>
  <c r="G72" i="5"/>
  <c r="P72" i="5" s="1"/>
  <c r="F72" i="5"/>
  <c r="E72" i="5"/>
  <c r="D72" i="5"/>
  <c r="C72" i="5"/>
  <c r="N71" i="5"/>
  <c r="M71" i="5"/>
  <c r="L71" i="5"/>
  <c r="K71" i="5"/>
  <c r="J71" i="5"/>
  <c r="I71" i="5"/>
  <c r="H71" i="5"/>
  <c r="G71" i="5"/>
  <c r="F71" i="5"/>
  <c r="E71" i="5"/>
  <c r="D71" i="5"/>
  <c r="C71" i="5"/>
  <c r="P71" i="5" s="1"/>
  <c r="N70" i="5"/>
  <c r="M70" i="5"/>
  <c r="L70" i="5"/>
  <c r="K70" i="5"/>
  <c r="J70" i="5"/>
  <c r="I70" i="5"/>
  <c r="H70" i="5"/>
  <c r="G70" i="5"/>
  <c r="F70" i="5"/>
  <c r="E70" i="5"/>
  <c r="P70" i="5" s="1"/>
  <c r="D70" i="5"/>
  <c r="C70" i="5"/>
  <c r="N69" i="5"/>
  <c r="M69" i="5"/>
  <c r="L69" i="5"/>
  <c r="K69" i="5"/>
  <c r="J69" i="5"/>
  <c r="I69" i="5"/>
  <c r="H69" i="5"/>
  <c r="G69" i="5"/>
  <c r="F69" i="5"/>
  <c r="E69" i="5"/>
  <c r="D69" i="5"/>
  <c r="C69" i="5"/>
  <c r="P69" i="5" s="1"/>
  <c r="N68" i="5"/>
  <c r="M68" i="5"/>
  <c r="L68" i="5"/>
  <c r="K68" i="5"/>
  <c r="J68" i="5"/>
  <c r="I68" i="5"/>
  <c r="H68" i="5"/>
  <c r="G68" i="5"/>
  <c r="F68" i="5"/>
  <c r="E68" i="5"/>
  <c r="D68" i="5"/>
  <c r="C68" i="5"/>
  <c r="P68" i="5" s="1"/>
  <c r="N67" i="5"/>
  <c r="M67" i="5"/>
  <c r="L67" i="5"/>
  <c r="K67" i="5"/>
  <c r="J67" i="5"/>
  <c r="I67" i="5"/>
  <c r="H67" i="5"/>
  <c r="G67" i="5"/>
  <c r="F67" i="5"/>
  <c r="E67" i="5"/>
  <c r="D67" i="5"/>
  <c r="P67" i="5" s="1"/>
  <c r="C67" i="5"/>
  <c r="N66" i="5"/>
  <c r="M66" i="5"/>
  <c r="L66" i="5"/>
  <c r="K66" i="5"/>
  <c r="J66" i="5"/>
  <c r="I66" i="5"/>
  <c r="H66" i="5"/>
  <c r="G66" i="5"/>
  <c r="F66" i="5"/>
  <c r="E66" i="5"/>
  <c r="D66" i="5"/>
  <c r="C66" i="5"/>
  <c r="P66" i="5" s="1"/>
  <c r="N65" i="5"/>
  <c r="M65" i="5"/>
  <c r="L65" i="5"/>
  <c r="K65" i="5"/>
  <c r="J65" i="5"/>
  <c r="I65" i="5"/>
  <c r="H65" i="5"/>
  <c r="G65" i="5"/>
  <c r="P65" i="5" s="1"/>
  <c r="F65" i="5"/>
  <c r="E65" i="5"/>
  <c r="D65" i="5"/>
  <c r="C65" i="5"/>
  <c r="N64" i="5"/>
  <c r="M64" i="5"/>
  <c r="L64" i="5"/>
  <c r="K64" i="5"/>
  <c r="J64" i="5"/>
  <c r="I64" i="5"/>
  <c r="H64" i="5"/>
  <c r="G64" i="5"/>
  <c r="P64" i="5" s="1"/>
  <c r="F64" i="5"/>
  <c r="E64" i="5"/>
  <c r="D64" i="5"/>
  <c r="C64" i="5"/>
  <c r="N63" i="5"/>
  <c r="M63" i="5"/>
  <c r="L63" i="5"/>
  <c r="K63" i="5"/>
  <c r="J63" i="5"/>
  <c r="I63" i="5"/>
  <c r="H63" i="5"/>
  <c r="G63" i="5"/>
  <c r="F63" i="5"/>
  <c r="E63" i="5"/>
  <c r="D63" i="5"/>
  <c r="C63" i="5"/>
  <c r="P63" i="5" s="1"/>
  <c r="N62" i="5"/>
  <c r="M62" i="5"/>
  <c r="L62" i="5"/>
  <c r="K62" i="5"/>
  <c r="J62" i="5"/>
  <c r="I62" i="5"/>
  <c r="H62" i="5"/>
  <c r="G62" i="5"/>
  <c r="F62" i="5"/>
  <c r="E62" i="5"/>
  <c r="P62" i="5" s="1"/>
  <c r="D62" i="5"/>
  <c r="C62" i="5"/>
  <c r="N61" i="5"/>
  <c r="M61" i="5"/>
  <c r="L61" i="5"/>
  <c r="K61" i="5"/>
  <c r="J61" i="5"/>
  <c r="I61" i="5"/>
  <c r="H61" i="5"/>
  <c r="G61" i="5"/>
  <c r="F61" i="5"/>
  <c r="E61" i="5"/>
  <c r="D61" i="5"/>
  <c r="C61" i="5"/>
  <c r="P61" i="5" s="1"/>
  <c r="N60" i="5"/>
  <c r="M60" i="5"/>
  <c r="L60" i="5"/>
  <c r="K60" i="5"/>
  <c r="J60" i="5"/>
  <c r="I60" i="5"/>
  <c r="H60" i="5"/>
  <c r="G60" i="5"/>
  <c r="F60" i="5"/>
  <c r="E60" i="5"/>
  <c r="D60" i="5"/>
  <c r="C60" i="5"/>
  <c r="P60" i="5" s="1"/>
  <c r="N59" i="5"/>
  <c r="M59" i="5"/>
  <c r="L59" i="5"/>
  <c r="K59" i="5"/>
  <c r="J59" i="5"/>
  <c r="I59" i="5"/>
  <c r="H59" i="5"/>
  <c r="G59" i="5"/>
  <c r="F59" i="5"/>
  <c r="E59" i="5"/>
  <c r="D59" i="5"/>
  <c r="P59" i="5" s="1"/>
  <c r="C59" i="5"/>
  <c r="N58" i="5"/>
  <c r="M58" i="5"/>
  <c r="L58" i="5"/>
  <c r="K58" i="5"/>
  <c r="J58" i="5"/>
  <c r="I58" i="5"/>
  <c r="H58" i="5"/>
  <c r="G58" i="5"/>
  <c r="F58" i="5"/>
  <c r="E58" i="5"/>
  <c r="D58" i="5"/>
  <c r="C58" i="5"/>
  <c r="P58" i="5" s="1"/>
  <c r="N57" i="5"/>
  <c r="M57" i="5"/>
  <c r="L57" i="5"/>
  <c r="K57" i="5"/>
  <c r="J57" i="5"/>
  <c r="I57" i="5"/>
  <c r="H57" i="5"/>
  <c r="G57" i="5"/>
  <c r="P57" i="5" s="1"/>
  <c r="F57" i="5"/>
  <c r="E57" i="5"/>
  <c r="D57" i="5"/>
  <c r="C57" i="5"/>
  <c r="N56" i="5"/>
  <c r="M56" i="5"/>
  <c r="L56" i="5"/>
  <c r="K56" i="5"/>
  <c r="J56" i="5"/>
  <c r="I56" i="5"/>
  <c r="H56" i="5"/>
  <c r="G56" i="5"/>
  <c r="P56" i="5" s="1"/>
  <c r="F56" i="5"/>
  <c r="E56" i="5"/>
  <c r="D56" i="5"/>
  <c r="C56" i="5"/>
  <c r="N55" i="5"/>
  <c r="M55" i="5"/>
  <c r="L55" i="5"/>
  <c r="K55" i="5"/>
  <c r="J55" i="5"/>
  <c r="I55" i="5"/>
  <c r="H55" i="5"/>
  <c r="G55" i="5"/>
  <c r="F55" i="5"/>
  <c r="E55" i="5"/>
  <c r="D55" i="5"/>
  <c r="C55" i="5"/>
  <c r="P55" i="5" s="1"/>
  <c r="N54" i="5"/>
  <c r="M54" i="5"/>
  <c r="L54" i="5"/>
  <c r="K54" i="5"/>
  <c r="J54" i="5"/>
  <c r="I54" i="5"/>
  <c r="H54" i="5"/>
  <c r="G54" i="5"/>
  <c r="F54" i="5"/>
  <c r="E54" i="5"/>
  <c r="P54" i="5" s="1"/>
  <c r="D54" i="5"/>
  <c r="C54" i="5"/>
  <c r="N53" i="5"/>
  <c r="M53" i="5"/>
  <c r="L53" i="5"/>
  <c r="K53" i="5"/>
  <c r="J53" i="5"/>
  <c r="I53" i="5"/>
  <c r="H53" i="5"/>
  <c r="G53" i="5"/>
  <c r="F53" i="5"/>
  <c r="E53" i="5"/>
  <c r="D53" i="5"/>
  <c r="C53" i="5"/>
  <c r="P53" i="5" s="1"/>
  <c r="N52" i="5"/>
  <c r="M52" i="5"/>
  <c r="L52" i="5"/>
  <c r="K52" i="5"/>
  <c r="J52" i="5"/>
  <c r="I52" i="5"/>
  <c r="H52" i="5"/>
  <c r="G52" i="5"/>
  <c r="F52" i="5"/>
  <c r="E52" i="5"/>
  <c r="D52" i="5"/>
  <c r="C52" i="5"/>
  <c r="P52" i="5" s="1"/>
  <c r="N51" i="5"/>
  <c r="M51" i="5"/>
  <c r="L51" i="5"/>
  <c r="K51" i="5"/>
  <c r="J51" i="5"/>
  <c r="I51" i="5"/>
  <c r="H51" i="5"/>
  <c r="G51" i="5"/>
  <c r="F51" i="5"/>
  <c r="E51" i="5"/>
  <c r="D51" i="5"/>
  <c r="P51" i="5" s="1"/>
  <c r="C51" i="5"/>
  <c r="N50" i="5"/>
  <c r="M50" i="5"/>
  <c r="L50" i="5"/>
  <c r="K50" i="5"/>
  <c r="J50" i="5"/>
  <c r="I50" i="5"/>
  <c r="H50" i="5"/>
  <c r="G50" i="5"/>
  <c r="F50" i="5"/>
  <c r="E50" i="5"/>
  <c r="D50" i="5"/>
  <c r="C50" i="5"/>
  <c r="P50" i="5" s="1"/>
  <c r="N49" i="5"/>
  <c r="M49" i="5"/>
  <c r="L49" i="5"/>
  <c r="K49" i="5"/>
  <c r="J49" i="5"/>
  <c r="I49" i="5"/>
  <c r="H49" i="5"/>
  <c r="G49" i="5"/>
  <c r="P49" i="5" s="1"/>
  <c r="F49" i="5"/>
  <c r="E49" i="5"/>
  <c r="D49" i="5"/>
  <c r="C49" i="5"/>
  <c r="N48" i="5"/>
  <c r="M48" i="5"/>
  <c r="L48" i="5"/>
  <c r="K48" i="5"/>
  <c r="J48" i="5"/>
  <c r="I48" i="5"/>
  <c r="H48" i="5"/>
  <c r="G48" i="5"/>
  <c r="P48" i="5" s="1"/>
  <c r="F48" i="5"/>
  <c r="E48" i="5"/>
  <c r="D48" i="5"/>
  <c r="C48" i="5"/>
  <c r="N47" i="5"/>
  <c r="M47" i="5"/>
  <c r="L47" i="5"/>
  <c r="K47" i="5"/>
  <c r="J47" i="5"/>
  <c r="I47" i="5"/>
  <c r="H47" i="5"/>
  <c r="G47" i="5"/>
  <c r="F47" i="5"/>
  <c r="E47" i="5"/>
  <c r="D47" i="5"/>
  <c r="C47" i="5"/>
  <c r="P47" i="5" s="1"/>
  <c r="N46" i="5"/>
  <c r="M46" i="5"/>
  <c r="L46" i="5"/>
  <c r="K46" i="5"/>
  <c r="J46" i="5"/>
  <c r="I46" i="5"/>
  <c r="H46" i="5"/>
  <c r="G46" i="5"/>
  <c r="F46" i="5"/>
  <c r="P46" i="5" s="1"/>
  <c r="E46" i="5"/>
  <c r="D46" i="5"/>
  <c r="C46" i="5"/>
  <c r="N45" i="5"/>
  <c r="M45" i="5"/>
  <c r="L45" i="5"/>
  <c r="K45" i="5"/>
  <c r="J45" i="5"/>
  <c r="I45" i="5"/>
  <c r="H45" i="5"/>
  <c r="G45" i="5"/>
  <c r="F45" i="5"/>
  <c r="E45" i="5"/>
  <c r="D45" i="5"/>
  <c r="C45" i="5"/>
  <c r="P45" i="5" s="1"/>
  <c r="N44" i="5"/>
  <c r="M44" i="5"/>
  <c r="L44" i="5"/>
  <c r="K44" i="5"/>
  <c r="J44" i="5"/>
  <c r="I44" i="5"/>
  <c r="H44" i="5"/>
  <c r="G44" i="5"/>
  <c r="F44" i="5"/>
  <c r="E44" i="5"/>
  <c r="D44" i="5"/>
  <c r="C44" i="5"/>
  <c r="P44" i="5" s="1"/>
  <c r="N43" i="5"/>
  <c r="M43" i="5"/>
  <c r="L43" i="5"/>
  <c r="K43" i="5"/>
  <c r="J43" i="5"/>
  <c r="I43" i="5"/>
  <c r="H43" i="5"/>
  <c r="G43" i="5"/>
  <c r="F43" i="5"/>
  <c r="E43" i="5"/>
  <c r="D43" i="5"/>
  <c r="P43" i="5" s="1"/>
  <c r="C43" i="5"/>
  <c r="N42" i="5"/>
  <c r="M42" i="5"/>
  <c r="L42" i="5"/>
  <c r="K42" i="5"/>
  <c r="J42" i="5"/>
  <c r="I42" i="5"/>
  <c r="H42" i="5"/>
  <c r="G42" i="5"/>
  <c r="F42" i="5"/>
  <c r="E42" i="5"/>
  <c r="D42" i="5"/>
  <c r="C42" i="5"/>
  <c r="P42" i="5" s="1"/>
  <c r="N41" i="5"/>
  <c r="M41" i="5"/>
  <c r="L41" i="5"/>
  <c r="K41" i="5"/>
  <c r="J41" i="5"/>
  <c r="I41" i="5"/>
  <c r="H41" i="5"/>
  <c r="G41" i="5"/>
  <c r="P41" i="5" s="1"/>
  <c r="F41" i="5"/>
  <c r="E41" i="5"/>
  <c r="D41" i="5"/>
  <c r="C41" i="5"/>
  <c r="N40" i="5"/>
  <c r="M40" i="5"/>
  <c r="L40" i="5"/>
  <c r="K40" i="5"/>
  <c r="J40" i="5"/>
  <c r="I40" i="5"/>
  <c r="H40" i="5"/>
  <c r="G40" i="5"/>
  <c r="P40" i="5" s="1"/>
  <c r="F40" i="5"/>
  <c r="E40" i="5"/>
  <c r="D40" i="5"/>
  <c r="C40" i="5"/>
  <c r="N39" i="5"/>
  <c r="M39" i="5"/>
  <c r="L39" i="5"/>
  <c r="K39" i="5"/>
  <c r="J39" i="5"/>
  <c r="I39" i="5"/>
  <c r="H39" i="5"/>
  <c r="G39" i="5"/>
  <c r="F39" i="5"/>
  <c r="E39" i="5"/>
  <c r="D39" i="5"/>
  <c r="C39" i="5"/>
  <c r="P39" i="5" s="1"/>
  <c r="N38" i="5"/>
  <c r="M38" i="5"/>
  <c r="L38" i="5"/>
  <c r="K38" i="5"/>
  <c r="J38" i="5"/>
  <c r="I38" i="5"/>
  <c r="H38" i="5"/>
  <c r="G38" i="5"/>
  <c r="F38" i="5"/>
  <c r="E38" i="5"/>
  <c r="P38" i="5" s="1"/>
  <c r="D38" i="5"/>
  <c r="C38" i="5"/>
  <c r="N37" i="5"/>
  <c r="M37" i="5"/>
  <c r="L37" i="5"/>
  <c r="K37" i="5"/>
  <c r="J37" i="5"/>
  <c r="I37" i="5"/>
  <c r="H37" i="5"/>
  <c r="G37" i="5"/>
  <c r="F37" i="5"/>
  <c r="E37" i="5"/>
  <c r="D37" i="5"/>
  <c r="C37" i="5"/>
  <c r="P37" i="5" s="1"/>
  <c r="N36" i="5"/>
  <c r="M36" i="5"/>
  <c r="L36" i="5"/>
  <c r="K36" i="5"/>
  <c r="J36" i="5"/>
  <c r="I36" i="5"/>
  <c r="H36" i="5"/>
  <c r="G36" i="5"/>
  <c r="F36" i="5"/>
  <c r="E36" i="5"/>
  <c r="D36" i="5"/>
  <c r="C36" i="5"/>
  <c r="P36" i="5" s="1"/>
  <c r="N35" i="5"/>
  <c r="M35" i="5"/>
  <c r="L35" i="5"/>
  <c r="K35" i="5"/>
  <c r="J35" i="5"/>
  <c r="I35" i="5"/>
  <c r="H35" i="5"/>
  <c r="G35" i="5"/>
  <c r="F35" i="5"/>
  <c r="E35" i="5"/>
  <c r="D35" i="5"/>
  <c r="P35" i="5" s="1"/>
  <c r="C35" i="5"/>
  <c r="N34" i="5"/>
  <c r="M34" i="5"/>
  <c r="L34" i="5"/>
  <c r="K34" i="5"/>
  <c r="J34" i="5"/>
  <c r="I34" i="5"/>
  <c r="H34" i="5"/>
  <c r="G34" i="5"/>
  <c r="F34" i="5"/>
  <c r="E34" i="5"/>
  <c r="D34" i="5"/>
  <c r="C34" i="5"/>
  <c r="P34" i="5" s="1"/>
  <c r="N33" i="5"/>
  <c r="M33" i="5"/>
  <c r="L33" i="5"/>
  <c r="K33" i="5"/>
  <c r="J33" i="5"/>
  <c r="I33" i="5"/>
  <c r="H33" i="5"/>
  <c r="G33" i="5"/>
  <c r="P33" i="5" s="1"/>
  <c r="F33" i="5"/>
  <c r="E33" i="5"/>
  <c r="D33" i="5"/>
  <c r="C33" i="5"/>
  <c r="N32" i="5"/>
  <c r="M32" i="5"/>
  <c r="L32" i="5"/>
  <c r="K32" i="5"/>
  <c r="J32" i="5"/>
  <c r="I32" i="5"/>
  <c r="H32" i="5"/>
  <c r="G32" i="5"/>
  <c r="P32" i="5" s="1"/>
  <c r="F32" i="5"/>
  <c r="E32" i="5"/>
  <c r="D32" i="5"/>
  <c r="C32" i="5"/>
  <c r="N31" i="5"/>
  <c r="M31" i="5"/>
  <c r="L31" i="5"/>
  <c r="K31" i="5"/>
  <c r="J31" i="5"/>
  <c r="I31" i="5"/>
  <c r="H31" i="5"/>
  <c r="G31" i="5"/>
  <c r="F31" i="5"/>
  <c r="E31" i="5"/>
  <c r="D31" i="5"/>
  <c r="C31" i="5"/>
  <c r="P31" i="5" s="1"/>
  <c r="N30" i="5"/>
  <c r="M30" i="5"/>
  <c r="L30" i="5"/>
  <c r="K30" i="5"/>
  <c r="J30" i="5"/>
  <c r="I30" i="5"/>
  <c r="H30" i="5"/>
  <c r="G30" i="5"/>
  <c r="F30" i="5"/>
  <c r="E30" i="5"/>
  <c r="P30" i="5" s="1"/>
  <c r="D30" i="5"/>
  <c r="C30" i="5"/>
  <c r="N29" i="5"/>
  <c r="M29" i="5"/>
  <c r="L29" i="5"/>
  <c r="K29" i="5"/>
  <c r="J29" i="5"/>
  <c r="I29" i="5"/>
  <c r="H29" i="5"/>
  <c r="G29" i="5"/>
  <c r="F29" i="5"/>
  <c r="E29" i="5"/>
  <c r="D29" i="5"/>
  <c r="C29" i="5"/>
  <c r="P29" i="5" s="1"/>
  <c r="N28" i="5"/>
  <c r="M28" i="5"/>
  <c r="L28" i="5"/>
  <c r="K28" i="5"/>
  <c r="J28" i="5"/>
  <c r="I28" i="5"/>
  <c r="H28" i="5"/>
  <c r="G28" i="5"/>
  <c r="F28" i="5"/>
  <c r="E28" i="5"/>
  <c r="D28" i="5"/>
  <c r="C28" i="5"/>
  <c r="P28" i="5" s="1"/>
  <c r="N27" i="5"/>
  <c r="M27" i="5"/>
  <c r="L27" i="5"/>
  <c r="K27" i="5"/>
  <c r="J27" i="5"/>
  <c r="I27" i="5"/>
  <c r="H27" i="5"/>
  <c r="G27" i="5"/>
  <c r="F27" i="5"/>
  <c r="E27" i="5"/>
  <c r="D27" i="5"/>
  <c r="P27" i="5" s="1"/>
  <c r="C27" i="5"/>
  <c r="N26" i="5"/>
  <c r="M26" i="5"/>
  <c r="L26" i="5"/>
  <c r="K26" i="5"/>
  <c r="J26" i="5"/>
  <c r="I26" i="5"/>
  <c r="H26" i="5"/>
  <c r="G26" i="5"/>
  <c r="F26" i="5"/>
  <c r="E26" i="5"/>
  <c r="D26" i="5"/>
  <c r="C26" i="5"/>
  <c r="P26" i="5" s="1"/>
  <c r="N25" i="5"/>
  <c r="M25" i="5"/>
  <c r="L25" i="5"/>
  <c r="K25" i="5"/>
  <c r="J25" i="5"/>
  <c r="I25" i="5"/>
  <c r="H25" i="5"/>
  <c r="G25" i="5"/>
  <c r="P25" i="5" s="1"/>
  <c r="F25" i="5"/>
  <c r="E25" i="5"/>
  <c r="D25" i="5"/>
  <c r="C25" i="5"/>
  <c r="N24" i="5"/>
  <c r="M24" i="5"/>
  <c r="L24" i="5"/>
  <c r="K24" i="5"/>
  <c r="J24" i="5"/>
  <c r="I24" i="5"/>
  <c r="H24" i="5"/>
  <c r="G24" i="5"/>
  <c r="P24" i="5" s="1"/>
  <c r="F24" i="5"/>
  <c r="E24" i="5"/>
  <c r="D24" i="5"/>
  <c r="C24" i="5"/>
  <c r="N23" i="5"/>
  <c r="M23" i="5"/>
  <c r="L23" i="5"/>
  <c r="K23" i="5"/>
  <c r="J23" i="5"/>
  <c r="I23" i="5"/>
  <c r="H23" i="5"/>
  <c r="G23" i="5"/>
  <c r="F23" i="5"/>
  <c r="E23" i="5"/>
  <c r="D23" i="5"/>
  <c r="C23" i="5"/>
  <c r="P23" i="5" s="1"/>
  <c r="N22" i="5"/>
  <c r="M22" i="5"/>
  <c r="L22" i="5"/>
  <c r="K22" i="5"/>
  <c r="J22" i="5"/>
  <c r="I22" i="5"/>
  <c r="H22" i="5"/>
  <c r="G22" i="5"/>
  <c r="F22" i="5"/>
  <c r="P22" i="5" s="1"/>
  <c r="E22" i="5"/>
  <c r="D22" i="5"/>
  <c r="C22" i="5"/>
  <c r="N21" i="5"/>
  <c r="M21" i="5"/>
  <c r="L21" i="5"/>
  <c r="K21" i="5"/>
  <c r="J21" i="5"/>
  <c r="I21" i="5"/>
  <c r="H21" i="5"/>
  <c r="G21" i="5"/>
  <c r="F21" i="5"/>
  <c r="E21" i="5"/>
  <c r="D21" i="5"/>
  <c r="C21" i="5"/>
  <c r="P21" i="5" s="1"/>
  <c r="N20" i="5"/>
  <c r="M20" i="5"/>
  <c r="L20" i="5"/>
  <c r="K20" i="5"/>
  <c r="J20" i="5"/>
  <c r="I20" i="5"/>
  <c r="H20" i="5"/>
  <c r="G20" i="5"/>
  <c r="F20" i="5"/>
  <c r="E20" i="5"/>
  <c r="D20" i="5"/>
  <c r="C20" i="5"/>
  <c r="P20" i="5" s="1"/>
  <c r="N19" i="5"/>
  <c r="M19" i="5"/>
  <c r="L19" i="5"/>
  <c r="K19" i="5"/>
  <c r="J19" i="5"/>
  <c r="I19" i="5"/>
  <c r="H19" i="5"/>
  <c r="G19" i="5"/>
  <c r="F19" i="5"/>
  <c r="E19" i="5"/>
  <c r="D19" i="5"/>
  <c r="P19" i="5" s="1"/>
  <c r="C19" i="5"/>
  <c r="N18" i="5"/>
  <c r="M18" i="5"/>
  <c r="L18" i="5"/>
  <c r="K18" i="5"/>
  <c r="J18" i="5"/>
  <c r="I18" i="5"/>
  <c r="H18" i="5"/>
  <c r="G18" i="5"/>
  <c r="F18" i="5"/>
  <c r="E18" i="5"/>
  <c r="D18" i="5"/>
  <c r="C18" i="5"/>
  <c r="P18" i="5" s="1"/>
  <c r="N17" i="5"/>
  <c r="M17" i="5"/>
  <c r="L17" i="5"/>
  <c r="K17" i="5"/>
  <c r="J17" i="5"/>
  <c r="I17" i="5"/>
  <c r="H17" i="5"/>
  <c r="G17" i="5"/>
  <c r="P17" i="5" s="1"/>
  <c r="F17" i="5"/>
  <c r="E17" i="5"/>
  <c r="D17" i="5"/>
  <c r="C17" i="5"/>
  <c r="N16" i="5"/>
  <c r="M16" i="5"/>
  <c r="L16" i="5"/>
  <c r="K16" i="5"/>
  <c r="J16" i="5"/>
  <c r="I16" i="5"/>
  <c r="H16" i="5"/>
  <c r="G16" i="5"/>
  <c r="P16" i="5" s="1"/>
  <c r="F16" i="5"/>
  <c r="E16" i="5"/>
  <c r="D16" i="5"/>
  <c r="C16" i="5"/>
  <c r="N15" i="5"/>
  <c r="M15" i="5"/>
  <c r="L15" i="5"/>
  <c r="K15" i="5"/>
  <c r="J15" i="5"/>
  <c r="I15" i="5"/>
  <c r="H15" i="5"/>
  <c r="G15" i="5"/>
  <c r="F15" i="5"/>
  <c r="E15" i="5"/>
  <c r="D15" i="5"/>
  <c r="C15" i="5"/>
  <c r="P15" i="5" s="1"/>
  <c r="N14" i="5"/>
  <c r="M14" i="5"/>
  <c r="L14" i="5"/>
  <c r="K14" i="5"/>
  <c r="J14" i="5"/>
  <c r="I14" i="5"/>
  <c r="H14" i="5"/>
  <c r="G14" i="5"/>
  <c r="F14" i="5"/>
  <c r="E14" i="5"/>
  <c r="P14" i="5" s="1"/>
  <c r="D14" i="5"/>
  <c r="C14" i="5"/>
  <c r="N13" i="5"/>
  <c r="M13" i="5"/>
  <c r="L13" i="5"/>
  <c r="K13" i="5"/>
  <c r="J13" i="5"/>
  <c r="I13" i="5"/>
  <c r="H13" i="5"/>
  <c r="G13" i="5"/>
  <c r="F13" i="5"/>
  <c r="E13" i="5"/>
  <c r="D13" i="5"/>
  <c r="C13" i="5"/>
  <c r="P13" i="5" s="1"/>
  <c r="N12" i="5"/>
  <c r="M12" i="5"/>
  <c r="L12" i="5"/>
  <c r="K12" i="5"/>
  <c r="J12" i="5"/>
  <c r="I12" i="5"/>
  <c r="H12" i="5"/>
  <c r="G12" i="5"/>
  <c r="F12" i="5"/>
  <c r="E12" i="5"/>
  <c r="D12" i="5"/>
  <c r="C12" i="5"/>
  <c r="P12" i="5" s="1"/>
  <c r="N11" i="5"/>
  <c r="M11" i="5"/>
  <c r="L11" i="5"/>
  <c r="K11" i="5"/>
  <c r="J11" i="5"/>
  <c r="I11" i="5"/>
  <c r="H11" i="5"/>
  <c r="H16" i="4" s="1"/>
  <c r="G11" i="5"/>
  <c r="F11" i="5"/>
  <c r="E11" i="5"/>
  <c r="D11" i="5"/>
  <c r="P11" i="5" s="1"/>
  <c r="C11" i="5"/>
  <c r="N10" i="5"/>
  <c r="M10" i="5"/>
  <c r="M193" i="5" s="1"/>
  <c r="M195" i="5" s="1"/>
  <c r="L10" i="5"/>
  <c r="K10" i="5"/>
  <c r="J10" i="5"/>
  <c r="I10" i="5"/>
  <c r="H10" i="5"/>
  <c r="G10" i="5"/>
  <c r="F10" i="5"/>
  <c r="E10" i="5"/>
  <c r="E193" i="5" s="1"/>
  <c r="E195" i="5" s="1"/>
  <c r="D10" i="5"/>
  <c r="C10" i="5"/>
  <c r="P10" i="5" s="1"/>
  <c r="N9" i="5"/>
  <c r="M9" i="5"/>
  <c r="L9" i="5"/>
  <c r="K9" i="5"/>
  <c r="J9" i="5"/>
  <c r="J193" i="5" s="1"/>
  <c r="J195" i="5" s="1"/>
  <c r="I9" i="5"/>
  <c r="H9" i="5"/>
  <c r="G9" i="5"/>
  <c r="P9" i="5" s="1"/>
  <c r="F9" i="5"/>
  <c r="E9" i="5"/>
  <c r="D9" i="5"/>
  <c r="C9" i="5"/>
  <c r="N8" i="5"/>
  <c r="M8" i="5"/>
  <c r="L8" i="5"/>
  <c r="K8" i="5"/>
  <c r="J8" i="5"/>
  <c r="I8" i="5"/>
  <c r="H8" i="5"/>
  <c r="G8" i="5"/>
  <c r="P8" i="5" s="1"/>
  <c r="F8" i="5"/>
  <c r="E8" i="5"/>
  <c r="D8" i="5"/>
  <c r="C8" i="5"/>
  <c r="N7" i="5"/>
  <c r="M7" i="5"/>
  <c r="L7" i="5"/>
  <c r="K7" i="5"/>
  <c r="J7" i="5"/>
  <c r="I7" i="5"/>
  <c r="H7" i="5"/>
  <c r="G7" i="5"/>
  <c r="F7" i="5"/>
  <c r="E7" i="5"/>
  <c r="D7" i="5"/>
  <c r="C7" i="5"/>
  <c r="P7" i="5" s="1"/>
  <c r="N6" i="5"/>
  <c r="I16" i="4" s="1"/>
  <c r="M6" i="5"/>
  <c r="M194" i="5" s="1"/>
  <c r="M196" i="5" s="1"/>
  <c r="L6" i="5"/>
  <c r="L194" i="5" s="1"/>
  <c r="L196" i="5" s="1"/>
  <c r="K6" i="5"/>
  <c r="K194" i="5" s="1"/>
  <c r="K196" i="5" s="1"/>
  <c r="J6" i="5"/>
  <c r="J194" i="5" s="1"/>
  <c r="J196" i="5" s="1"/>
  <c r="I6" i="5"/>
  <c r="I193" i="5" s="1"/>
  <c r="I195" i="5" s="1"/>
  <c r="H6" i="5"/>
  <c r="H193" i="5" s="1"/>
  <c r="H195" i="5" s="1"/>
  <c r="G6" i="5"/>
  <c r="G193" i="5" s="1"/>
  <c r="G195" i="5" s="1"/>
  <c r="F6" i="5"/>
  <c r="F193" i="5" s="1"/>
  <c r="F195" i="5" s="1"/>
  <c r="E6" i="5"/>
  <c r="E194" i="5" s="1"/>
  <c r="E196" i="5" s="1"/>
  <c r="D6" i="5"/>
  <c r="D194" i="5" s="1"/>
  <c r="D196" i="5" s="1"/>
  <c r="C6" i="5"/>
  <c r="C194" i="5" s="1"/>
  <c r="M16" i="4"/>
  <c r="K16" i="4"/>
  <c r="F16" i="4"/>
  <c r="E16" i="4"/>
  <c r="D16" i="4"/>
  <c r="C16" i="4"/>
  <c r="N15" i="4"/>
  <c r="M15" i="4"/>
  <c r="L15" i="4"/>
  <c r="K15" i="4"/>
  <c r="J15" i="4"/>
  <c r="I15" i="4"/>
  <c r="H15" i="4"/>
  <c r="G15" i="4"/>
  <c r="F15" i="4"/>
  <c r="E15" i="4"/>
  <c r="D15" i="4"/>
  <c r="C15" i="4"/>
  <c r="N14" i="4"/>
  <c r="M14" i="4"/>
  <c r="L14" i="4"/>
  <c r="K14" i="4"/>
  <c r="J14" i="4"/>
  <c r="I14" i="4"/>
  <c r="H14" i="4"/>
  <c r="G14" i="4"/>
  <c r="F14" i="4"/>
  <c r="E14" i="4"/>
  <c r="D14" i="4"/>
  <c r="C14" i="4"/>
  <c r="N13" i="4"/>
  <c r="M13" i="4"/>
  <c r="L13" i="4"/>
  <c r="K13" i="4"/>
  <c r="J13" i="4"/>
  <c r="I13" i="4"/>
  <c r="H13" i="4"/>
  <c r="G13" i="4"/>
  <c r="F13" i="4"/>
  <c r="E13" i="4"/>
  <c r="D13" i="4"/>
  <c r="C13" i="4"/>
  <c r="N12" i="4"/>
  <c r="M12" i="4"/>
  <c r="L12" i="4"/>
  <c r="K12" i="4"/>
  <c r="J12" i="4"/>
  <c r="I12" i="4"/>
  <c r="H12" i="4"/>
  <c r="G12" i="4"/>
  <c r="F12" i="4"/>
  <c r="E12" i="4"/>
  <c r="D12" i="4"/>
  <c r="C12" i="4"/>
  <c r="N11" i="4"/>
  <c r="M11" i="4"/>
  <c r="L11" i="4"/>
  <c r="K11" i="4"/>
  <c r="J11" i="4"/>
  <c r="I11" i="4"/>
  <c r="H11" i="4"/>
  <c r="G11" i="4"/>
  <c r="F11" i="4"/>
  <c r="E11" i="4"/>
  <c r="D11" i="4"/>
  <c r="C11" i="4"/>
  <c r="N10" i="4"/>
  <c r="M10" i="4"/>
  <c r="L10" i="4"/>
  <c r="K10" i="4"/>
  <c r="J10" i="4"/>
  <c r="I10" i="4"/>
  <c r="H10" i="4"/>
  <c r="G10" i="4"/>
  <c r="F10" i="4"/>
  <c r="E10" i="4"/>
  <c r="D10" i="4"/>
  <c r="C10" i="4"/>
  <c r="N9" i="4"/>
  <c r="M9" i="4"/>
  <c r="L9" i="4"/>
  <c r="K9" i="4"/>
  <c r="J9" i="4"/>
  <c r="I9" i="4"/>
  <c r="H9" i="4"/>
  <c r="G9" i="4"/>
  <c r="F9" i="4"/>
  <c r="E9" i="4"/>
  <c r="D9" i="4"/>
  <c r="C9" i="4"/>
  <c r="N8" i="4"/>
  <c r="M8" i="4"/>
  <c r="L8" i="4"/>
  <c r="K8" i="4"/>
  <c r="J8" i="4"/>
  <c r="I8" i="4"/>
  <c r="H8" i="4"/>
  <c r="G8" i="4"/>
  <c r="F8" i="4"/>
  <c r="E8" i="4"/>
  <c r="D8" i="4"/>
  <c r="C8" i="4"/>
  <c r="N7" i="4"/>
  <c r="M7" i="4"/>
  <c r="L7" i="4"/>
  <c r="K7" i="4"/>
  <c r="J7" i="4"/>
  <c r="I7" i="4"/>
  <c r="H7" i="4"/>
  <c r="G7" i="4"/>
  <c r="F7" i="4"/>
  <c r="E7" i="4"/>
  <c r="D7" i="4"/>
  <c r="C7" i="4"/>
  <c r="N6" i="4"/>
  <c r="M6" i="4"/>
  <c r="L6" i="4"/>
  <c r="K6" i="4"/>
  <c r="J6" i="4"/>
  <c r="I6" i="4"/>
  <c r="H6" i="4"/>
  <c r="G6" i="4"/>
  <c r="F6" i="4"/>
  <c r="E6" i="4"/>
  <c r="D6" i="4"/>
  <c r="C6" i="4"/>
  <c r="N5" i="4"/>
  <c r="M5" i="4"/>
  <c r="L5" i="4"/>
  <c r="K5" i="4"/>
  <c r="J5" i="4"/>
  <c r="I5" i="4"/>
  <c r="H5" i="4"/>
  <c r="G5" i="4"/>
  <c r="F5" i="4"/>
  <c r="E5" i="4"/>
  <c r="D5" i="4"/>
  <c r="C5" i="4"/>
  <c r="N17" i="3"/>
  <c r="M17" i="3"/>
  <c r="L17" i="3"/>
  <c r="K17" i="3"/>
  <c r="J17" i="3"/>
  <c r="I17" i="3"/>
  <c r="H17" i="3"/>
  <c r="G17" i="3"/>
  <c r="F17" i="3"/>
  <c r="E17" i="3"/>
  <c r="D17" i="3"/>
  <c r="C17" i="3"/>
  <c r="M16" i="3"/>
  <c r="L16" i="3"/>
  <c r="K16" i="3"/>
  <c r="J16" i="3"/>
  <c r="I16" i="3"/>
  <c r="H16" i="3"/>
  <c r="G16" i="3"/>
  <c r="F16" i="3"/>
  <c r="E16" i="3"/>
  <c r="D16" i="3"/>
  <c r="C16" i="3"/>
  <c r="L15" i="3"/>
  <c r="K15" i="3"/>
  <c r="J15" i="3"/>
  <c r="I15" i="3"/>
  <c r="H15" i="3"/>
  <c r="G15" i="3"/>
  <c r="F15" i="3"/>
  <c r="E15" i="3"/>
  <c r="D15" i="3"/>
  <c r="C15" i="3"/>
  <c r="K14" i="3"/>
  <c r="J14" i="3"/>
  <c r="I14" i="3"/>
  <c r="H14" i="3"/>
  <c r="G14" i="3"/>
  <c r="F14" i="3"/>
  <c r="E14" i="3"/>
  <c r="D14" i="3"/>
  <c r="C14" i="3"/>
  <c r="J13" i="3"/>
  <c r="I13" i="3"/>
  <c r="H13" i="3"/>
  <c r="G13" i="3"/>
  <c r="F13" i="3"/>
  <c r="E13" i="3"/>
  <c r="D13" i="3"/>
  <c r="C13" i="3"/>
  <c r="I12" i="3"/>
  <c r="H12" i="3"/>
  <c r="G12" i="3"/>
  <c r="F12" i="3"/>
  <c r="E12" i="3"/>
  <c r="D12" i="3"/>
  <c r="C12" i="3"/>
  <c r="H11" i="3"/>
  <c r="G11" i="3"/>
  <c r="F11" i="3"/>
  <c r="E11" i="3"/>
  <c r="D11" i="3"/>
  <c r="C11" i="3"/>
  <c r="G10" i="3"/>
  <c r="F10" i="3"/>
  <c r="E10" i="3"/>
  <c r="D10" i="3"/>
  <c r="C10" i="3"/>
  <c r="F9" i="3"/>
  <c r="E9" i="3"/>
  <c r="D9" i="3"/>
  <c r="C9" i="3"/>
  <c r="E8" i="3"/>
  <c r="D8" i="3"/>
  <c r="C8" i="3"/>
  <c r="D7" i="3"/>
  <c r="C7" i="3"/>
  <c r="C6" i="3"/>
  <c r="AE188" i="8"/>
  <c r="AB188" i="8"/>
  <c r="X188" i="8"/>
  <c r="W188" i="8"/>
  <c r="T188" i="8"/>
  <c r="P188" i="8"/>
  <c r="O188" i="8"/>
  <c r="N188" i="8"/>
  <c r="AD188" i="8" s="1"/>
  <c r="M188" i="8"/>
  <c r="AC188" i="8" s="1"/>
  <c r="L188" i="8"/>
  <c r="K188" i="8"/>
  <c r="AA188" i="8" s="1"/>
  <c r="J188" i="8"/>
  <c r="Z188" i="8" s="1"/>
  <c r="I188" i="8"/>
  <c r="Y188" i="8" s="1"/>
  <c r="H188" i="8"/>
  <c r="G188" i="8"/>
  <c r="F188" i="8"/>
  <c r="V188" i="8" s="1"/>
  <c r="E188" i="8"/>
  <c r="U188" i="8" s="1"/>
  <c r="D188" i="8"/>
  <c r="C188" i="8"/>
  <c r="S188" i="8" s="1"/>
  <c r="V187" i="8"/>
  <c r="P187" i="8"/>
  <c r="O187" i="8"/>
  <c r="N187" i="8"/>
  <c r="M187" i="8"/>
  <c r="L187" i="8"/>
  <c r="K187" i="8"/>
  <c r="J187" i="8"/>
  <c r="I187" i="8"/>
  <c r="Y187" i="8" s="1"/>
  <c r="H187" i="8"/>
  <c r="X187" i="8" s="1"/>
  <c r="G187" i="8"/>
  <c r="F187" i="8"/>
  <c r="E187" i="8"/>
  <c r="D187" i="8"/>
  <c r="C187" i="8"/>
  <c r="AD186" i="8"/>
  <c r="AC186" i="8"/>
  <c r="AA186" i="8"/>
  <c r="Z186" i="8"/>
  <c r="U186" i="8"/>
  <c r="P186" i="8"/>
  <c r="V186" i="8" s="1"/>
  <c r="O186" i="8"/>
  <c r="N186" i="8"/>
  <c r="M186" i="8"/>
  <c r="L186" i="8"/>
  <c r="K186" i="8"/>
  <c r="J186" i="8"/>
  <c r="I186" i="8"/>
  <c r="H186" i="8"/>
  <c r="X186" i="8" s="1"/>
  <c r="G186" i="8"/>
  <c r="F186" i="8"/>
  <c r="E186" i="8"/>
  <c r="D186" i="8"/>
  <c r="C186" i="8"/>
  <c r="S186" i="8" s="1"/>
  <c r="AC185" i="8"/>
  <c r="AB185" i="8"/>
  <c r="Y185" i="8"/>
  <c r="X185" i="8"/>
  <c r="V185" i="8"/>
  <c r="U185" i="8"/>
  <c r="P185" i="8"/>
  <c r="O185" i="8"/>
  <c r="AE185" i="8" s="1"/>
  <c r="N185" i="8"/>
  <c r="AD185" i="8" s="1"/>
  <c r="M185" i="8"/>
  <c r="L185" i="8"/>
  <c r="K185" i="8"/>
  <c r="AA185" i="8" s="1"/>
  <c r="J185" i="8"/>
  <c r="Z185" i="8" s="1"/>
  <c r="I185" i="8"/>
  <c r="H185" i="8"/>
  <c r="G185" i="8"/>
  <c r="W185" i="8" s="1"/>
  <c r="F185" i="8"/>
  <c r="E185" i="8"/>
  <c r="D185" i="8"/>
  <c r="T185" i="8" s="1"/>
  <c r="C185" i="8"/>
  <c r="S185" i="8" s="1"/>
  <c r="AB184" i="8"/>
  <c r="Y184" i="8"/>
  <c r="X184" i="8"/>
  <c r="W184" i="8"/>
  <c r="V184" i="8"/>
  <c r="T184" i="8"/>
  <c r="P184" i="8"/>
  <c r="O184" i="8"/>
  <c r="AE184" i="8" s="1"/>
  <c r="N184" i="8"/>
  <c r="AD184" i="8" s="1"/>
  <c r="M184" i="8"/>
  <c r="AC184" i="8" s="1"/>
  <c r="L184" i="8"/>
  <c r="K184" i="8"/>
  <c r="AA184" i="8" s="1"/>
  <c r="J184" i="8"/>
  <c r="Z184" i="8" s="1"/>
  <c r="I184" i="8"/>
  <c r="H184" i="8"/>
  <c r="G184" i="8"/>
  <c r="F184" i="8"/>
  <c r="E184" i="8"/>
  <c r="U184" i="8" s="1"/>
  <c r="D184" i="8"/>
  <c r="C184" i="8"/>
  <c r="S184" i="8" s="1"/>
  <c r="P183" i="8"/>
  <c r="O183" i="8"/>
  <c r="N183" i="8"/>
  <c r="M183" i="8"/>
  <c r="L183" i="8"/>
  <c r="K183" i="8"/>
  <c r="J183" i="8"/>
  <c r="I183" i="8"/>
  <c r="H183" i="8"/>
  <c r="X183" i="8" s="1"/>
  <c r="G183" i="8"/>
  <c r="F183" i="8"/>
  <c r="E183" i="8"/>
  <c r="D183" i="8"/>
  <c r="C183" i="8"/>
  <c r="AD182" i="8"/>
  <c r="AC182" i="8"/>
  <c r="AB182" i="8"/>
  <c r="AA182" i="8"/>
  <c r="S182" i="8"/>
  <c r="P182" i="8"/>
  <c r="O182" i="8"/>
  <c r="AE182" i="8" s="1"/>
  <c r="N182" i="8"/>
  <c r="M182" i="8"/>
  <c r="L182" i="8"/>
  <c r="K182" i="8"/>
  <c r="J182" i="8"/>
  <c r="I182" i="8"/>
  <c r="Y182" i="8" s="1"/>
  <c r="H182" i="8"/>
  <c r="X182" i="8" s="1"/>
  <c r="G182" i="8"/>
  <c r="W182" i="8" s="1"/>
  <c r="F182" i="8"/>
  <c r="E182" i="8"/>
  <c r="U182" i="8" s="1"/>
  <c r="D182" i="8"/>
  <c r="C182" i="8"/>
  <c r="AC181" i="8"/>
  <c r="Z181" i="8"/>
  <c r="W181" i="8"/>
  <c r="U181" i="8"/>
  <c r="P181" i="8"/>
  <c r="Y181" i="8" s="1"/>
  <c r="O181" i="8"/>
  <c r="AE181" i="8" s="1"/>
  <c r="N181" i="8"/>
  <c r="AD181" i="8" s="1"/>
  <c r="M181" i="8"/>
  <c r="L181" i="8"/>
  <c r="AB181" i="8" s="1"/>
  <c r="K181" i="8"/>
  <c r="J181" i="8"/>
  <c r="I181" i="8"/>
  <c r="H181" i="8"/>
  <c r="X181" i="8" s="1"/>
  <c r="G181" i="8"/>
  <c r="F181" i="8"/>
  <c r="V181" i="8" s="1"/>
  <c r="E181" i="8"/>
  <c r="D181" i="8"/>
  <c r="T181" i="8" s="1"/>
  <c r="C181" i="8"/>
  <c r="AA180" i="8"/>
  <c r="W180" i="8"/>
  <c r="T180" i="8"/>
  <c r="S180" i="8"/>
  <c r="P180" i="8"/>
  <c r="AC180" i="8" s="1"/>
  <c r="O180" i="8"/>
  <c r="N180" i="8"/>
  <c r="M180" i="8"/>
  <c r="L180" i="8"/>
  <c r="K180" i="8"/>
  <c r="J180" i="8"/>
  <c r="Z180" i="8" s="1"/>
  <c r="I180" i="8"/>
  <c r="Y180" i="8" s="1"/>
  <c r="H180" i="8"/>
  <c r="X180" i="8" s="1"/>
  <c r="G180" i="8"/>
  <c r="F180" i="8"/>
  <c r="E180" i="8"/>
  <c r="U180" i="8" s="1"/>
  <c r="D180" i="8"/>
  <c r="C180" i="8"/>
  <c r="AE179" i="8"/>
  <c r="AD179" i="8"/>
  <c r="AB179" i="8"/>
  <c r="X179" i="8"/>
  <c r="W179" i="8"/>
  <c r="U179" i="8"/>
  <c r="T179" i="8"/>
  <c r="P179" i="8"/>
  <c r="O179" i="8"/>
  <c r="N179" i="8"/>
  <c r="M179" i="8"/>
  <c r="AC179" i="8" s="1"/>
  <c r="L179" i="8"/>
  <c r="K179" i="8"/>
  <c r="AA179" i="8" s="1"/>
  <c r="J179" i="8"/>
  <c r="Z179" i="8" s="1"/>
  <c r="I179" i="8"/>
  <c r="Y179" i="8" s="1"/>
  <c r="H179" i="8"/>
  <c r="G179" i="8"/>
  <c r="F179" i="8"/>
  <c r="V179" i="8" s="1"/>
  <c r="E179" i="8"/>
  <c r="D179" i="8"/>
  <c r="C179" i="8"/>
  <c r="S179" i="8" s="1"/>
  <c r="AE178" i="8"/>
  <c r="AD178" i="8"/>
  <c r="V178" i="8"/>
  <c r="U178" i="8"/>
  <c r="P178" i="8"/>
  <c r="O178" i="8"/>
  <c r="N178" i="8"/>
  <c r="M178" i="8"/>
  <c r="L178" i="8"/>
  <c r="K178" i="8"/>
  <c r="J178" i="8"/>
  <c r="I178" i="8"/>
  <c r="H178" i="8"/>
  <c r="X178" i="8" s="1"/>
  <c r="G178" i="8"/>
  <c r="F178" i="8"/>
  <c r="E178" i="8"/>
  <c r="D178" i="8"/>
  <c r="C178" i="8"/>
  <c r="AB177" i="8"/>
  <c r="Z177" i="8"/>
  <c r="Y177" i="8"/>
  <c r="P177" i="8"/>
  <c r="O177" i="8"/>
  <c r="AE177" i="8" s="1"/>
  <c r="N177" i="8"/>
  <c r="AD177" i="8" s="1"/>
  <c r="M177" i="8"/>
  <c r="L177" i="8"/>
  <c r="K177" i="8"/>
  <c r="AA177" i="8" s="1"/>
  <c r="J177" i="8"/>
  <c r="I177" i="8"/>
  <c r="H177" i="8"/>
  <c r="X177" i="8" s="1"/>
  <c r="G177" i="8"/>
  <c r="W177" i="8" s="1"/>
  <c r="F177" i="8"/>
  <c r="V177" i="8" s="1"/>
  <c r="E177" i="8"/>
  <c r="D177" i="8"/>
  <c r="C177" i="8"/>
  <c r="S177" i="8" s="1"/>
  <c r="AB176" i="8"/>
  <c r="X176" i="8"/>
  <c r="U176" i="8"/>
  <c r="T176" i="8"/>
  <c r="S176" i="8"/>
  <c r="P176" i="8"/>
  <c r="O176" i="8"/>
  <c r="AE176" i="8" s="1"/>
  <c r="N176" i="8"/>
  <c r="AD176" i="8" s="1"/>
  <c r="M176" i="8"/>
  <c r="AC176" i="8" s="1"/>
  <c r="L176" i="8"/>
  <c r="K176" i="8"/>
  <c r="AA176" i="8" s="1"/>
  <c r="J176" i="8"/>
  <c r="Z176" i="8" s="1"/>
  <c r="I176" i="8"/>
  <c r="Y176" i="8" s="1"/>
  <c r="H176" i="8"/>
  <c r="G176" i="8"/>
  <c r="W176" i="8" s="1"/>
  <c r="F176" i="8"/>
  <c r="V176" i="8" s="1"/>
  <c r="E176" i="8"/>
  <c r="D176" i="8"/>
  <c r="C176" i="8"/>
  <c r="AD175" i="8"/>
  <c r="AB175" i="8"/>
  <c r="S175" i="8"/>
  <c r="P175" i="8"/>
  <c r="O175" i="8"/>
  <c r="AE175" i="8" s="1"/>
  <c r="N175" i="8"/>
  <c r="M175" i="8"/>
  <c r="L175" i="8"/>
  <c r="K175" i="8"/>
  <c r="J175" i="8"/>
  <c r="I175" i="8"/>
  <c r="Y175" i="8" s="1"/>
  <c r="H175" i="8"/>
  <c r="X175" i="8" s="1"/>
  <c r="G175" i="8"/>
  <c r="W175" i="8" s="1"/>
  <c r="F175" i="8"/>
  <c r="V175" i="8" s="1"/>
  <c r="E175" i="8"/>
  <c r="D175" i="8"/>
  <c r="C175" i="8"/>
  <c r="AD174" i="8"/>
  <c r="Y174" i="8"/>
  <c r="P174" i="8"/>
  <c r="AC174" i="8" s="1"/>
  <c r="O174" i="8"/>
  <c r="N174" i="8"/>
  <c r="M174" i="8"/>
  <c r="L174" i="8"/>
  <c r="AB174" i="8" s="1"/>
  <c r="K174" i="8"/>
  <c r="J174" i="8"/>
  <c r="I174" i="8"/>
  <c r="H174" i="8"/>
  <c r="X174" i="8" s="1"/>
  <c r="G174" i="8"/>
  <c r="F174" i="8"/>
  <c r="E174" i="8"/>
  <c r="U174" i="8" s="1"/>
  <c r="D174" i="8"/>
  <c r="C174" i="8"/>
  <c r="AC173" i="8"/>
  <c r="Z173" i="8"/>
  <c r="Y173" i="8"/>
  <c r="X173" i="8"/>
  <c r="W173" i="8"/>
  <c r="U173" i="8"/>
  <c r="P173" i="8"/>
  <c r="O173" i="8"/>
  <c r="AE173" i="8" s="1"/>
  <c r="N173" i="8"/>
  <c r="AD173" i="8" s="1"/>
  <c r="M173" i="8"/>
  <c r="L173" i="8"/>
  <c r="AB173" i="8" s="1"/>
  <c r="K173" i="8"/>
  <c r="AA173" i="8" s="1"/>
  <c r="J173" i="8"/>
  <c r="I173" i="8"/>
  <c r="H173" i="8"/>
  <c r="G173" i="8"/>
  <c r="F173" i="8"/>
  <c r="V173" i="8" s="1"/>
  <c r="E173" i="8"/>
  <c r="D173" i="8"/>
  <c r="T173" i="8" s="1"/>
  <c r="C173" i="8"/>
  <c r="S173" i="8" s="1"/>
  <c r="Z172" i="8"/>
  <c r="Y172" i="8"/>
  <c r="W172" i="8"/>
  <c r="U172" i="8"/>
  <c r="S172" i="8"/>
  <c r="P172" i="8"/>
  <c r="AC172" i="8" s="1"/>
  <c r="O172" i="8"/>
  <c r="N172" i="8"/>
  <c r="M172" i="8"/>
  <c r="L172" i="8"/>
  <c r="AB172" i="8" s="1"/>
  <c r="K172" i="8"/>
  <c r="J172" i="8"/>
  <c r="I172" i="8"/>
  <c r="H172" i="8"/>
  <c r="X172" i="8" s="1"/>
  <c r="G172" i="8"/>
  <c r="F172" i="8"/>
  <c r="E172" i="8"/>
  <c r="D172" i="8"/>
  <c r="T172" i="8" s="1"/>
  <c r="C172" i="8"/>
  <c r="X171" i="8"/>
  <c r="T171" i="8"/>
  <c r="P171" i="8"/>
  <c r="O171" i="8"/>
  <c r="N171" i="8"/>
  <c r="M171" i="8"/>
  <c r="L171" i="8"/>
  <c r="K171" i="8"/>
  <c r="J171" i="8"/>
  <c r="Z171" i="8" s="1"/>
  <c r="I171" i="8"/>
  <c r="H171" i="8"/>
  <c r="G171" i="8"/>
  <c r="F171" i="8"/>
  <c r="E171" i="8"/>
  <c r="D171" i="8"/>
  <c r="C171" i="8"/>
  <c r="AE170" i="8"/>
  <c r="AD170" i="8"/>
  <c r="AC170" i="8"/>
  <c r="X170" i="8"/>
  <c r="W170" i="8"/>
  <c r="V170" i="8"/>
  <c r="U170" i="8"/>
  <c r="T170" i="8"/>
  <c r="P170" i="8"/>
  <c r="O170" i="8"/>
  <c r="N170" i="8"/>
  <c r="M170" i="8"/>
  <c r="L170" i="8"/>
  <c r="AB170" i="8" s="1"/>
  <c r="K170" i="8"/>
  <c r="AA170" i="8" s="1"/>
  <c r="J170" i="8"/>
  <c r="Z170" i="8" s="1"/>
  <c r="I170" i="8"/>
  <c r="Y170" i="8" s="1"/>
  <c r="H170" i="8"/>
  <c r="G170" i="8"/>
  <c r="F170" i="8"/>
  <c r="E170" i="8"/>
  <c r="D170" i="8"/>
  <c r="C170" i="8"/>
  <c r="S170" i="8" s="1"/>
  <c r="AE169" i="8"/>
  <c r="AD169" i="8"/>
  <c r="W169" i="8"/>
  <c r="V169" i="8"/>
  <c r="T169" i="8"/>
  <c r="P169" i="8"/>
  <c r="O169" i="8"/>
  <c r="N169" i="8"/>
  <c r="M169" i="8"/>
  <c r="L169" i="8"/>
  <c r="K169" i="8"/>
  <c r="J169" i="8"/>
  <c r="Z169" i="8" s="1"/>
  <c r="I169" i="8"/>
  <c r="H169" i="8"/>
  <c r="X169" i="8" s="1"/>
  <c r="G169" i="8"/>
  <c r="F169" i="8"/>
  <c r="E169" i="8"/>
  <c r="D169" i="8"/>
  <c r="C169" i="8"/>
  <c r="T168" i="8"/>
  <c r="P168" i="8"/>
  <c r="O168" i="8"/>
  <c r="AE168" i="8" s="1"/>
  <c r="N168" i="8"/>
  <c r="M168" i="8"/>
  <c r="AC168" i="8" s="1"/>
  <c r="L168" i="8"/>
  <c r="K168" i="8"/>
  <c r="J168" i="8"/>
  <c r="I168" i="8"/>
  <c r="H168" i="8"/>
  <c r="X168" i="8" s="1"/>
  <c r="G168" i="8"/>
  <c r="W168" i="8" s="1"/>
  <c r="F168" i="8"/>
  <c r="E168" i="8"/>
  <c r="U168" i="8" s="1"/>
  <c r="D168" i="8"/>
  <c r="C168" i="8"/>
  <c r="AB167" i="8"/>
  <c r="Z167" i="8"/>
  <c r="Y167" i="8"/>
  <c r="X167" i="8"/>
  <c r="P167" i="8"/>
  <c r="T167" i="8" s="1"/>
  <c r="O167" i="8"/>
  <c r="AE167" i="8" s="1"/>
  <c r="N167" i="8"/>
  <c r="AD167" i="8" s="1"/>
  <c r="M167" i="8"/>
  <c r="AC167" i="8" s="1"/>
  <c r="L167" i="8"/>
  <c r="K167" i="8"/>
  <c r="AA167" i="8" s="1"/>
  <c r="J167" i="8"/>
  <c r="I167" i="8"/>
  <c r="H167" i="8"/>
  <c r="G167" i="8"/>
  <c r="W167" i="8" s="1"/>
  <c r="F167" i="8"/>
  <c r="V167" i="8" s="1"/>
  <c r="E167" i="8"/>
  <c r="U167" i="8" s="1"/>
  <c r="D167" i="8"/>
  <c r="C167" i="8"/>
  <c r="S167" i="8" s="1"/>
  <c r="Z166" i="8"/>
  <c r="Y166" i="8"/>
  <c r="W166" i="8"/>
  <c r="T166" i="8"/>
  <c r="S166" i="8"/>
  <c r="P166" i="8"/>
  <c r="AB166" i="8" s="1"/>
  <c r="O166" i="8"/>
  <c r="N166" i="8"/>
  <c r="M166" i="8"/>
  <c r="L166" i="8"/>
  <c r="K166" i="8"/>
  <c r="J166" i="8"/>
  <c r="I166" i="8"/>
  <c r="H166" i="8"/>
  <c r="X166" i="8" s="1"/>
  <c r="G166" i="8"/>
  <c r="F166" i="8"/>
  <c r="E166" i="8"/>
  <c r="U166" i="8" s="1"/>
  <c r="D166" i="8"/>
  <c r="C166" i="8"/>
  <c r="AE165" i="8"/>
  <c r="AD165" i="8"/>
  <c r="X165" i="8"/>
  <c r="V165" i="8"/>
  <c r="U165" i="8"/>
  <c r="T165" i="8"/>
  <c r="S165" i="8"/>
  <c r="P165" i="8"/>
  <c r="W165" i="8" s="1"/>
  <c r="O165" i="8"/>
  <c r="N165" i="8"/>
  <c r="M165" i="8"/>
  <c r="L165" i="8"/>
  <c r="AB165" i="8" s="1"/>
  <c r="K165" i="8"/>
  <c r="AA165" i="8" s="1"/>
  <c r="J165" i="8"/>
  <c r="Z165" i="8" s="1"/>
  <c r="I165" i="8"/>
  <c r="Y165" i="8" s="1"/>
  <c r="H165" i="8"/>
  <c r="G165" i="8"/>
  <c r="F165" i="8"/>
  <c r="E165" i="8"/>
  <c r="D165" i="8"/>
  <c r="C165" i="8"/>
  <c r="AE164" i="8"/>
  <c r="AD164" i="8"/>
  <c r="AC164" i="8"/>
  <c r="Z164" i="8"/>
  <c r="X164" i="8"/>
  <c r="W164" i="8"/>
  <c r="V164" i="8"/>
  <c r="U164" i="8"/>
  <c r="S164" i="8"/>
  <c r="P164" i="8"/>
  <c r="O164" i="8"/>
  <c r="N164" i="8"/>
  <c r="M164" i="8"/>
  <c r="L164" i="8"/>
  <c r="AB164" i="8" s="1"/>
  <c r="K164" i="8"/>
  <c r="AA164" i="8" s="1"/>
  <c r="J164" i="8"/>
  <c r="I164" i="8"/>
  <c r="Y164" i="8" s="1"/>
  <c r="H164" i="8"/>
  <c r="G164" i="8"/>
  <c r="F164" i="8"/>
  <c r="E164" i="8"/>
  <c r="D164" i="8"/>
  <c r="T164" i="8" s="1"/>
  <c r="C164" i="8"/>
  <c r="AD163" i="8"/>
  <c r="AC163" i="8"/>
  <c r="AA163" i="8"/>
  <c r="U163" i="8"/>
  <c r="T163" i="8"/>
  <c r="P163" i="8"/>
  <c r="Y163" i="8" s="1"/>
  <c r="O163" i="8"/>
  <c r="N163" i="8"/>
  <c r="M163" i="8"/>
  <c r="L163" i="8"/>
  <c r="K163" i="8"/>
  <c r="J163" i="8"/>
  <c r="Z163" i="8" s="1"/>
  <c r="I163" i="8"/>
  <c r="H163" i="8"/>
  <c r="X163" i="8" s="1"/>
  <c r="G163" i="8"/>
  <c r="F163" i="8"/>
  <c r="V163" i="8" s="1"/>
  <c r="E163" i="8"/>
  <c r="D163" i="8"/>
  <c r="C163" i="8"/>
  <c r="AE162" i="8"/>
  <c r="AA162" i="8"/>
  <c r="Y162" i="8"/>
  <c r="X162" i="8"/>
  <c r="P162" i="8"/>
  <c r="O162" i="8"/>
  <c r="N162" i="8"/>
  <c r="AD162" i="8" s="1"/>
  <c r="M162" i="8"/>
  <c r="AC162" i="8" s="1"/>
  <c r="L162" i="8"/>
  <c r="AB162" i="8" s="1"/>
  <c r="K162" i="8"/>
  <c r="J162" i="8"/>
  <c r="Z162" i="8" s="1"/>
  <c r="I162" i="8"/>
  <c r="H162" i="8"/>
  <c r="G162" i="8"/>
  <c r="W162" i="8" s="1"/>
  <c r="F162" i="8"/>
  <c r="V162" i="8" s="1"/>
  <c r="E162" i="8"/>
  <c r="U162" i="8" s="1"/>
  <c r="D162" i="8"/>
  <c r="T162" i="8" s="1"/>
  <c r="C162" i="8"/>
  <c r="S162" i="8" s="1"/>
  <c r="AB161" i="8"/>
  <c r="AA161" i="8"/>
  <c r="Z161" i="8"/>
  <c r="Y161" i="8"/>
  <c r="X161" i="8"/>
  <c r="V161" i="8"/>
  <c r="S161" i="8"/>
  <c r="P161" i="8"/>
  <c r="O161" i="8"/>
  <c r="AE161" i="8" s="1"/>
  <c r="N161" i="8"/>
  <c r="AD161" i="8" s="1"/>
  <c r="M161" i="8"/>
  <c r="AC161" i="8" s="1"/>
  <c r="L161" i="8"/>
  <c r="K161" i="8"/>
  <c r="J161" i="8"/>
  <c r="I161" i="8"/>
  <c r="H161" i="8"/>
  <c r="G161" i="8"/>
  <c r="W161" i="8" s="1"/>
  <c r="F161" i="8"/>
  <c r="E161" i="8"/>
  <c r="U161" i="8" s="1"/>
  <c r="D161" i="8"/>
  <c r="T161" i="8" s="1"/>
  <c r="C161" i="8"/>
  <c r="AD160" i="8"/>
  <c r="W160" i="8"/>
  <c r="T160" i="8"/>
  <c r="S160" i="8"/>
  <c r="P160" i="8"/>
  <c r="V160" i="8" s="1"/>
  <c r="O160" i="8"/>
  <c r="N160" i="8"/>
  <c r="M160" i="8"/>
  <c r="AC160" i="8" s="1"/>
  <c r="L160" i="8"/>
  <c r="K160" i="8"/>
  <c r="AA160" i="8" s="1"/>
  <c r="J160" i="8"/>
  <c r="Z160" i="8" s="1"/>
  <c r="I160" i="8"/>
  <c r="Y160" i="8" s="1"/>
  <c r="H160" i="8"/>
  <c r="X160" i="8" s="1"/>
  <c r="G160" i="8"/>
  <c r="F160" i="8"/>
  <c r="E160" i="8"/>
  <c r="U160" i="8" s="1"/>
  <c r="D160" i="8"/>
  <c r="C160" i="8"/>
  <c r="AE159" i="8"/>
  <c r="AD159" i="8"/>
  <c r="W159" i="8"/>
  <c r="V159" i="8"/>
  <c r="U159" i="8"/>
  <c r="P159" i="8"/>
  <c r="O159" i="8"/>
  <c r="N159" i="8"/>
  <c r="M159" i="8"/>
  <c r="L159" i="8"/>
  <c r="AB159" i="8" s="1"/>
  <c r="K159" i="8"/>
  <c r="AA159" i="8" s="1"/>
  <c r="J159" i="8"/>
  <c r="Z159" i="8" s="1"/>
  <c r="I159" i="8"/>
  <c r="H159" i="8"/>
  <c r="X159" i="8" s="1"/>
  <c r="G159" i="8"/>
  <c r="F159" i="8"/>
  <c r="E159" i="8"/>
  <c r="D159" i="8"/>
  <c r="T159" i="8" s="1"/>
  <c r="C159" i="8"/>
  <c r="S159" i="8" s="1"/>
  <c r="AC158" i="8"/>
  <c r="AB158" i="8"/>
  <c r="X158" i="8"/>
  <c r="U158" i="8"/>
  <c r="T158" i="8"/>
  <c r="P158" i="8"/>
  <c r="O158" i="8"/>
  <c r="AE158" i="8" s="1"/>
  <c r="N158" i="8"/>
  <c r="M158" i="8"/>
  <c r="L158" i="8"/>
  <c r="K158" i="8"/>
  <c r="AA158" i="8" s="1"/>
  <c r="J158" i="8"/>
  <c r="Z158" i="8" s="1"/>
  <c r="I158" i="8"/>
  <c r="Y158" i="8" s="1"/>
  <c r="H158" i="8"/>
  <c r="G158" i="8"/>
  <c r="W158" i="8" s="1"/>
  <c r="F158" i="8"/>
  <c r="E158" i="8"/>
  <c r="D158" i="8"/>
  <c r="C158" i="8"/>
  <c r="S158" i="8" s="1"/>
  <c r="AE157" i="8"/>
  <c r="AD157" i="8"/>
  <c r="AB157" i="8"/>
  <c r="Z157" i="8"/>
  <c r="X157" i="8"/>
  <c r="W157" i="8"/>
  <c r="U157" i="8"/>
  <c r="S157" i="8"/>
  <c r="P157" i="8"/>
  <c r="O157" i="8"/>
  <c r="N157" i="8"/>
  <c r="M157" i="8"/>
  <c r="AC157" i="8" s="1"/>
  <c r="L157" i="8"/>
  <c r="K157" i="8"/>
  <c r="AA157" i="8" s="1"/>
  <c r="J157" i="8"/>
  <c r="I157" i="8"/>
  <c r="Y157" i="8" s="1"/>
  <c r="H157" i="8"/>
  <c r="G157" i="8"/>
  <c r="F157" i="8"/>
  <c r="V157" i="8" s="1"/>
  <c r="E157" i="8"/>
  <c r="D157" i="8"/>
  <c r="T157" i="8" s="1"/>
  <c r="C157" i="8"/>
  <c r="AD156" i="8"/>
  <c r="AA156" i="8"/>
  <c r="Z156" i="8"/>
  <c r="Y156" i="8"/>
  <c r="X156" i="8"/>
  <c r="P156" i="8"/>
  <c r="O156" i="8"/>
  <c r="AE156" i="8" s="1"/>
  <c r="N156" i="8"/>
  <c r="M156" i="8"/>
  <c r="AC156" i="8" s="1"/>
  <c r="L156" i="8"/>
  <c r="AB156" i="8" s="1"/>
  <c r="K156" i="8"/>
  <c r="J156" i="8"/>
  <c r="I156" i="8"/>
  <c r="H156" i="8"/>
  <c r="G156" i="8"/>
  <c r="W156" i="8" s="1"/>
  <c r="F156" i="8"/>
  <c r="V156" i="8" s="1"/>
  <c r="E156" i="8"/>
  <c r="U156" i="8" s="1"/>
  <c r="D156" i="8"/>
  <c r="T156" i="8" s="1"/>
  <c r="C156" i="8"/>
  <c r="S156" i="8" s="1"/>
  <c r="Z155" i="8"/>
  <c r="Y155" i="8"/>
  <c r="X155" i="8"/>
  <c r="U155" i="8"/>
  <c r="P155" i="8"/>
  <c r="AC155" i="8" s="1"/>
  <c r="O155" i="8"/>
  <c r="N155" i="8"/>
  <c r="M155" i="8"/>
  <c r="L155" i="8"/>
  <c r="K155" i="8"/>
  <c r="AA155" i="8" s="1"/>
  <c r="J155" i="8"/>
  <c r="I155" i="8"/>
  <c r="H155" i="8"/>
  <c r="G155" i="8"/>
  <c r="F155" i="8"/>
  <c r="E155" i="8"/>
  <c r="D155" i="8"/>
  <c r="T155" i="8" s="1"/>
  <c r="C155" i="8"/>
  <c r="S155" i="8" s="1"/>
  <c r="AD154" i="8"/>
  <c r="AB154" i="8"/>
  <c r="X154" i="8"/>
  <c r="W154" i="8"/>
  <c r="U154" i="8"/>
  <c r="T154" i="8"/>
  <c r="P154" i="8"/>
  <c r="O154" i="8"/>
  <c r="AE154" i="8" s="1"/>
  <c r="N154" i="8"/>
  <c r="M154" i="8"/>
  <c r="AC154" i="8" s="1"/>
  <c r="L154" i="8"/>
  <c r="K154" i="8"/>
  <c r="AA154" i="8" s="1"/>
  <c r="J154" i="8"/>
  <c r="Z154" i="8" s="1"/>
  <c r="I154" i="8"/>
  <c r="Y154" i="8" s="1"/>
  <c r="H154" i="8"/>
  <c r="G154" i="8"/>
  <c r="F154" i="8"/>
  <c r="V154" i="8" s="1"/>
  <c r="E154" i="8"/>
  <c r="D154" i="8"/>
  <c r="C154" i="8"/>
  <c r="S154" i="8" s="1"/>
  <c r="AE153" i="8"/>
  <c r="AD153" i="8"/>
  <c r="P153" i="8"/>
  <c r="O153" i="8"/>
  <c r="N153" i="8"/>
  <c r="M153" i="8"/>
  <c r="L153" i="8"/>
  <c r="K153" i="8"/>
  <c r="J153" i="8"/>
  <c r="I153" i="8"/>
  <c r="H153" i="8"/>
  <c r="X153" i="8" s="1"/>
  <c r="G153" i="8"/>
  <c r="F153" i="8"/>
  <c r="E153" i="8"/>
  <c r="D153" i="8"/>
  <c r="T153" i="8" s="1"/>
  <c r="C153" i="8"/>
  <c r="AD152" i="8"/>
  <c r="AC152" i="8"/>
  <c r="V152" i="8"/>
  <c r="U152" i="8"/>
  <c r="T152" i="8"/>
  <c r="P152" i="8"/>
  <c r="O152" i="8"/>
  <c r="N152" i="8"/>
  <c r="M152" i="8"/>
  <c r="L152" i="8"/>
  <c r="K152" i="8"/>
  <c r="AA152" i="8" s="1"/>
  <c r="J152" i="8"/>
  <c r="Z152" i="8" s="1"/>
  <c r="I152" i="8"/>
  <c r="H152" i="8"/>
  <c r="X152" i="8" s="1"/>
  <c r="G152" i="8"/>
  <c r="F152" i="8"/>
  <c r="E152" i="8"/>
  <c r="D152" i="8"/>
  <c r="C152" i="8"/>
  <c r="S152" i="8" s="1"/>
  <c r="AE151" i="8"/>
  <c r="Z151" i="8"/>
  <c r="Y151" i="8"/>
  <c r="X151" i="8"/>
  <c r="T151" i="8"/>
  <c r="P151" i="8"/>
  <c r="O151" i="8"/>
  <c r="N151" i="8"/>
  <c r="AD151" i="8" s="1"/>
  <c r="M151" i="8"/>
  <c r="AC151" i="8" s="1"/>
  <c r="L151" i="8"/>
  <c r="AB151" i="8" s="1"/>
  <c r="K151" i="8"/>
  <c r="AA151" i="8" s="1"/>
  <c r="J151" i="8"/>
  <c r="I151" i="8"/>
  <c r="H151" i="8"/>
  <c r="G151" i="8"/>
  <c r="W151" i="8" s="1"/>
  <c r="F151" i="8"/>
  <c r="V151" i="8" s="1"/>
  <c r="E151" i="8"/>
  <c r="U151" i="8" s="1"/>
  <c r="D151" i="8"/>
  <c r="C151" i="8"/>
  <c r="S151" i="8" s="1"/>
  <c r="AA150" i="8"/>
  <c r="Y150" i="8"/>
  <c r="X150" i="8"/>
  <c r="W150" i="8"/>
  <c r="T150" i="8"/>
  <c r="P150" i="8"/>
  <c r="AB150" i="8" s="1"/>
  <c r="O150" i="8"/>
  <c r="AE150" i="8" s="1"/>
  <c r="N150" i="8"/>
  <c r="AD150" i="8" s="1"/>
  <c r="M150" i="8"/>
  <c r="AC150" i="8" s="1"/>
  <c r="L150" i="8"/>
  <c r="K150" i="8"/>
  <c r="J150" i="8"/>
  <c r="Z150" i="8" s="1"/>
  <c r="I150" i="8"/>
  <c r="H150" i="8"/>
  <c r="G150" i="8"/>
  <c r="F150" i="8"/>
  <c r="V150" i="8" s="1"/>
  <c r="E150" i="8"/>
  <c r="U150" i="8" s="1"/>
  <c r="D150" i="8"/>
  <c r="C150" i="8"/>
  <c r="S150" i="8" s="1"/>
  <c r="AE149" i="8"/>
  <c r="Z149" i="8"/>
  <c r="X149" i="8"/>
  <c r="V149" i="8"/>
  <c r="S149" i="8"/>
  <c r="P149" i="8"/>
  <c r="W149" i="8" s="1"/>
  <c r="O149" i="8"/>
  <c r="N149" i="8"/>
  <c r="M149" i="8"/>
  <c r="L149" i="8"/>
  <c r="AB149" i="8" s="1"/>
  <c r="K149" i="8"/>
  <c r="J149" i="8"/>
  <c r="I149" i="8"/>
  <c r="Y149" i="8" s="1"/>
  <c r="H149" i="8"/>
  <c r="G149" i="8"/>
  <c r="F149" i="8"/>
  <c r="E149" i="8"/>
  <c r="U149" i="8" s="1"/>
  <c r="D149" i="8"/>
  <c r="T149" i="8" s="1"/>
  <c r="C149" i="8"/>
  <c r="AD148" i="8"/>
  <c r="X148" i="8"/>
  <c r="V148" i="8"/>
  <c r="U148" i="8"/>
  <c r="P148" i="8"/>
  <c r="O148" i="8"/>
  <c r="N148" i="8"/>
  <c r="M148" i="8"/>
  <c r="L148" i="8"/>
  <c r="K148" i="8"/>
  <c r="AA148" i="8" s="1"/>
  <c r="J148" i="8"/>
  <c r="I148" i="8"/>
  <c r="Y148" i="8" s="1"/>
  <c r="H148" i="8"/>
  <c r="G148" i="8"/>
  <c r="F148" i="8"/>
  <c r="E148" i="8"/>
  <c r="D148" i="8"/>
  <c r="C148" i="8"/>
  <c r="S148" i="8" s="1"/>
  <c r="S147" i="8"/>
  <c r="P147" i="8"/>
  <c r="O147" i="8"/>
  <c r="N147" i="8"/>
  <c r="M147" i="8"/>
  <c r="L147" i="8"/>
  <c r="K147" i="8"/>
  <c r="J147" i="8"/>
  <c r="I147" i="8"/>
  <c r="Y147" i="8" s="1"/>
  <c r="H147" i="8"/>
  <c r="X147" i="8" s="1"/>
  <c r="G147" i="8"/>
  <c r="F147" i="8"/>
  <c r="V147" i="8" s="1"/>
  <c r="E147" i="8"/>
  <c r="D147" i="8"/>
  <c r="C147" i="8"/>
  <c r="AE146" i="8"/>
  <c r="AD146" i="8"/>
  <c r="AC146" i="8"/>
  <c r="AA146" i="8"/>
  <c r="X146" i="8"/>
  <c r="W146" i="8"/>
  <c r="U146" i="8"/>
  <c r="T146" i="8"/>
  <c r="P146" i="8"/>
  <c r="O146" i="8"/>
  <c r="N146" i="8"/>
  <c r="M146" i="8"/>
  <c r="L146" i="8"/>
  <c r="AB146" i="8" s="1"/>
  <c r="K146" i="8"/>
  <c r="J146" i="8"/>
  <c r="Z146" i="8" s="1"/>
  <c r="I146" i="8"/>
  <c r="Y146" i="8" s="1"/>
  <c r="H146" i="8"/>
  <c r="G146" i="8"/>
  <c r="F146" i="8"/>
  <c r="V146" i="8" s="1"/>
  <c r="E146" i="8"/>
  <c r="D146" i="8"/>
  <c r="C146" i="8"/>
  <c r="S146" i="8" s="1"/>
  <c r="Z145" i="8"/>
  <c r="Y145" i="8"/>
  <c r="X145" i="8"/>
  <c r="S145" i="8"/>
  <c r="P145" i="8"/>
  <c r="AA145" i="8" s="1"/>
  <c r="O145" i="8"/>
  <c r="AE145" i="8" s="1"/>
  <c r="N145" i="8"/>
  <c r="AD145" i="8" s="1"/>
  <c r="M145" i="8"/>
  <c r="AC145" i="8" s="1"/>
  <c r="L145" i="8"/>
  <c r="AB145" i="8" s="1"/>
  <c r="K145" i="8"/>
  <c r="J145" i="8"/>
  <c r="I145" i="8"/>
  <c r="H145" i="8"/>
  <c r="G145" i="8"/>
  <c r="W145" i="8" s="1"/>
  <c r="F145" i="8"/>
  <c r="V145" i="8" s="1"/>
  <c r="E145" i="8"/>
  <c r="U145" i="8" s="1"/>
  <c r="D145" i="8"/>
  <c r="T145" i="8" s="1"/>
  <c r="C145" i="8"/>
  <c r="AB144" i="8"/>
  <c r="AA144" i="8"/>
  <c r="Z144" i="8"/>
  <c r="Y144" i="8"/>
  <c r="W144" i="8"/>
  <c r="P144" i="8"/>
  <c r="V144" i="8" s="1"/>
  <c r="O144" i="8"/>
  <c r="AE144" i="8" s="1"/>
  <c r="N144" i="8"/>
  <c r="M144" i="8"/>
  <c r="AC144" i="8" s="1"/>
  <c r="L144" i="8"/>
  <c r="K144" i="8"/>
  <c r="J144" i="8"/>
  <c r="I144" i="8"/>
  <c r="H144" i="8"/>
  <c r="X144" i="8" s="1"/>
  <c r="G144" i="8"/>
  <c r="F144" i="8"/>
  <c r="E144" i="8"/>
  <c r="U144" i="8" s="1"/>
  <c r="D144" i="8"/>
  <c r="T144" i="8" s="1"/>
  <c r="C144" i="8"/>
  <c r="S144" i="8" s="1"/>
  <c r="P143" i="8"/>
  <c r="O143" i="8"/>
  <c r="N143" i="8"/>
  <c r="M143" i="8"/>
  <c r="L143" i="8"/>
  <c r="K143" i="8"/>
  <c r="J143" i="8"/>
  <c r="I143" i="8"/>
  <c r="H143" i="8"/>
  <c r="X143" i="8" s="1"/>
  <c r="G143" i="8"/>
  <c r="F143" i="8"/>
  <c r="E143" i="8"/>
  <c r="D143" i="8"/>
  <c r="C143" i="8"/>
  <c r="AE142" i="8"/>
  <c r="AC142" i="8"/>
  <c r="AB142" i="8"/>
  <c r="U142" i="8"/>
  <c r="T142" i="8"/>
  <c r="P142" i="8"/>
  <c r="O142" i="8"/>
  <c r="N142" i="8"/>
  <c r="M142" i="8"/>
  <c r="L142" i="8"/>
  <c r="K142" i="8"/>
  <c r="AA142" i="8" s="1"/>
  <c r="J142" i="8"/>
  <c r="Z142" i="8" s="1"/>
  <c r="I142" i="8"/>
  <c r="Y142" i="8" s="1"/>
  <c r="H142" i="8"/>
  <c r="X142" i="8" s="1"/>
  <c r="G142" i="8"/>
  <c r="W142" i="8" s="1"/>
  <c r="F142" i="8"/>
  <c r="E142" i="8"/>
  <c r="D142" i="8"/>
  <c r="C142" i="8"/>
  <c r="S142" i="8" s="1"/>
  <c r="AE141" i="8"/>
  <c r="AD141" i="8"/>
  <c r="AC141" i="8"/>
  <c r="AB141" i="8"/>
  <c r="W141" i="8"/>
  <c r="V141" i="8"/>
  <c r="U141" i="8"/>
  <c r="T141" i="8"/>
  <c r="P141" i="8"/>
  <c r="O141" i="8"/>
  <c r="N141" i="8"/>
  <c r="M141" i="8"/>
  <c r="L141" i="8"/>
  <c r="K141" i="8"/>
  <c r="AA141" i="8" s="1"/>
  <c r="J141" i="8"/>
  <c r="Z141" i="8" s="1"/>
  <c r="I141" i="8"/>
  <c r="Y141" i="8" s="1"/>
  <c r="H141" i="8"/>
  <c r="X141" i="8" s="1"/>
  <c r="G141" i="8"/>
  <c r="F141" i="8"/>
  <c r="E141" i="8"/>
  <c r="D141" i="8"/>
  <c r="C141" i="8"/>
  <c r="S141" i="8" s="1"/>
  <c r="AE140" i="8"/>
  <c r="P140" i="8"/>
  <c r="O140" i="8"/>
  <c r="N140" i="8"/>
  <c r="AD140" i="8" s="1"/>
  <c r="M140" i="8"/>
  <c r="AC140" i="8" s="1"/>
  <c r="L140" i="8"/>
  <c r="K140" i="8"/>
  <c r="J140" i="8"/>
  <c r="I140" i="8"/>
  <c r="H140" i="8"/>
  <c r="X140" i="8" s="1"/>
  <c r="G140" i="8"/>
  <c r="F140" i="8"/>
  <c r="V140" i="8" s="1"/>
  <c r="E140" i="8"/>
  <c r="U140" i="8" s="1"/>
  <c r="D140" i="8"/>
  <c r="C140" i="8"/>
  <c r="AC139" i="8"/>
  <c r="Z139" i="8"/>
  <c r="Y139" i="8"/>
  <c r="X139" i="8"/>
  <c r="U139" i="8"/>
  <c r="P139" i="8"/>
  <c r="O139" i="8"/>
  <c r="AE139" i="8" s="1"/>
  <c r="N139" i="8"/>
  <c r="AD139" i="8" s="1"/>
  <c r="M139" i="8"/>
  <c r="L139" i="8"/>
  <c r="AB139" i="8" s="1"/>
  <c r="K139" i="8"/>
  <c r="AA139" i="8" s="1"/>
  <c r="J139" i="8"/>
  <c r="I139" i="8"/>
  <c r="H139" i="8"/>
  <c r="G139" i="8"/>
  <c r="W139" i="8" s="1"/>
  <c r="F139" i="8"/>
  <c r="V139" i="8" s="1"/>
  <c r="E139" i="8"/>
  <c r="D139" i="8"/>
  <c r="T139" i="8" s="1"/>
  <c r="C139" i="8"/>
  <c r="S139" i="8" s="1"/>
  <c r="AB138" i="8"/>
  <c r="AA138" i="8"/>
  <c r="Y138" i="8"/>
  <c r="X138" i="8"/>
  <c r="W138" i="8"/>
  <c r="P138" i="8"/>
  <c r="O138" i="8"/>
  <c r="AE138" i="8" s="1"/>
  <c r="N138" i="8"/>
  <c r="AD138" i="8" s="1"/>
  <c r="M138" i="8"/>
  <c r="AC138" i="8" s="1"/>
  <c r="L138" i="8"/>
  <c r="K138" i="8"/>
  <c r="J138" i="8"/>
  <c r="I138" i="8"/>
  <c r="H138" i="8"/>
  <c r="G138" i="8"/>
  <c r="F138" i="8"/>
  <c r="V138" i="8" s="1"/>
  <c r="E138" i="8"/>
  <c r="U138" i="8" s="1"/>
  <c r="D138" i="8"/>
  <c r="T138" i="8" s="1"/>
  <c r="C138" i="8"/>
  <c r="S138" i="8" s="1"/>
  <c r="AC137" i="8"/>
  <c r="Z137" i="8"/>
  <c r="X137" i="8"/>
  <c r="U137" i="8"/>
  <c r="P137" i="8"/>
  <c r="O137" i="8"/>
  <c r="AE137" i="8" s="1"/>
  <c r="N137" i="8"/>
  <c r="AD137" i="8" s="1"/>
  <c r="M137" i="8"/>
  <c r="L137" i="8"/>
  <c r="AB137" i="8" s="1"/>
  <c r="K137" i="8"/>
  <c r="AA137" i="8" s="1"/>
  <c r="J137" i="8"/>
  <c r="I137" i="8"/>
  <c r="Y137" i="8" s="1"/>
  <c r="H137" i="8"/>
  <c r="G137" i="8"/>
  <c r="W137" i="8" s="1"/>
  <c r="F137" i="8"/>
  <c r="V137" i="8" s="1"/>
  <c r="E137" i="8"/>
  <c r="D137" i="8"/>
  <c r="T137" i="8" s="1"/>
  <c r="C137" i="8"/>
  <c r="S137" i="8" s="1"/>
  <c r="AE136" i="8"/>
  <c r="AD136" i="8"/>
  <c r="X136" i="8"/>
  <c r="W136" i="8"/>
  <c r="V136" i="8"/>
  <c r="U136" i="8"/>
  <c r="P136" i="8"/>
  <c r="O136" i="8"/>
  <c r="N136" i="8"/>
  <c r="M136" i="8"/>
  <c r="AC136" i="8" s="1"/>
  <c r="L136" i="8"/>
  <c r="AB136" i="8" s="1"/>
  <c r="K136" i="8"/>
  <c r="AA136" i="8" s="1"/>
  <c r="J136" i="8"/>
  <c r="Z136" i="8" s="1"/>
  <c r="I136" i="8"/>
  <c r="Y136" i="8" s="1"/>
  <c r="H136" i="8"/>
  <c r="G136" i="8"/>
  <c r="F136" i="8"/>
  <c r="E136" i="8"/>
  <c r="D136" i="8"/>
  <c r="T136" i="8" s="1"/>
  <c r="C136" i="8"/>
  <c r="S136" i="8" s="1"/>
  <c r="AD135" i="8"/>
  <c r="AB135" i="8"/>
  <c r="Y135" i="8"/>
  <c r="P135" i="8"/>
  <c r="O135" i="8"/>
  <c r="N135" i="8"/>
  <c r="M135" i="8"/>
  <c r="AC135" i="8" s="1"/>
  <c r="L135" i="8"/>
  <c r="K135" i="8"/>
  <c r="J135" i="8"/>
  <c r="I135" i="8"/>
  <c r="H135" i="8"/>
  <c r="X135" i="8" s="1"/>
  <c r="G135" i="8"/>
  <c r="F135" i="8"/>
  <c r="E135" i="8"/>
  <c r="U135" i="8" s="1"/>
  <c r="D135" i="8"/>
  <c r="T135" i="8" s="1"/>
  <c r="C135" i="8"/>
  <c r="AE134" i="8"/>
  <c r="AD134" i="8"/>
  <c r="AC134" i="8"/>
  <c r="Y134" i="8"/>
  <c r="W134" i="8"/>
  <c r="V134" i="8"/>
  <c r="P134" i="8"/>
  <c r="O134" i="8"/>
  <c r="N134" i="8"/>
  <c r="M134" i="8"/>
  <c r="L134" i="8"/>
  <c r="AB134" i="8" s="1"/>
  <c r="K134" i="8"/>
  <c r="AA134" i="8" s="1"/>
  <c r="J134" i="8"/>
  <c r="Z134" i="8" s="1"/>
  <c r="I134" i="8"/>
  <c r="H134" i="8"/>
  <c r="X134" i="8" s="1"/>
  <c r="G134" i="8"/>
  <c r="F134" i="8"/>
  <c r="E134" i="8"/>
  <c r="U134" i="8" s="1"/>
  <c r="D134" i="8"/>
  <c r="T134" i="8" s="1"/>
  <c r="C134" i="8"/>
  <c r="S134" i="8" s="1"/>
  <c r="Y133" i="8"/>
  <c r="X133" i="8"/>
  <c r="W133" i="8"/>
  <c r="V133" i="8"/>
  <c r="P133" i="8"/>
  <c r="AE133" i="8" s="1"/>
  <c r="O133" i="8"/>
  <c r="N133" i="8"/>
  <c r="M133" i="8"/>
  <c r="AC133" i="8" s="1"/>
  <c r="L133" i="8"/>
  <c r="AB133" i="8" s="1"/>
  <c r="K133" i="8"/>
  <c r="AA133" i="8" s="1"/>
  <c r="J133" i="8"/>
  <c r="Z133" i="8" s="1"/>
  <c r="I133" i="8"/>
  <c r="H133" i="8"/>
  <c r="G133" i="8"/>
  <c r="F133" i="8"/>
  <c r="E133" i="8"/>
  <c r="U133" i="8" s="1"/>
  <c r="D133" i="8"/>
  <c r="T133" i="8" s="1"/>
  <c r="C133" i="8"/>
  <c r="S133" i="8" s="1"/>
  <c r="AE132" i="8"/>
  <c r="S132" i="8"/>
  <c r="P132" i="8"/>
  <c r="O132" i="8"/>
  <c r="N132" i="8"/>
  <c r="M132" i="8"/>
  <c r="L132" i="8"/>
  <c r="K132" i="8"/>
  <c r="J132" i="8"/>
  <c r="I132" i="8"/>
  <c r="Y132" i="8" s="1"/>
  <c r="H132" i="8"/>
  <c r="X132" i="8" s="1"/>
  <c r="G132" i="8"/>
  <c r="F132" i="8"/>
  <c r="E132" i="8"/>
  <c r="D132" i="8"/>
  <c r="C132" i="8"/>
  <c r="AD131" i="8"/>
  <c r="AC131" i="8"/>
  <c r="X131" i="8"/>
  <c r="T131" i="8"/>
  <c r="P131" i="8"/>
  <c r="O131" i="8"/>
  <c r="N131" i="8"/>
  <c r="M131" i="8"/>
  <c r="L131" i="8"/>
  <c r="K131" i="8"/>
  <c r="J131" i="8"/>
  <c r="I131" i="8"/>
  <c r="Y131" i="8" s="1"/>
  <c r="H131" i="8"/>
  <c r="G131" i="8"/>
  <c r="F131" i="8"/>
  <c r="E131" i="8"/>
  <c r="D131" i="8"/>
  <c r="C131" i="8"/>
  <c r="AC130" i="8"/>
  <c r="AA130" i="8"/>
  <c r="X130" i="8"/>
  <c r="W130" i="8"/>
  <c r="U130" i="8"/>
  <c r="P130" i="8"/>
  <c r="Z130" i="8" s="1"/>
  <c r="O130" i="8"/>
  <c r="AE130" i="8" s="1"/>
  <c r="N130" i="8"/>
  <c r="M130" i="8"/>
  <c r="L130" i="8"/>
  <c r="AB130" i="8" s="1"/>
  <c r="K130" i="8"/>
  <c r="J130" i="8"/>
  <c r="I130" i="8"/>
  <c r="Y130" i="8" s="1"/>
  <c r="H130" i="8"/>
  <c r="G130" i="8"/>
  <c r="F130" i="8"/>
  <c r="E130" i="8"/>
  <c r="D130" i="8"/>
  <c r="T130" i="8" s="1"/>
  <c r="C130" i="8"/>
  <c r="S130" i="8" s="1"/>
  <c r="P129" i="8"/>
  <c r="O129" i="8"/>
  <c r="N129" i="8"/>
  <c r="M129" i="8"/>
  <c r="L129" i="8"/>
  <c r="K129" i="8"/>
  <c r="J129" i="8"/>
  <c r="I129" i="8"/>
  <c r="H129" i="8"/>
  <c r="X129" i="8" s="1"/>
  <c r="G129" i="8"/>
  <c r="F129" i="8"/>
  <c r="E129" i="8"/>
  <c r="D129" i="8"/>
  <c r="C129" i="8"/>
  <c r="AE128" i="8"/>
  <c r="AD128" i="8"/>
  <c r="AC128" i="8"/>
  <c r="X128" i="8"/>
  <c r="W128" i="8"/>
  <c r="V128" i="8"/>
  <c r="U128" i="8"/>
  <c r="S128" i="8"/>
  <c r="P128" i="8"/>
  <c r="O128" i="8"/>
  <c r="N128" i="8"/>
  <c r="M128" i="8"/>
  <c r="L128" i="8"/>
  <c r="AB128" i="8" s="1"/>
  <c r="K128" i="8"/>
  <c r="AA128" i="8" s="1"/>
  <c r="J128" i="8"/>
  <c r="Z128" i="8" s="1"/>
  <c r="I128" i="8"/>
  <c r="Y128" i="8" s="1"/>
  <c r="H128" i="8"/>
  <c r="G128" i="8"/>
  <c r="F128" i="8"/>
  <c r="E128" i="8"/>
  <c r="D128" i="8"/>
  <c r="T128" i="8" s="1"/>
  <c r="C128" i="8"/>
  <c r="AE127" i="8"/>
  <c r="AD127" i="8"/>
  <c r="AB127" i="8"/>
  <c r="X127" i="8"/>
  <c r="W127" i="8"/>
  <c r="V127" i="8"/>
  <c r="T127" i="8"/>
  <c r="S127" i="8"/>
  <c r="P127" i="8"/>
  <c r="AA127" i="8" s="1"/>
  <c r="O127" i="8"/>
  <c r="N127" i="8"/>
  <c r="M127" i="8"/>
  <c r="AC127" i="8" s="1"/>
  <c r="L127" i="8"/>
  <c r="K127" i="8"/>
  <c r="J127" i="8"/>
  <c r="Z127" i="8" s="1"/>
  <c r="I127" i="8"/>
  <c r="Y127" i="8" s="1"/>
  <c r="H127" i="8"/>
  <c r="G127" i="8"/>
  <c r="F127" i="8"/>
  <c r="E127" i="8"/>
  <c r="U127" i="8" s="1"/>
  <c r="D127" i="8"/>
  <c r="C127" i="8"/>
  <c r="Z126" i="8"/>
  <c r="U126" i="8"/>
  <c r="S126" i="8"/>
  <c r="P126" i="8"/>
  <c r="O126" i="8"/>
  <c r="AE126" i="8" s="1"/>
  <c r="N126" i="8"/>
  <c r="M126" i="8"/>
  <c r="L126" i="8"/>
  <c r="K126" i="8"/>
  <c r="J126" i="8"/>
  <c r="I126" i="8"/>
  <c r="Y126" i="8" s="1"/>
  <c r="H126" i="8"/>
  <c r="X126" i="8" s="1"/>
  <c r="G126" i="8"/>
  <c r="W126" i="8" s="1"/>
  <c r="F126" i="8"/>
  <c r="E126" i="8"/>
  <c r="D126" i="8"/>
  <c r="C126" i="8"/>
  <c r="AB125" i="8"/>
  <c r="Z125" i="8"/>
  <c r="Y125" i="8"/>
  <c r="P125" i="8"/>
  <c r="T125" i="8" s="1"/>
  <c r="O125" i="8"/>
  <c r="AE125" i="8" s="1"/>
  <c r="N125" i="8"/>
  <c r="AD125" i="8" s="1"/>
  <c r="M125" i="8"/>
  <c r="AC125" i="8" s="1"/>
  <c r="L125" i="8"/>
  <c r="K125" i="8"/>
  <c r="J125" i="8"/>
  <c r="I125" i="8"/>
  <c r="H125" i="8"/>
  <c r="X125" i="8" s="1"/>
  <c r="G125" i="8"/>
  <c r="W125" i="8" s="1"/>
  <c r="F125" i="8"/>
  <c r="V125" i="8" s="1"/>
  <c r="E125" i="8"/>
  <c r="U125" i="8" s="1"/>
  <c r="D125" i="8"/>
  <c r="C125" i="8"/>
  <c r="P124" i="8"/>
  <c r="S124" i="8" s="1"/>
  <c r="O124" i="8"/>
  <c r="N124" i="8"/>
  <c r="M124" i="8"/>
  <c r="L124" i="8"/>
  <c r="K124" i="8"/>
  <c r="J124" i="8"/>
  <c r="I124" i="8"/>
  <c r="Y124" i="8" s="1"/>
  <c r="H124" i="8"/>
  <c r="X124" i="8" s="1"/>
  <c r="G124" i="8"/>
  <c r="F124" i="8"/>
  <c r="E124" i="8"/>
  <c r="D124" i="8"/>
  <c r="C124" i="8"/>
  <c r="AD123" i="8"/>
  <c r="AC123" i="8"/>
  <c r="AB123" i="8"/>
  <c r="AA123" i="8"/>
  <c r="P123" i="8"/>
  <c r="O123" i="8"/>
  <c r="N123" i="8"/>
  <c r="M123" i="8"/>
  <c r="L123" i="8"/>
  <c r="K123" i="8"/>
  <c r="J123" i="8"/>
  <c r="I123" i="8"/>
  <c r="H123" i="8"/>
  <c r="X123" i="8" s="1"/>
  <c r="G123" i="8"/>
  <c r="F123" i="8"/>
  <c r="E123" i="8"/>
  <c r="U123" i="8" s="1"/>
  <c r="D123" i="8"/>
  <c r="C123" i="8"/>
  <c r="AC122" i="8"/>
  <c r="AA122" i="8"/>
  <c r="Y122" i="8"/>
  <c r="U122" i="8"/>
  <c r="S122" i="8"/>
  <c r="P122" i="8"/>
  <c r="O122" i="8"/>
  <c r="N122" i="8"/>
  <c r="AD122" i="8" s="1"/>
  <c r="M122" i="8"/>
  <c r="L122" i="8"/>
  <c r="K122" i="8"/>
  <c r="J122" i="8"/>
  <c r="I122" i="8"/>
  <c r="H122" i="8"/>
  <c r="X122" i="8" s="1"/>
  <c r="G122" i="8"/>
  <c r="F122" i="8"/>
  <c r="E122" i="8"/>
  <c r="D122" i="8"/>
  <c r="C122" i="8"/>
  <c r="AD121" i="8"/>
  <c r="AC121" i="8"/>
  <c r="AB121" i="8"/>
  <c r="X121" i="8"/>
  <c r="T121" i="8"/>
  <c r="S121" i="8"/>
  <c r="P121" i="8"/>
  <c r="O121" i="8"/>
  <c r="AE121" i="8" s="1"/>
  <c r="N121" i="8"/>
  <c r="M121" i="8"/>
  <c r="L121" i="8"/>
  <c r="K121" i="8"/>
  <c r="AA121" i="8" s="1"/>
  <c r="J121" i="8"/>
  <c r="Z121" i="8" s="1"/>
  <c r="I121" i="8"/>
  <c r="Y121" i="8" s="1"/>
  <c r="H121" i="8"/>
  <c r="G121" i="8"/>
  <c r="W121" i="8" s="1"/>
  <c r="F121" i="8"/>
  <c r="V121" i="8" s="1"/>
  <c r="E121" i="8"/>
  <c r="U121" i="8" s="1"/>
  <c r="D121" i="8"/>
  <c r="C121" i="8"/>
  <c r="AE120" i="8"/>
  <c r="AD120" i="8"/>
  <c r="AB120" i="8"/>
  <c r="AA120" i="8"/>
  <c r="S120" i="8"/>
  <c r="P120" i="8"/>
  <c r="O120" i="8"/>
  <c r="N120" i="8"/>
  <c r="M120" i="8"/>
  <c r="L120" i="8"/>
  <c r="K120" i="8"/>
  <c r="J120" i="8"/>
  <c r="I120" i="8"/>
  <c r="Y120" i="8" s="1"/>
  <c r="H120" i="8"/>
  <c r="X120" i="8" s="1"/>
  <c r="G120" i="8"/>
  <c r="W120" i="8" s="1"/>
  <c r="F120" i="8"/>
  <c r="E120" i="8"/>
  <c r="D120" i="8"/>
  <c r="C120" i="8"/>
  <c r="AE119" i="8"/>
  <c r="AD119" i="8"/>
  <c r="AB119" i="8"/>
  <c r="W119" i="8"/>
  <c r="V119" i="8"/>
  <c r="P119" i="8"/>
  <c r="O119" i="8"/>
  <c r="N119" i="8"/>
  <c r="M119" i="8"/>
  <c r="AC119" i="8" s="1"/>
  <c r="L119" i="8"/>
  <c r="K119" i="8"/>
  <c r="AA119" i="8" s="1"/>
  <c r="J119" i="8"/>
  <c r="Z119" i="8" s="1"/>
  <c r="I119" i="8"/>
  <c r="Y119" i="8" s="1"/>
  <c r="H119" i="8"/>
  <c r="X119" i="8" s="1"/>
  <c r="G119" i="8"/>
  <c r="F119" i="8"/>
  <c r="E119" i="8"/>
  <c r="U119" i="8" s="1"/>
  <c r="D119" i="8"/>
  <c r="T119" i="8" s="1"/>
  <c r="C119" i="8"/>
  <c r="S119" i="8" s="1"/>
  <c r="Y118" i="8"/>
  <c r="X118" i="8"/>
  <c r="W118" i="8"/>
  <c r="V118" i="8"/>
  <c r="P118" i="8"/>
  <c r="O118" i="8"/>
  <c r="AE118" i="8" s="1"/>
  <c r="N118" i="8"/>
  <c r="AD118" i="8" s="1"/>
  <c r="M118" i="8"/>
  <c r="AC118" i="8" s="1"/>
  <c r="L118" i="8"/>
  <c r="AB118" i="8" s="1"/>
  <c r="K118" i="8"/>
  <c r="AA118" i="8" s="1"/>
  <c r="J118" i="8"/>
  <c r="Z118" i="8" s="1"/>
  <c r="I118" i="8"/>
  <c r="H118" i="8"/>
  <c r="G118" i="8"/>
  <c r="F118" i="8"/>
  <c r="E118" i="8"/>
  <c r="U118" i="8" s="1"/>
  <c r="D118" i="8"/>
  <c r="T118" i="8" s="1"/>
  <c r="C118" i="8"/>
  <c r="S118" i="8" s="1"/>
  <c r="AB117" i="8"/>
  <c r="AA117" i="8"/>
  <c r="P117" i="8"/>
  <c r="T117" i="8" s="1"/>
  <c r="O117" i="8"/>
  <c r="AE117" i="8" s="1"/>
  <c r="N117" i="8"/>
  <c r="AD117" i="8" s="1"/>
  <c r="M117" i="8"/>
  <c r="L117" i="8"/>
  <c r="K117" i="8"/>
  <c r="J117" i="8"/>
  <c r="I117" i="8"/>
  <c r="H117" i="8"/>
  <c r="X117" i="8" s="1"/>
  <c r="G117" i="8"/>
  <c r="W117" i="8" s="1"/>
  <c r="F117" i="8"/>
  <c r="V117" i="8" s="1"/>
  <c r="E117" i="8"/>
  <c r="D117" i="8"/>
  <c r="C117" i="8"/>
  <c r="AE116" i="8"/>
  <c r="AD116" i="8"/>
  <c r="AC116" i="8"/>
  <c r="AB116" i="8"/>
  <c r="AA116" i="8"/>
  <c r="W116" i="8"/>
  <c r="V116" i="8"/>
  <c r="T116" i="8"/>
  <c r="S116" i="8"/>
  <c r="P116" i="8"/>
  <c r="O116" i="8"/>
  <c r="N116" i="8"/>
  <c r="M116" i="8"/>
  <c r="L116" i="8"/>
  <c r="K116" i="8"/>
  <c r="J116" i="8"/>
  <c r="Z116" i="8" s="1"/>
  <c r="I116" i="8"/>
  <c r="Y116" i="8" s="1"/>
  <c r="H116" i="8"/>
  <c r="X116" i="8" s="1"/>
  <c r="G116" i="8"/>
  <c r="F116" i="8"/>
  <c r="E116" i="8"/>
  <c r="U116" i="8" s="1"/>
  <c r="D116" i="8"/>
  <c r="C116" i="8"/>
  <c r="Z115" i="8"/>
  <c r="Y115" i="8"/>
  <c r="X115" i="8"/>
  <c r="P115" i="8"/>
  <c r="O115" i="8"/>
  <c r="AE115" i="8" s="1"/>
  <c r="N115" i="8"/>
  <c r="AD115" i="8" s="1"/>
  <c r="M115" i="8"/>
  <c r="AC115" i="8" s="1"/>
  <c r="L115" i="8"/>
  <c r="AB115" i="8" s="1"/>
  <c r="K115" i="8"/>
  <c r="AA115" i="8" s="1"/>
  <c r="J115" i="8"/>
  <c r="I115" i="8"/>
  <c r="H115" i="8"/>
  <c r="G115" i="8"/>
  <c r="W115" i="8" s="1"/>
  <c r="F115" i="8"/>
  <c r="V115" i="8" s="1"/>
  <c r="E115" i="8"/>
  <c r="U115" i="8" s="1"/>
  <c r="D115" i="8"/>
  <c r="T115" i="8" s="1"/>
  <c r="C115" i="8"/>
  <c r="S115" i="8" s="1"/>
  <c r="U114" i="8"/>
  <c r="T114" i="8"/>
  <c r="S114" i="8"/>
  <c r="P114" i="8"/>
  <c r="AB114" i="8" s="1"/>
  <c r="O114" i="8"/>
  <c r="N114" i="8"/>
  <c r="M114" i="8"/>
  <c r="L114" i="8"/>
  <c r="K114" i="8"/>
  <c r="AA114" i="8" s="1"/>
  <c r="J114" i="8"/>
  <c r="Z114" i="8" s="1"/>
  <c r="I114" i="8"/>
  <c r="Y114" i="8" s="1"/>
  <c r="H114" i="8"/>
  <c r="X114" i="8" s="1"/>
  <c r="G114" i="8"/>
  <c r="F114" i="8"/>
  <c r="E114" i="8"/>
  <c r="D114" i="8"/>
  <c r="C114" i="8"/>
  <c r="AE113" i="8"/>
  <c r="AD113" i="8"/>
  <c r="AC113" i="8"/>
  <c r="X113" i="8"/>
  <c r="W113" i="8"/>
  <c r="V113" i="8"/>
  <c r="U113" i="8"/>
  <c r="T113" i="8"/>
  <c r="P113" i="8"/>
  <c r="O113" i="8"/>
  <c r="N113" i="8"/>
  <c r="M113" i="8"/>
  <c r="L113" i="8"/>
  <c r="AB113" i="8" s="1"/>
  <c r="K113" i="8"/>
  <c r="AA113" i="8" s="1"/>
  <c r="J113" i="8"/>
  <c r="Z113" i="8" s="1"/>
  <c r="I113" i="8"/>
  <c r="Y113" i="8" s="1"/>
  <c r="H113" i="8"/>
  <c r="G113" i="8"/>
  <c r="F113" i="8"/>
  <c r="E113" i="8"/>
  <c r="D113" i="8"/>
  <c r="C113" i="8"/>
  <c r="S113" i="8" s="1"/>
  <c r="AE112" i="8"/>
  <c r="AA112" i="8"/>
  <c r="Z112" i="8"/>
  <c r="S112" i="8"/>
  <c r="P112" i="8"/>
  <c r="O112" i="8"/>
  <c r="N112" i="8"/>
  <c r="M112" i="8"/>
  <c r="L112" i="8"/>
  <c r="K112" i="8"/>
  <c r="J112" i="8"/>
  <c r="I112" i="8"/>
  <c r="Y112" i="8" s="1"/>
  <c r="H112" i="8"/>
  <c r="X112" i="8" s="1"/>
  <c r="G112" i="8"/>
  <c r="F112" i="8"/>
  <c r="E112" i="8"/>
  <c r="U112" i="8" s="1"/>
  <c r="D112" i="8"/>
  <c r="C112" i="8"/>
  <c r="AC111" i="8"/>
  <c r="P111" i="8"/>
  <c r="AA111" i="8" s="1"/>
  <c r="O111" i="8"/>
  <c r="AE111" i="8" s="1"/>
  <c r="N111" i="8"/>
  <c r="M111" i="8"/>
  <c r="L111" i="8"/>
  <c r="AB111" i="8" s="1"/>
  <c r="K111" i="8"/>
  <c r="J111" i="8"/>
  <c r="I111" i="8"/>
  <c r="H111" i="8"/>
  <c r="X111" i="8" s="1"/>
  <c r="G111" i="8"/>
  <c r="W111" i="8" s="1"/>
  <c r="F111" i="8"/>
  <c r="E111" i="8"/>
  <c r="D111" i="8"/>
  <c r="T111" i="8" s="1"/>
  <c r="C111" i="8"/>
  <c r="S111" i="8" s="1"/>
  <c r="Y110" i="8"/>
  <c r="X110" i="8"/>
  <c r="W110" i="8"/>
  <c r="V110" i="8"/>
  <c r="P110" i="8"/>
  <c r="O110" i="8"/>
  <c r="AE110" i="8" s="1"/>
  <c r="N110" i="8"/>
  <c r="AD110" i="8" s="1"/>
  <c r="M110" i="8"/>
  <c r="AC110" i="8" s="1"/>
  <c r="L110" i="8"/>
  <c r="AB110" i="8" s="1"/>
  <c r="K110" i="8"/>
  <c r="AA110" i="8" s="1"/>
  <c r="J110" i="8"/>
  <c r="Z110" i="8" s="1"/>
  <c r="I110" i="8"/>
  <c r="H110" i="8"/>
  <c r="G110" i="8"/>
  <c r="F110" i="8"/>
  <c r="E110" i="8"/>
  <c r="U110" i="8" s="1"/>
  <c r="D110" i="8"/>
  <c r="T110" i="8" s="1"/>
  <c r="C110" i="8"/>
  <c r="S110" i="8" s="1"/>
  <c r="AB109" i="8"/>
  <c r="X109" i="8"/>
  <c r="T109" i="8"/>
  <c r="S109" i="8"/>
  <c r="P109" i="8"/>
  <c r="AA109" i="8" s="1"/>
  <c r="O109" i="8"/>
  <c r="N109" i="8"/>
  <c r="M109" i="8"/>
  <c r="L109" i="8"/>
  <c r="K109" i="8"/>
  <c r="J109" i="8"/>
  <c r="Z109" i="8" s="1"/>
  <c r="I109" i="8"/>
  <c r="Y109" i="8" s="1"/>
  <c r="H109" i="8"/>
  <c r="G109" i="8"/>
  <c r="F109" i="8"/>
  <c r="E109" i="8"/>
  <c r="D109" i="8"/>
  <c r="C109" i="8"/>
  <c r="AE108" i="8"/>
  <c r="AD108" i="8"/>
  <c r="AC108" i="8"/>
  <c r="AB108" i="8"/>
  <c r="W108" i="8"/>
  <c r="V108" i="8"/>
  <c r="U108" i="8"/>
  <c r="T108" i="8"/>
  <c r="S108" i="8"/>
  <c r="P108" i="8"/>
  <c r="O108" i="8"/>
  <c r="N108" i="8"/>
  <c r="M108" i="8"/>
  <c r="L108" i="8"/>
  <c r="K108" i="8"/>
  <c r="AA108" i="8" s="1"/>
  <c r="J108" i="8"/>
  <c r="Z108" i="8" s="1"/>
  <c r="I108" i="8"/>
  <c r="Y108" i="8" s="1"/>
  <c r="H108" i="8"/>
  <c r="X108" i="8" s="1"/>
  <c r="G108" i="8"/>
  <c r="F108" i="8"/>
  <c r="E108" i="8"/>
  <c r="D108" i="8"/>
  <c r="C108" i="8"/>
  <c r="AE107" i="8"/>
  <c r="AD107" i="8"/>
  <c r="Z107" i="8"/>
  <c r="Y107" i="8"/>
  <c r="P107" i="8"/>
  <c r="O107" i="8"/>
  <c r="N107" i="8"/>
  <c r="M107" i="8"/>
  <c r="AC107" i="8" s="1"/>
  <c r="L107" i="8"/>
  <c r="AB107" i="8" s="1"/>
  <c r="K107" i="8"/>
  <c r="J107" i="8"/>
  <c r="I107" i="8"/>
  <c r="H107" i="8"/>
  <c r="X107" i="8" s="1"/>
  <c r="G107" i="8"/>
  <c r="F107" i="8"/>
  <c r="V107" i="8" s="1"/>
  <c r="E107" i="8"/>
  <c r="U107" i="8" s="1"/>
  <c r="D107" i="8"/>
  <c r="T107" i="8" s="1"/>
  <c r="C107" i="8"/>
  <c r="AB106" i="8"/>
  <c r="AA106" i="8"/>
  <c r="Y106" i="8"/>
  <c r="U106" i="8"/>
  <c r="T106" i="8"/>
  <c r="P106" i="8"/>
  <c r="AC106" i="8" s="1"/>
  <c r="O106" i="8"/>
  <c r="AE106" i="8" s="1"/>
  <c r="N106" i="8"/>
  <c r="AD106" i="8" s="1"/>
  <c r="M106" i="8"/>
  <c r="L106" i="8"/>
  <c r="K106" i="8"/>
  <c r="J106" i="8"/>
  <c r="Z106" i="8" s="1"/>
  <c r="I106" i="8"/>
  <c r="H106" i="8"/>
  <c r="X106" i="8" s="1"/>
  <c r="G106" i="8"/>
  <c r="W106" i="8" s="1"/>
  <c r="F106" i="8"/>
  <c r="V106" i="8" s="1"/>
  <c r="E106" i="8"/>
  <c r="D106" i="8"/>
  <c r="C106" i="8"/>
  <c r="S106" i="8" s="1"/>
  <c r="AE105" i="8"/>
  <c r="AD105" i="8"/>
  <c r="X105" i="8"/>
  <c r="W105" i="8"/>
  <c r="V105" i="8"/>
  <c r="P105" i="8"/>
  <c r="O105" i="8"/>
  <c r="N105" i="8"/>
  <c r="M105" i="8"/>
  <c r="AC105" i="8" s="1"/>
  <c r="L105" i="8"/>
  <c r="AB105" i="8" s="1"/>
  <c r="K105" i="8"/>
  <c r="AA105" i="8" s="1"/>
  <c r="J105" i="8"/>
  <c r="Z105" i="8" s="1"/>
  <c r="I105" i="8"/>
  <c r="Y105" i="8" s="1"/>
  <c r="H105" i="8"/>
  <c r="G105" i="8"/>
  <c r="F105" i="8"/>
  <c r="E105" i="8"/>
  <c r="U105" i="8" s="1"/>
  <c r="D105" i="8"/>
  <c r="T105" i="8" s="1"/>
  <c r="C105" i="8"/>
  <c r="S105" i="8" s="1"/>
  <c r="P104" i="8"/>
  <c r="Z104" i="8" s="1"/>
  <c r="O104" i="8"/>
  <c r="AE104" i="8" s="1"/>
  <c r="N104" i="8"/>
  <c r="AD104" i="8" s="1"/>
  <c r="M104" i="8"/>
  <c r="L104" i="8"/>
  <c r="K104" i="8"/>
  <c r="J104" i="8"/>
  <c r="I104" i="8"/>
  <c r="H104" i="8"/>
  <c r="X104" i="8" s="1"/>
  <c r="G104" i="8"/>
  <c r="W104" i="8" s="1"/>
  <c r="F104" i="8"/>
  <c r="V104" i="8" s="1"/>
  <c r="E104" i="8"/>
  <c r="D104" i="8"/>
  <c r="C104" i="8"/>
  <c r="AC103" i="8"/>
  <c r="AB103" i="8"/>
  <c r="AA103" i="8"/>
  <c r="Z103" i="8"/>
  <c r="S103" i="8"/>
  <c r="P103" i="8"/>
  <c r="O103" i="8"/>
  <c r="N103" i="8"/>
  <c r="M103" i="8"/>
  <c r="L103" i="8"/>
  <c r="K103" i="8"/>
  <c r="J103" i="8"/>
  <c r="I103" i="8"/>
  <c r="Y103" i="8" s="1"/>
  <c r="H103" i="8"/>
  <c r="X103" i="8" s="1"/>
  <c r="G103" i="8"/>
  <c r="F103" i="8"/>
  <c r="E103" i="8"/>
  <c r="D103" i="8"/>
  <c r="T103" i="8" s="1"/>
  <c r="C103" i="8"/>
  <c r="AD102" i="8"/>
  <c r="Y102" i="8"/>
  <c r="X102" i="8"/>
  <c r="P102" i="8"/>
  <c r="O102" i="8"/>
  <c r="AE102" i="8" s="1"/>
  <c r="N102" i="8"/>
  <c r="M102" i="8"/>
  <c r="AC102" i="8" s="1"/>
  <c r="L102" i="8"/>
  <c r="AB102" i="8" s="1"/>
  <c r="K102" i="8"/>
  <c r="AA102" i="8" s="1"/>
  <c r="J102" i="8"/>
  <c r="Z102" i="8" s="1"/>
  <c r="I102" i="8"/>
  <c r="H102" i="8"/>
  <c r="G102" i="8"/>
  <c r="W102" i="8" s="1"/>
  <c r="F102" i="8"/>
  <c r="V102" i="8" s="1"/>
  <c r="E102" i="8"/>
  <c r="U102" i="8" s="1"/>
  <c r="D102" i="8"/>
  <c r="T102" i="8" s="1"/>
  <c r="C102" i="8"/>
  <c r="S102" i="8" s="1"/>
  <c r="P101" i="8"/>
  <c r="O101" i="8"/>
  <c r="N101" i="8"/>
  <c r="M101" i="8"/>
  <c r="L101" i="8"/>
  <c r="K101" i="8"/>
  <c r="J101" i="8"/>
  <c r="I101" i="8"/>
  <c r="Y101" i="8" s="1"/>
  <c r="H101" i="8"/>
  <c r="X101" i="8" s="1"/>
  <c r="G101" i="8"/>
  <c r="F101" i="8"/>
  <c r="E101" i="8"/>
  <c r="D101" i="8"/>
  <c r="C101" i="8"/>
  <c r="AE100" i="8"/>
  <c r="AD100" i="8"/>
  <c r="AC100" i="8"/>
  <c r="W100" i="8"/>
  <c r="V100" i="8"/>
  <c r="U100" i="8"/>
  <c r="P100" i="8"/>
  <c r="O100" i="8"/>
  <c r="N100" i="8"/>
  <c r="M100" i="8"/>
  <c r="L100" i="8"/>
  <c r="AB100" i="8" s="1"/>
  <c r="K100" i="8"/>
  <c r="AA100" i="8" s="1"/>
  <c r="J100" i="8"/>
  <c r="Z100" i="8" s="1"/>
  <c r="I100" i="8"/>
  <c r="Y100" i="8" s="1"/>
  <c r="H100" i="8"/>
  <c r="X100" i="8" s="1"/>
  <c r="G100" i="8"/>
  <c r="F100" i="8"/>
  <c r="E100" i="8"/>
  <c r="D100" i="8"/>
  <c r="T100" i="8" s="1"/>
  <c r="C100" i="8"/>
  <c r="S100" i="8" s="1"/>
  <c r="P99" i="8"/>
  <c r="Y99" i="8" s="1"/>
  <c r="O99" i="8"/>
  <c r="AE99" i="8" s="1"/>
  <c r="N99" i="8"/>
  <c r="AD99" i="8" s="1"/>
  <c r="M99" i="8"/>
  <c r="L99" i="8"/>
  <c r="K99" i="8"/>
  <c r="J99" i="8"/>
  <c r="I99" i="8"/>
  <c r="H99" i="8"/>
  <c r="X99" i="8" s="1"/>
  <c r="G99" i="8"/>
  <c r="W99" i="8" s="1"/>
  <c r="F99" i="8"/>
  <c r="V99" i="8" s="1"/>
  <c r="E99" i="8"/>
  <c r="D99" i="8"/>
  <c r="C99" i="8"/>
  <c r="AB98" i="8"/>
  <c r="Z98" i="8"/>
  <c r="Y98" i="8"/>
  <c r="U98" i="8"/>
  <c r="T98" i="8"/>
  <c r="P98" i="8"/>
  <c r="AC98" i="8" s="1"/>
  <c r="O98" i="8"/>
  <c r="AE98" i="8" s="1"/>
  <c r="N98" i="8"/>
  <c r="AD98" i="8" s="1"/>
  <c r="M98" i="8"/>
  <c r="L98" i="8"/>
  <c r="K98" i="8"/>
  <c r="AA98" i="8" s="1"/>
  <c r="J98" i="8"/>
  <c r="I98" i="8"/>
  <c r="H98" i="8"/>
  <c r="X98" i="8" s="1"/>
  <c r="G98" i="8"/>
  <c r="W98" i="8" s="1"/>
  <c r="F98" i="8"/>
  <c r="V98" i="8" s="1"/>
  <c r="E98" i="8"/>
  <c r="D98" i="8"/>
  <c r="C98" i="8"/>
  <c r="S98" i="8" s="1"/>
  <c r="AE97" i="8"/>
  <c r="AB97" i="8"/>
  <c r="X97" i="8"/>
  <c r="W97" i="8"/>
  <c r="U97" i="8"/>
  <c r="P97" i="8"/>
  <c r="O97" i="8"/>
  <c r="N97" i="8"/>
  <c r="AD97" i="8" s="1"/>
  <c r="M97" i="8"/>
  <c r="AC97" i="8" s="1"/>
  <c r="L97" i="8"/>
  <c r="K97" i="8"/>
  <c r="AA97" i="8" s="1"/>
  <c r="J97" i="8"/>
  <c r="Z97" i="8" s="1"/>
  <c r="I97" i="8"/>
  <c r="Y97" i="8" s="1"/>
  <c r="H97" i="8"/>
  <c r="G97" i="8"/>
  <c r="F97" i="8"/>
  <c r="V97" i="8" s="1"/>
  <c r="E97" i="8"/>
  <c r="D97" i="8"/>
  <c r="T97" i="8" s="1"/>
  <c r="C97" i="8"/>
  <c r="S97" i="8" s="1"/>
  <c r="S96" i="8"/>
  <c r="P96" i="8"/>
  <c r="O96" i="8"/>
  <c r="AE96" i="8" s="1"/>
  <c r="N96" i="8"/>
  <c r="M96" i="8"/>
  <c r="L96" i="8"/>
  <c r="K96" i="8"/>
  <c r="J96" i="8"/>
  <c r="I96" i="8"/>
  <c r="Y96" i="8" s="1"/>
  <c r="H96" i="8"/>
  <c r="X96" i="8" s="1"/>
  <c r="G96" i="8"/>
  <c r="F96" i="8"/>
  <c r="E96" i="8"/>
  <c r="D96" i="8"/>
  <c r="C96" i="8"/>
  <c r="AD95" i="8"/>
  <c r="AC95" i="8"/>
  <c r="AB95" i="8"/>
  <c r="AA95" i="8"/>
  <c r="P95" i="8"/>
  <c r="O95" i="8"/>
  <c r="AE95" i="8" s="1"/>
  <c r="N95" i="8"/>
  <c r="M95" i="8"/>
  <c r="L95" i="8"/>
  <c r="K95" i="8"/>
  <c r="J95" i="8"/>
  <c r="I95" i="8"/>
  <c r="H95" i="8"/>
  <c r="X95" i="8" s="1"/>
  <c r="G95" i="8"/>
  <c r="W95" i="8" s="1"/>
  <c r="F95" i="8"/>
  <c r="E95" i="8"/>
  <c r="D95" i="8"/>
  <c r="C95" i="8"/>
  <c r="AC94" i="8"/>
  <c r="Y94" i="8"/>
  <c r="X94" i="8"/>
  <c r="P94" i="8"/>
  <c r="O94" i="8"/>
  <c r="AE94" i="8" s="1"/>
  <c r="N94" i="8"/>
  <c r="AD94" i="8" s="1"/>
  <c r="M94" i="8"/>
  <c r="L94" i="8"/>
  <c r="AB94" i="8" s="1"/>
  <c r="K94" i="8"/>
  <c r="AA94" i="8" s="1"/>
  <c r="J94" i="8"/>
  <c r="Z94" i="8" s="1"/>
  <c r="I94" i="8"/>
  <c r="H94" i="8"/>
  <c r="G94" i="8"/>
  <c r="W94" i="8" s="1"/>
  <c r="F94" i="8"/>
  <c r="V94" i="8" s="1"/>
  <c r="E94" i="8"/>
  <c r="U94" i="8" s="1"/>
  <c r="D94" i="8"/>
  <c r="T94" i="8" s="1"/>
  <c r="C94" i="8"/>
  <c r="S94" i="8" s="1"/>
  <c r="Y93" i="8"/>
  <c r="X93" i="8"/>
  <c r="T93" i="8"/>
  <c r="S93" i="8"/>
  <c r="P93" i="8"/>
  <c r="AB93" i="8" s="1"/>
  <c r="O93" i="8"/>
  <c r="N93" i="8"/>
  <c r="M93" i="8"/>
  <c r="AC93" i="8" s="1"/>
  <c r="L93" i="8"/>
  <c r="K93" i="8"/>
  <c r="J93" i="8"/>
  <c r="Z93" i="8" s="1"/>
  <c r="I93" i="8"/>
  <c r="H93" i="8"/>
  <c r="G93" i="8"/>
  <c r="F93" i="8"/>
  <c r="E93" i="8"/>
  <c r="U93" i="8" s="1"/>
  <c r="D93" i="8"/>
  <c r="C93" i="8"/>
  <c r="AE92" i="8"/>
  <c r="AD92" i="8"/>
  <c r="W92" i="8"/>
  <c r="V92" i="8"/>
  <c r="U92" i="8"/>
  <c r="T92" i="8"/>
  <c r="S92" i="8"/>
  <c r="P92" i="8"/>
  <c r="O92" i="8"/>
  <c r="N92" i="8"/>
  <c r="M92" i="8"/>
  <c r="AC92" i="8" s="1"/>
  <c r="L92" i="8"/>
  <c r="AB92" i="8" s="1"/>
  <c r="K92" i="8"/>
  <c r="AA92" i="8" s="1"/>
  <c r="J92" i="8"/>
  <c r="Z92" i="8" s="1"/>
  <c r="I92" i="8"/>
  <c r="Y92" i="8" s="1"/>
  <c r="H92" i="8"/>
  <c r="X92" i="8" s="1"/>
  <c r="G92" i="8"/>
  <c r="F92" i="8"/>
  <c r="E92" i="8"/>
  <c r="D92" i="8"/>
  <c r="C92" i="8"/>
  <c r="AE91" i="8"/>
  <c r="AD91" i="8"/>
  <c r="W91" i="8"/>
  <c r="V91" i="8"/>
  <c r="P91" i="8"/>
  <c r="O91" i="8"/>
  <c r="N91" i="8"/>
  <c r="M91" i="8"/>
  <c r="L91" i="8"/>
  <c r="K91" i="8"/>
  <c r="J91" i="8"/>
  <c r="I91" i="8"/>
  <c r="H91" i="8"/>
  <c r="X91" i="8" s="1"/>
  <c r="G91" i="8"/>
  <c r="F91" i="8"/>
  <c r="E91" i="8"/>
  <c r="D91" i="8"/>
  <c r="C91" i="8"/>
  <c r="AC90" i="8"/>
  <c r="AB90" i="8"/>
  <c r="AA90" i="8"/>
  <c r="P90" i="8"/>
  <c r="O90" i="8"/>
  <c r="AE90" i="8" s="1"/>
  <c r="N90" i="8"/>
  <c r="AD90" i="8" s="1"/>
  <c r="M90" i="8"/>
  <c r="L90" i="8"/>
  <c r="K90" i="8"/>
  <c r="J90" i="8"/>
  <c r="I90" i="8"/>
  <c r="H90" i="8"/>
  <c r="X90" i="8" s="1"/>
  <c r="G90" i="8"/>
  <c r="W90" i="8" s="1"/>
  <c r="F90" i="8"/>
  <c r="V90" i="8" s="1"/>
  <c r="E90" i="8"/>
  <c r="D90" i="8"/>
  <c r="C90" i="8"/>
  <c r="S90" i="8" s="1"/>
  <c r="AE89" i="8"/>
  <c r="X89" i="8"/>
  <c r="W89" i="8"/>
  <c r="V89" i="8"/>
  <c r="P89" i="8"/>
  <c r="O89" i="8"/>
  <c r="N89" i="8"/>
  <c r="AD89" i="8" s="1"/>
  <c r="M89" i="8"/>
  <c r="AC89" i="8" s="1"/>
  <c r="L89" i="8"/>
  <c r="AB89" i="8" s="1"/>
  <c r="K89" i="8"/>
  <c r="AA89" i="8" s="1"/>
  <c r="J89" i="8"/>
  <c r="Z89" i="8" s="1"/>
  <c r="I89" i="8"/>
  <c r="Y89" i="8" s="1"/>
  <c r="H89" i="8"/>
  <c r="G89" i="8"/>
  <c r="F89" i="8"/>
  <c r="E89" i="8"/>
  <c r="U89" i="8" s="1"/>
  <c r="D89" i="8"/>
  <c r="T89" i="8" s="1"/>
  <c r="C89" i="8"/>
  <c r="S89" i="8" s="1"/>
  <c r="Y88" i="8"/>
  <c r="X88" i="8"/>
  <c r="W88" i="8"/>
  <c r="V88" i="8"/>
  <c r="S88" i="8"/>
  <c r="P88" i="8"/>
  <c r="AA88" i="8" s="1"/>
  <c r="O88" i="8"/>
  <c r="N88" i="8"/>
  <c r="M88" i="8"/>
  <c r="AC88" i="8" s="1"/>
  <c r="L88" i="8"/>
  <c r="AB88" i="8" s="1"/>
  <c r="K88" i="8"/>
  <c r="J88" i="8"/>
  <c r="I88" i="8"/>
  <c r="H88" i="8"/>
  <c r="G88" i="8"/>
  <c r="F88" i="8"/>
  <c r="E88" i="8"/>
  <c r="U88" i="8" s="1"/>
  <c r="D88" i="8"/>
  <c r="T88" i="8" s="1"/>
  <c r="C88" i="8"/>
  <c r="AD87" i="8"/>
  <c r="AC87" i="8"/>
  <c r="V87" i="8"/>
  <c r="U87" i="8"/>
  <c r="T87" i="8"/>
  <c r="S87" i="8"/>
  <c r="P87" i="8"/>
  <c r="O87" i="8"/>
  <c r="N87" i="8"/>
  <c r="M87" i="8"/>
  <c r="L87" i="8"/>
  <c r="AB87" i="8" s="1"/>
  <c r="K87" i="8"/>
  <c r="AA87" i="8" s="1"/>
  <c r="J87" i="8"/>
  <c r="Z87" i="8" s="1"/>
  <c r="I87" i="8"/>
  <c r="Y87" i="8" s="1"/>
  <c r="H87" i="8"/>
  <c r="X87" i="8" s="1"/>
  <c r="G87" i="8"/>
  <c r="F87" i="8"/>
  <c r="E87" i="8"/>
  <c r="D87" i="8"/>
  <c r="C87" i="8"/>
  <c r="AE86" i="8"/>
  <c r="AD86" i="8"/>
  <c r="Y86" i="8"/>
  <c r="X86" i="8"/>
  <c r="W86" i="8"/>
  <c r="V86" i="8"/>
  <c r="T86" i="8"/>
  <c r="P86" i="8"/>
  <c r="O86" i="8"/>
  <c r="N86" i="8"/>
  <c r="M86" i="8"/>
  <c r="AC86" i="8" s="1"/>
  <c r="L86" i="8"/>
  <c r="AB86" i="8" s="1"/>
  <c r="K86" i="8"/>
  <c r="AA86" i="8" s="1"/>
  <c r="J86" i="8"/>
  <c r="Z86" i="8" s="1"/>
  <c r="I86" i="8"/>
  <c r="H86" i="8"/>
  <c r="G86" i="8"/>
  <c r="F86" i="8"/>
  <c r="E86" i="8"/>
  <c r="U86" i="8" s="1"/>
  <c r="D86" i="8"/>
  <c r="C86" i="8"/>
  <c r="S86" i="8" s="1"/>
  <c r="AE85" i="8"/>
  <c r="AB85" i="8"/>
  <c r="X85" i="8"/>
  <c r="W85" i="8"/>
  <c r="T85" i="8"/>
  <c r="S85" i="8"/>
  <c r="P85" i="8"/>
  <c r="AA85" i="8" s="1"/>
  <c r="O85" i="8"/>
  <c r="N85" i="8"/>
  <c r="M85" i="8"/>
  <c r="L85" i="8"/>
  <c r="K85" i="8"/>
  <c r="J85" i="8"/>
  <c r="Z85" i="8" s="1"/>
  <c r="I85" i="8"/>
  <c r="Y85" i="8" s="1"/>
  <c r="H85" i="8"/>
  <c r="G85" i="8"/>
  <c r="F85" i="8"/>
  <c r="E85" i="8"/>
  <c r="D85" i="8"/>
  <c r="C85" i="8"/>
  <c r="AE84" i="8"/>
  <c r="AD84" i="8"/>
  <c r="AC84" i="8"/>
  <c r="W84" i="8"/>
  <c r="V84" i="8"/>
  <c r="U84" i="8"/>
  <c r="T84" i="8"/>
  <c r="S84" i="8"/>
  <c r="P84" i="8"/>
  <c r="O84" i="8"/>
  <c r="N84" i="8"/>
  <c r="M84" i="8"/>
  <c r="L84" i="8"/>
  <c r="AB84" i="8" s="1"/>
  <c r="K84" i="8"/>
  <c r="AA84" i="8" s="1"/>
  <c r="J84" i="8"/>
  <c r="Z84" i="8" s="1"/>
  <c r="I84" i="8"/>
  <c r="Y84" i="8" s="1"/>
  <c r="H84" i="8"/>
  <c r="X84" i="8" s="1"/>
  <c r="G84" i="8"/>
  <c r="F84" i="8"/>
  <c r="E84" i="8"/>
  <c r="D84" i="8"/>
  <c r="C84" i="8"/>
  <c r="AE83" i="8"/>
  <c r="AD83" i="8"/>
  <c r="X83" i="8"/>
  <c r="W83" i="8"/>
  <c r="P83" i="8"/>
  <c r="O83" i="8"/>
  <c r="N83" i="8"/>
  <c r="M83" i="8"/>
  <c r="L83" i="8"/>
  <c r="AB83" i="8" s="1"/>
  <c r="K83" i="8"/>
  <c r="AA83" i="8" s="1"/>
  <c r="J83" i="8"/>
  <c r="I83" i="8"/>
  <c r="H83" i="8"/>
  <c r="G83" i="8"/>
  <c r="F83" i="8"/>
  <c r="E83" i="8"/>
  <c r="D83" i="8"/>
  <c r="T83" i="8" s="1"/>
  <c r="C83" i="8"/>
  <c r="S83" i="8" s="1"/>
  <c r="V82" i="8"/>
  <c r="U82" i="8"/>
  <c r="T82" i="8"/>
  <c r="S82" i="8"/>
  <c r="P82" i="8"/>
  <c r="AC82" i="8" s="1"/>
  <c r="O82" i="8"/>
  <c r="N82" i="8"/>
  <c r="M82" i="8"/>
  <c r="L82" i="8"/>
  <c r="AB82" i="8" s="1"/>
  <c r="K82" i="8"/>
  <c r="AA82" i="8" s="1"/>
  <c r="J82" i="8"/>
  <c r="Z82" i="8" s="1"/>
  <c r="I82" i="8"/>
  <c r="Y82" i="8" s="1"/>
  <c r="H82" i="8"/>
  <c r="X82" i="8" s="1"/>
  <c r="G82" i="8"/>
  <c r="F82" i="8"/>
  <c r="E82" i="8"/>
  <c r="D82" i="8"/>
  <c r="C82" i="8"/>
  <c r="AE81" i="8"/>
  <c r="AD81" i="8"/>
  <c r="AC81" i="8"/>
  <c r="X81" i="8"/>
  <c r="W81" i="8"/>
  <c r="U81" i="8"/>
  <c r="T81" i="8"/>
  <c r="P81" i="8"/>
  <c r="O81" i="8"/>
  <c r="N81" i="8"/>
  <c r="M81" i="8"/>
  <c r="L81" i="8"/>
  <c r="AB81" i="8" s="1"/>
  <c r="K81" i="8"/>
  <c r="AA81" i="8" s="1"/>
  <c r="J81" i="8"/>
  <c r="Z81" i="8" s="1"/>
  <c r="I81" i="8"/>
  <c r="Y81" i="8" s="1"/>
  <c r="H81" i="8"/>
  <c r="G81" i="8"/>
  <c r="F81" i="8"/>
  <c r="V81" i="8" s="1"/>
  <c r="E81" i="8"/>
  <c r="D81" i="8"/>
  <c r="C81" i="8"/>
  <c r="S81" i="8" s="1"/>
  <c r="AE80" i="8"/>
  <c r="Z80" i="8"/>
  <c r="Y80" i="8"/>
  <c r="X80" i="8"/>
  <c r="W80" i="8"/>
  <c r="P80" i="8"/>
  <c r="S80" i="8" s="1"/>
  <c r="O80" i="8"/>
  <c r="N80" i="8"/>
  <c r="AD80" i="8" s="1"/>
  <c r="M80" i="8"/>
  <c r="AC80" i="8" s="1"/>
  <c r="L80" i="8"/>
  <c r="AB80" i="8" s="1"/>
  <c r="K80" i="8"/>
  <c r="J80" i="8"/>
  <c r="I80" i="8"/>
  <c r="H80" i="8"/>
  <c r="G80" i="8"/>
  <c r="F80" i="8"/>
  <c r="V80" i="8" s="1"/>
  <c r="E80" i="8"/>
  <c r="U80" i="8" s="1"/>
  <c r="D80" i="8"/>
  <c r="T80" i="8" s="1"/>
  <c r="C80" i="8"/>
  <c r="P79" i="8"/>
  <c r="Z79" i="8" s="1"/>
  <c r="O79" i="8"/>
  <c r="N79" i="8"/>
  <c r="M79" i="8"/>
  <c r="L79" i="8"/>
  <c r="K79" i="8"/>
  <c r="J79" i="8"/>
  <c r="I79" i="8"/>
  <c r="Y79" i="8" s="1"/>
  <c r="H79" i="8"/>
  <c r="G79" i="8"/>
  <c r="W79" i="8" s="1"/>
  <c r="F79" i="8"/>
  <c r="E79" i="8"/>
  <c r="D79" i="8"/>
  <c r="C79" i="8"/>
  <c r="AC78" i="8"/>
  <c r="AB78" i="8"/>
  <c r="Z78" i="8"/>
  <c r="Y78" i="8"/>
  <c r="P78" i="8"/>
  <c r="U78" i="8" s="1"/>
  <c r="O78" i="8"/>
  <c r="AE78" i="8" s="1"/>
  <c r="N78" i="8"/>
  <c r="AD78" i="8" s="1"/>
  <c r="M78" i="8"/>
  <c r="L78" i="8"/>
  <c r="K78" i="8"/>
  <c r="J78" i="8"/>
  <c r="I78" i="8"/>
  <c r="H78" i="8"/>
  <c r="X78" i="8" s="1"/>
  <c r="G78" i="8"/>
  <c r="W78" i="8" s="1"/>
  <c r="F78" i="8"/>
  <c r="V78" i="8" s="1"/>
  <c r="E78" i="8"/>
  <c r="D78" i="8"/>
  <c r="C78" i="8"/>
  <c r="AB77" i="8"/>
  <c r="U77" i="8"/>
  <c r="T77" i="8"/>
  <c r="P77" i="8"/>
  <c r="AE77" i="8" s="1"/>
  <c r="O77" i="8"/>
  <c r="N77" i="8"/>
  <c r="M77" i="8"/>
  <c r="L77" i="8"/>
  <c r="K77" i="8"/>
  <c r="AA77" i="8" s="1"/>
  <c r="J77" i="8"/>
  <c r="Z77" i="8" s="1"/>
  <c r="I77" i="8"/>
  <c r="Y77" i="8" s="1"/>
  <c r="H77" i="8"/>
  <c r="X77" i="8" s="1"/>
  <c r="G77" i="8"/>
  <c r="F77" i="8"/>
  <c r="E77" i="8"/>
  <c r="D77" i="8"/>
  <c r="C77" i="8"/>
  <c r="S77" i="8" s="1"/>
  <c r="AE76" i="8"/>
  <c r="AD76" i="8"/>
  <c r="W76" i="8"/>
  <c r="V76" i="8"/>
  <c r="U76" i="8"/>
  <c r="T76" i="8"/>
  <c r="S76" i="8"/>
  <c r="P76" i="8"/>
  <c r="O76" i="8"/>
  <c r="N76" i="8"/>
  <c r="M76" i="8"/>
  <c r="AC76" i="8" s="1"/>
  <c r="L76" i="8"/>
  <c r="AB76" i="8" s="1"/>
  <c r="K76" i="8"/>
  <c r="AA76" i="8" s="1"/>
  <c r="J76" i="8"/>
  <c r="Z76" i="8" s="1"/>
  <c r="I76" i="8"/>
  <c r="Y76" i="8" s="1"/>
  <c r="H76" i="8"/>
  <c r="X76" i="8" s="1"/>
  <c r="G76" i="8"/>
  <c r="F76" i="8"/>
  <c r="E76" i="8"/>
  <c r="D76" i="8"/>
  <c r="C76" i="8"/>
  <c r="AE75" i="8"/>
  <c r="AD75" i="8"/>
  <c r="Z75" i="8"/>
  <c r="Y75" i="8"/>
  <c r="X75" i="8"/>
  <c r="W75" i="8"/>
  <c r="V75" i="8"/>
  <c r="U75" i="8"/>
  <c r="P75" i="8"/>
  <c r="O75" i="8"/>
  <c r="N75" i="8"/>
  <c r="M75" i="8"/>
  <c r="AC75" i="8" s="1"/>
  <c r="L75" i="8"/>
  <c r="AB75" i="8" s="1"/>
  <c r="K75" i="8"/>
  <c r="AA75" i="8" s="1"/>
  <c r="J75" i="8"/>
  <c r="I75" i="8"/>
  <c r="H75" i="8"/>
  <c r="G75" i="8"/>
  <c r="F75" i="8"/>
  <c r="E75" i="8"/>
  <c r="D75" i="8"/>
  <c r="T75" i="8" s="1"/>
  <c r="C75" i="8"/>
  <c r="S75" i="8" s="1"/>
  <c r="AC74" i="8"/>
  <c r="Z74" i="8"/>
  <c r="Y74" i="8"/>
  <c r="X74" i="8"/>
  <c r="U74" i="8"/>
  <c r="P74" i="8"/>
  <c r="O74" i="8"/>
  <c r="AE74" i="8" s="1"/>
  <c r="N74" i="8"/>
  <c r="AD74" i="8" s="1"/>
  <c r="M74" i="8"/>
  <c r="L74" i="8"/>
  <c r="AB74" i="8" s="1"/>
  <c r="K74" i="8"/>
  <c r="AA74" i="8" s="1"/>
  <c r="J74" i="8"/>
  <c r="I74" i="8"/>
  <c r="H74" i="8"/>
  <c r="G74" i="8"/>
  <c r="W74" i="8" s="1"/>
  <c r="F74" i="8"/>
  <c r="V74" i="8" s="1"/>
  <c r="E74" i="8"/>
  <c r="D74" i="8"/>
  <c r="T74" i="8" s="1"/>
  <c r="C74" i="8"/>
  <c r="S74" i="8" s="1"/>
  <c r="S73" i="8"/>
  <c r="P73" i="8"/>
  <c r="AB73" i="8" s="1"/>
  <c r="O73" i="8"/>
  <c r="N73" i="8"/>
  <c r="M73" i="8"/>
  <c r="L73" i="8"/>
  <c r="K73" i="8"/>
  <c r="J73" i="8"/>
  <c r="I73" i="8"/>
  <c r="Y73" i="8" s="1"/>
  <c r="H73" i="8"/>
  <c r="X73" i="8" s="1"/>
  <c r="G73" i="8"/>
  <c r="F73" i="8"/>
  <c r="E73" i="8"/>
  <c r="D73" i="8"/>
  <c r="C73" i="8"/>
  <c r="P72" i="8"/>
  <c r="V72" i="8" s="1"/>
  <c r="O72" i="8"/>
  <c r="N72" i="8"/>
  <c r="M72" i="8"/>
  <c r="L72" i="8"/>
  <c r="K72" i="8"/>
  <c r="J72" i="8"/>
  <c r="Z72" i="8" s="1"/>
  <c r="I72" i="8"/>
  <c r="H72" i="8"/>
  <c r="X72" i="8" s="1"/>
  <c r="G72" i="8"/>
  <c r="F72" i="8"/>
  <c r="E72" i="8"/>
  <c r="D72" i="8"/>
  <c r="C72" i="8"/>
  <c r="AC71" i="8"/>
  <c r="Y71" i="8"/>
  <c r="X71" i="8"/>
  <c r="P71" i="8"/>
  <c r="O71" i="8"/>
  <c r="AE71" i="8" s="1"/>
  <c r="N71" i="8"/>
  <c r="AD71" i="8" s="1"/>
  <c r="M71" i="8"/>
  <c r="L71" i="8"/>
  <c r="AB71" i="8" s="1"/>
  <c r="K71" i="8"/>
  <c r="AA71" i="8" s="1"/>
  <c r="J71" i="8"/>
  <c r="Z71" i="8" s="1"/>
  <c r="I71" i="8"/>
  <c r="H71" i="8"/>
  <c r="G71" i="8"/>
  <c r="W71" i="8" s="1"/>
  <c r="F71" i="8"/>
  <c r="V71" i="8" s="1"/>
  <c r="E71" i="8"/>
  <c r="U71" i="8" s="1"/>
  <c r="D71" i="8"/>
  <c r="T71" i="8" s="1"/>
  <c r="C71" i="8"/>
  <c r="S71" i="8" s="1"/>
  <c r="AA70" i="8"/>
  <c r="Y70" i="8"/>
  <c r="X70" i="8"/>
  <c r="T70" i="8"/>
  <c r="S70" i="8"/>
  <c r="P70" i="8"/>
  <c r="AB70" i="8" s="1"/>
  <c r="O70" i="8"/>
  <c r="N70" i="8"/>
  <c r="AD70" i="8" s="1"/>
  <c r="M70" i="8"/>
  <c r="AC70" i="8" s="1"/>
  <c r="L70" i="8"/>
  <c r="K70" i="8"/>
  <c r="J70" i="8"/>
  <c r="Z70" i="8" s="1"/>
  <c r="I70" i="8"/>
  <c r="H70" i="8"/>
  <c r="G70" i="8"/>
  <c r="F70" i="8"/>
  <c r="V70" i="8" s="1"/>
  <c r="E70" i="8"/>
  <c r="U70" i="8" s="1"/>
  <c r="D70" i="8"/>
  <c r="C70" i="8"/>
  <c r="AE69" i="8"/>
  <c r="AD69" i="8"/>
  <c r="W69" i="8"/>
  <c r="V69" i="8"/>
  <c r="U69" i="8"/>
  <c r="T69" i="8"/>
  <c r="P69" i="8"/>
  <c r="O69" i="8"/>
  <c r="N69" i="8"/>
  <c r="M69" i="8"/>
  <c r="AC69" i="8" s="1"/>
  <c r="L69" i="8"/>
  <c r="AB69" i="8" s="1"/>
  <c r="K69" i="8"/>
  <c r="AA69" i="8" s="1"/>
  <c r="J69" i="8"/>
  <c r="Z69" i="8" s="1"/>
  <c r="I69" i="8"/>
  <c r="Y69" i="8" s="1"/>
  <c r="H69" i="8"/>
  <c r="X69" i="8" s="1"/>
  <c r="G69" i="8"/>
  <c r="F69" i="8"/>
  <c r="E69" i="8"/>
  <c r="D69" i="8"/>
  <c r="C69" i="8"/>
  <c r="S69" i="8" s="1"/>
  <c r="P68" i="8"/>
  <c r="Z68" i="8" s="1"/>
  <c r="O68" i="8"/>
  <c r="AE68" i="8" s="1"/>
  <c r="N68" i="8"/>
  <c r="AD68" i="8" s="1"/>
  <c r="M68" i="8"/>
  <c r="L68" i="8"/>
  <c r="K68" i="8"/>
  <c r="J68" i="8"/>
  <c r="I68" i="8"/>
  <c r="H68" i="8"/>
  <c r="X68" i="8" s="1"/>
  <c r="G68" i="8"/>
  <c r="W68" i="8" s="1"/>
  <c r="F68" i="8"/>
  <c r="E68" i="8"/>
  <c r="D68" i="8"/>
  <c r="C68" i="8"/>
  <c r="AA67" i="8"/>
  <c r="Z67" i="8"/>
  <c r="P67" i="8"/>
  <c r="U67" i="8" s="1"/>
  <c r="O67" i="8"/>
  <c r="N67" i="8"/>
  <c r="AD67" i="8" s="1"/>
  <c r="M67" i="8"/>
  <c r="L67" i="8"/>
  <c r="K67" i="8"/>
  <c r="J67" i="8"/>
  <c r="I67" i="8"/>
  <c r="H67" i="8"/>
  <c r="G67" i="8"/>
  <c r="F67" i="8"/>
  <c r="V67" i="8" s="1"/>
  <c r="E67" i="8"/>
  <c r="D67" i="8"/>
  <c r="C67" i="8"/>
  <c r="AE66" i="8"/>
  <c r="X66" i="8"/>
  <c r="W66" i="8"/>
  <c r="P66" i="8"/>
  <c r="O66" i="8"/>
  <c r="N66" i="8"/>
  <c r="AD66" i="8" s="1"/>
  <c r="M66" i="8"/>
  <c r="AC66" i="8" s="1"/>
  <c r="L66" i="8"/>
  <c r="AB66" i="8" s="1"/>
  <c r="K66" i="8"/>
  <c r="AA66" i="8" s="1"/>
  <c r="J66" i="8"/>
  <c r="Z66" i="8" s="1"/>
  <c r="I66" i="8"/>
  <c r="Y66" i="8" s="1"/>
  <c r="H66" i="8"/>
  <c r="G66" i="8"/>
  <c r="F66" i="8"/>
  <c r="V66" i="8" s="1"/>
  <c r="E66" i="8"/>
  <c r="U66" i="8" s="1"/>
  <c r="D66" i="8"/>
  <c r="T66" i="8" s="1"/>
  <c r="C66" i="8"/>
  <c r="S66" i="8" s="1"/>
  <c r="X65" i="8"/>
  <c r="W65" i="8"/>
  <c r="S65" i="8"/>
  <c r="P65" i="8"/>
  <c r="AA65" i="8" s="1"/>
  <c r="O65" i="8"/>
  <c r="AE65" i="8" s="1"/>
  <c r="N65" i="8"/>
  <c r="M65" i="8"/>
  <c r="L65" i="8"/>
  <c r="AB65" i="8" s="1"/>
  <c r="K65" i="8"/>
  <c r="J65" i="8"/>
  <c r="I65" i="8"/>
  <c r="Y65" i="8" s="1"/>
  <c r="H65" i="8"/>
  <c r="G65" i="8"/>
  <c r="F65" i="8"/>
  <c r="E65" i="8"/>
  <c r="D65" i="8"/>
  <c r="T65" i="8" s="1"/>
  <c r="C65" i="8"/>
  <c r="AD64" i="8"/>
  <c r="S64" i="8"/>
  <c r="P64" i="8"/>
  <c r="V64" i="8" s="1"/>
  <c r="O64" i="8"/>
  <c r="N64" i="8"/>
  <c r="M64" i="8"/>
  <c r="L64" i="8"/>
  <c r="K64" i="8"/>
  <c r="AA64" i="8" s="1"/>
  <c r="J64" i="8"/>
  <c r="Z64" i="8" s="1"/>
  <c r="I64" i="8"/>
  <c r="Y64" i="8" s="1"/>
  <c r="H64" i="8"/>
  <c r="X64" i="8" s="1"/>
  <c r="G64" i="8"/>
  <c r="F64" i="8"/>
  <c r="E64" i="8"/>
  <c r="D64" i="8"/>
  <c r="C64" i="8"/>
  <c r="AD63" i="8"/>
  <c r="AC63" i="8"/>
  <c r="Y63" i="8"/>
  <c r="X63" i="8"/>
  <c r="U63" i="8"/>
  <c r="P63" i="8"/>
  <c r="O63" i="8"/>
  <c r="AE63" i="8" s="1"/>
  <c r="N63" i="8"/>
  <c r="M63" i="8"/>
  <c r="L63" i="8"/>
  <c r="AB63" i="8" s="1"/>
  <c r="K63" i="8"/>
  <c r="AA63" i="8" s="1"/>
  <c r="J63" i="8"/>
  <c r="Z63" i="8" s="1"/>
  <c r="I63" i="8"/>
  <c r="H63" i="8"/>
  <c r="G63" i="8"/>
  <c r="W63" i="8" s="1"/>
  <c r="F63" i="8"/>
  <c r="V63" i="8" s="1"/>
  <c r="E63" i="8"/>
  <c r="D63" i="8"/>
  <c r="T63" i="8" s="1"/>
  <c r="C63" i="8"/>
  <c r="S63" i="8" s="1"/>
  <c r="AB62" i="8"/>
  <c r="AA62" i="8"/>
  <c r="Z62" i="8"/>
  <c r="Y62" i="8"/>
  <c r="X62" i="8"/>
  <c r="T62" i="8"/>
  <c r="S62" i="8"/>
  <c r="P62" i="8"/>
  <c r="O62" i="8"/>
  <c r="AE62" i="8" s="1"/>
  <c r="N62" i="8"/>
  <c r="AD62" i="8" s="1"/>
  <c r="M62" i="8"/>
  <c r="AC62" i="8" s="1"/>
  <c r="L62" i="8"/>
  <c r="K62" i="8"/>
  <c r="J62" i="8"/>
  <c r="I62" i="8"/>
  <c r="H62" i="8"/>
  <c r="G62" i="8"/>
  <c r="W62" i="8" s="1"/>
  <c r="F62" i="8"/>
  <c r="V62" i="8" s="1"/>
  <c r="E62" i="8"/>
  <c r="U62" i="8" s="1"/>
  <c r="D62" i="8"/>
  <c r="C62" i="8"/>
  <c r="AE61" i="8"/>
  <c r="AD61" i="8"/>
  <c r="W61" i="8"/>
  <c r="V61" i="8"/>
  <c r="U61" i="8"/>
  <c r="P61" i="8"/>
  <c r="O61" i="8"/>
  <c r="N61" i="8"/>
  <c r="M61" i="8"/>
  <c r="AC61" i="8" s="1"/>
  <c r="L61" i="8"/>
  <c r="AB61" i="8" s="1"/>
  <c r="K61" i="8"/>
  <c r="AA61" i="8" s="1"/>
  <c r="J61" i="8"/>
  <c r="Z61" i="8" s="1"/>
  <c r="I61" i="8"/>
  <c r="Y61" i="8" s="1"/>
  <c r="H61" i="8"/>
  <c r="X61" i="8" s="1"/>
  <c r="G61" i="8"/>
  <c r="F61" i="8"/>
  <c r="E61" i="8"/>
  <c r="D61" i="8"/>
  <c r="T61" i="8" s="1"/>
  <c r="C61" i="8"/>
  <c r="S61" i="8" s="1"/>
  <c r="V60" i="8"/>
  <c r="P60" i="8"/>
  <c r="Z60" i="8" s="1"/>
  <c r="O60" i="8"/>
  <c r="AE60" i="8" s="1"/>
  <c r="N60" i="8"/>
  <c r="AD60" i="8" s="1"/>
  <c r="M60" i="8"/>
  <c r="L60" i="8"/>
  <c r="K60" i="8"/>
  <c r="J60" i="8"/>
  <c r="I60" i="8"/>
  <c r="H60" i="8"/>
  <c r="X60" i="8" s="1"/>
  <c r="G60" i="8"/>
  <c r="F60" i="8"/>
  <c r="E60" i="8"/>
  <c r="D60" i="8"/>
  <c r="C60" i="8"/>
  <c r="AB59" i="8"/>
  <c r="AA59" i="8"/>
  <c r="P59" i="8"/>
  <c r="U59" i="8" s="1"/>
  <c r="O59" i="8"/>
  <c r="AE59" i="8" s="1"/>
  <c r="N59" i="8"/>
  <c r="AD59" i="8" s="1"/>
  <c r="M59" i="8"/>
  <c r="L59" i="8"/>
  <c r="K59" i="8"/>
  <c r="J59" i="8"/>
  <c r="I59" i="8"/>
  <c r="Y59" i="8" s="1"/>
  <c r="H59" i="8"/>
  <c r="X59" i="8" s="1"/>
  <c r="G59" i="8"/>
  <c r="W59" i="8" s="1"/>
  <c r="F59" i="8"/>
  <c r="V59" i="8" s="1"/>
  <c r="E59" i="8"/>
  <c r="D59" i="8"/>
  <c r="C59" i="8"/>
  <c r="AE58" i="8"/>
  <c r="AB58" i="8"/>
  <c r="X58" i="8"/>
  <c r="W58" i="8"/>
  <c r="P58" i="8"/>
  <c r="O58" i="8"/>
  <c r="N58" i="8"/>
  <c r="AD58" i="8" s="1"/>
  <c r="M58" i="8"/>
  <c r="AC58" i="8" s="1"/>
  <c r="L58" i="8"/>
  <c r="K58" i="8"/>
  <c r="AA58" i="8" s="1"/>
  <c r="J58" i="8"/>
  <c r="Z58" i="8" s="1"/>
  <c r="I58" i="8"/>
  <c r="Y58" i="8" s="1"/>
  <c r="H58" i="8"/>
  <c r="G58" i="8"/>
  <c r="F58" i="8"/>
  <c r="V58" i="8" s="1"/>
  <c r="E58" i="8"/>
  <c r="U58" i="8" s="1"/>
  <c r="D58" i="8"/>
  <c r="T58" i="8" s="1"/>
  <c r="C58" i="8"/>
  <c r="S58" i="8" s="1"/>
  <c r="AA57" i="8"/>
  <c r="Z57" i="8"/>
  <c r="Y57" i="8"/>
  <c r="X57" i="8"/>
  <c r="W57" i="8"/>
  <c r="S57" i="8"/>
  <c r="P57" i="8"/>
  <c r="O57" i="8"/>
  <c r="AE57" i="8" s="1"/>
  <c r="N57" i="8"/>
  <c r="AD57" i="8" s="1"/>
  <c r="M57" i="8"/>
  <c r="AC57" i="8" s="1"/>
  <c r="L57" i="8"/>
  <c r="AB57" i="8" s="1"/>
  <c r="K57" i="8"/>
  <c r="J57" i="8"/>
  <c r="I57" i="8"/>
  <c r="H57" i="8"/>
  <c r="G57" i="8"/>
  <c r="F57" i="8"/>
  <c r="V57" i="8" s="1"/>
  <c r="E57" i="8"/>
  <c r="U57" i="8" s="1"/>
  <c r="D57" i="8"/>
  <c r="T57" i="8" s="1"/>
  <c r="C57" i="8"/>
  <c r="AD56" i="8"/>
  <c r="V56" i="8"/>
  <c r="U56" i="8"/>
  <c r="T56" i="8"/>
  <c r="S56" i="8"/>
  <c r="P56" i="8"/>
  <c r="AC56" i="8" s="1"/>
  <c r="O56" i="8"/>
  <c r="N56" i="8"/>
  <c r="M56" i="8"/>
  <c r="L56" i="8"/>
  <c r="AB56" i="8" s="1"/>
  <c r="K56" i="8"/>
  <c r="AA56" i="8" s="1"/>
  <c r="J56" i="8"/>
  <c r="Z56" i="8" s="1"/>
  <c r="I56" i="8"/>
  <c r="Y56" i="8" s="1"/>
  <c r="H56" i="8"/>
  <c r="X56" i="8" s="1"/>
  <c r="G56" i="8"/>
  <c r="F56" i="8"/>
  <c r="E56" i="8"/>
  <c r="D56" i="8"/>
  <c r="C56" i="8"/>
  <c r="AE55" i="8"/>
  <c r="AD55" i="8"/>
  <c r="AC55" i="8"/>
  <c r="Y55" i="8"/>
  <c r="X55" i="8"/>
  <c r="V55" i="8"/>
  <c r="U55" i="8"/>
  <c r="P55" i="8"/>
  <c r="O55" i="8"/>
  <c r="N55" i="8"/>
  <c r="M55" i="8"/>
  <c r="L55" i="8"/>
  <c r="AB55" i="8" s="1"/>
  <c r="K55" i="8"/>
  <c r="AA55" i="8" s="1"/>
  <c r="J55" i="8"/>
  <c r="Z55" i="8" s="1"/>
  <c r="I55" i="8"/>
  <c r="H55" i="8"/>
  <c r="G55" i="8"/>
  <c r="W55" i="8" s="1"/>
  <c r="F55" i="8"/>
  <c r="E55" i="8"/>
  <c r="D55" i="8"/>
  <c r="T55" i="8" s="1"/>
  <c r="C55" i="8"/>
  <c r="S55" i="8" s="1"/>
  <c r="AB54" i="8"/>
  <c r="AA54" i="8"/>
  <c r="Z54" i="8"/>
  <c r="Y54" i="8"/>
  <c r="X54" i="8"/>
  <c r="P54" i="8"/>
  <c r="T54" i="8" s="1"/>
  <c r="O54" i="8"/>
  <c r="AE54" i="8" s="1"/>
  <c r="N54" i="8"/>
  <c r="AD54" i="8" s="1"/>
  <c r="M54" i="8"/>
  <c r="AC54" i="8" s="1"/>
  <c r="L54" i="8"/>
  <c r="K54" i="8"/>
  <c r="J54" i="8"/>
  <c r="I54" i="8"/>
  <c r="H54" i="8"/>
  <c r="G54" i="8"/>
  <c r="W54" i="8" s="1"/>
  <c r="F54" i="8"/>
  <c r="V54" i="8" s="1"/>
  <c r="E54" i="8"/>
  <c r="U54" i="8" s="1"/>
  <c r="D54" i="8"/>
  <c r="C54" i="8"/>
  <c r="AE53" i="8"/>
  <c r="AD53" i="8"/>
  <c r="AA53" i="8"/>
  <c r="W53" i="8"/>
  <c r="V53" i="8"/>
  <c r="P53" i="8"/>
  <c r="O53" i="8"/>
  <c r="N53" i="8"/>
  <c r="M53" i="8"/>
  <c r="AC53" i="8" s="1"/>
  <c r="L53" i="8"/>
  <c r="AB53" i="8" s="1"/>
  <c r="K53" i="8"/>
  <c r="J53" i="8"/>
  <c r="Z53" i="8" s="1"/>
  <c r="I53" i="8"/>
  <c r="Y53" i="8" s="1"/>
  <c r="H53" i="8"/>
  <c r="X53" i="8" s="1"/>
  <c r="G53" i="8"/>
  <c r="F53" i="8"/>
  <c r="E53" i="8"/>
  <c r="U53" i="8" s="1"/>
  <c r="D53" i="8"/>
  <c r="T53" i="8" s="1"/>
  <c r="C53" i="8"/>
  <c r="S53" i="8" s="1"/>
  <c r="Z52" i="8"/>
  <c r="Y52" i="8"/>
  <c r="X52" i="8"/>
  <c r="W52" i="8"/>
  <c r="P52" i="8"/>
  <c r="O52" i="8"/>
  <c r="AE52" i="8" s="1"/>
  <c r="N52" i="8"/>
  <c r="AD52" i="8" s="1"/>
  <c r="M52" i="8"/>
  <c r="AC52" i="8" s="1"/>
  <c r="L52" i="8"/>
  <c r="AB52" i="8" s="1"/>
  <c r="K52" i="8"/>
  <c r="AA52" i="8" s="1"/>
  <c r="J52" i="8"/>
  <c r="I52" i="8"/>
  <c r="H52" i="8"/>
  <c r="G52" i="8"/>
  <c r="F52" i="8"/>
  <c r="V52" i="8" s="1"/>
  <c r="E52" i="8"/>
  <c r="U52" i="8" s="1"/>
  <c r="D52" i="8"/>
  <c r="T52" i="8" s="1"/>
  <c r="C52" i="8"/>
  <c r="S52" i="8" s="1"/>
  <c r="AC51" i="8"/>
  <c r="Y51" i="8"/>
  <c r="X51" i="8"/>
  <c r="U51" i="8"/>
  <c r="T51" i="8"/>
  <c r="P51" i="8"/>
  <c r="AB51" i="8" s="1"/>
  <c r="O51" i="8"/>
  <c r="N51" i="8"/>
  <c r="AD51" i="8" s="1"/>
  <c r="M51" i="8"/>
  <c r="L51" i="8"/>
  <c r="K51" i="8"/>
  <c r="AA51" i="8" s="1"/>
  <c r="J51" i="8"/>
  <c r="Z51" i="8" s="1"/>
  <c r="I51" i="8"/>
  <c r="H51" i="8"/>
  <c r="G51" i="8"/>
  <c r="F51" i="8"/>
  <c r="V51" i="8" s="1"/>
  <c r="E51" i="8"/>
  <c r="D51" i="8"/>
  <c r="C51" i="8"/>
  <c r="S51" i="8" s="1"/>
  <c r="AE50" i="8"/>
  <c r="X50" i="8"/>
  <c r="W50" i="8"/>
  <c r="V50" i="8"/>
  <c r="U50" i="8"/>
  <c r="P50" i="8"/>
  <c r="O50" i="8"/>
  <c r="N50" i="8"/>
  <c r="AD50" i="8" s="1"/>
  <c r="M50" i="8"/>
  <c r="AC50" i="8" s="1"/>
  <c r="L50" i="8"/>
  <c r="AB50" i="8" s="1"/>
  <c r="K50" i="8"/>
  <c r="AA50" i="8" s="1"/>
  <c r="J50" i="8"/>
  <c r="Z50" i="8" s="1"/>
  <c r="I50" i="8"/>
  <c r="Y50" i="8" s="1"/>
  <c r="H50" i="8"/>
  <c r="G50" i="8"/>
  <c r="F50" i="8"/>
  <c r="E50" i="8"/>
  <c r="D50" i="8"/>
  <c r="T50" i="8" s="1"/>
  <c r="C50" i="8"/>
  <c r="S50" i="8" s="1"/>
  <c r="AE49" i="8"/>
  <c r="Z49" i="8"/>
  <c r="Y49" i="8"/>
  <c r="X49" i="8"/>
  <c r="W49" i="8"/>
  <c r="V49" i="8"/>
  <c r="S49" i="8"/>
  <c r="P49" i="8"/>
  <c r="AA49" i="8" s="1"/>
  <c r="O49" i="8"/>
  <c r="N49" i="8"/>
  <c r="AD49" i="8" s="1"/>
  <c r="M49" i="8"/>
  <c r="AC49" i="8" s="1"/>
  <c r="L49" i="8"/>
  <c r="AB49" i="8" s="1"/>
  <c r="K49" i="8"/>
  <c r="J49" i="8"/>
  <c r="I49" i="8"/>
  <c r="H49" i="8"/>
  <c r="G49" i="8"/>
  <c r="F49" i="8"/>
  <c r="E49" i="8"/>
  <c r="U49" i="8" s="1"/>
  <c r="D49" i="8"/>
  <c r="T49" i="8" s="1"/>
  <c r="C49" i="8"/>
  <c r="AD48" i="8"/>
  <c r="AC48" i="8"/>
  <c r="Y48" i="8"/>
  <c r="V48" i="8"/>
  <c r="U48" i="8"/>
  <c r="T48" i="8"/>
  <c r="P48" i="8"/>
  <c r="O48" i="8"/>
  <c r="N48" i="8"/>
  <c r="M48" i="8"/>
  <c r="L48" i="8"/>
  <c r="AB48" i="8" s="1"/>
  <c r="K48" i="8"/>
  <c r="AA48" i="8" s="1"/>
  <c r="J48" i="8"/>
  <c r="Z48" i="8" s="1"/>
  <c r="I48" i="8"/>
  <c r="H48" i="8"/>
  <c r="X48" i="8" s="1"/>
  <c r="G48" i="8"/>
  <c r="F48" i="8"/>
  <c r="E48" i="8"/>
  <c r="D48" i="8"/>
  <c r="C48" i="8"/>
  <c r="S48" i="8" s="1"/>
  <c r="AE47" i="8"/>
  <c r="AD47" i="8"/>
  <c r="Y47" i="8"/>
  <c r="X47" i="8"/>
  <c r="W47" i="8"/>
  <c r="V47" i="8"/>
  <c r="U47" i="8"/>
  <c r="P47" i="8"/>
  <c r="O47" i="8"/>
  <c r="N47" i="8"/>
  <c r="M47" i="8"/>
  <c r="AC47" i="8" s="1"/>
  <c r="L47" i="8"/>
  <c r="AB47" i="8" s="1"/>
  <c r="K47" i="8"/>
  <c r="AA47" i="8" s="1"/>
  <c r="J47" i="8"/>
  <c r="Z47" i="8" s="1"/>
  <c r="I47" i="8"/>
  <c r="H47" i="8"/>
  <c r="G47" i="8"/>
  <c r="F47" i="8"/>
  <c r="E47" i="8"/>
  <c r="D47" i="8"/>
  <c r="T47" i="8" s="1"/>
  <c r="C47" i="8"/>
  <c r="S47" i="8" s="1"/>
  <c r="AE46" i="8"/>
  <c r="X46" i="8"/>
  <c r="W46" i="8"/>
  <c r="T46" i="8"/>
  <c r="S46" i="8"/>
  <c r="P46" i="8"/>
  <c r="AA46" i="8" s="1"/>
  <c r="O46" i="8"/>
  <c r="N46" i="8"/>
  <c r="M46" i="8"/>
  <c r="L46" i="8"/>
  <c r="K46" i="8"/>
  <c r="J46" i="8"/>
  <c r="Z46" i="8" s="1"/>
  <c r="I46" i="8"/>
  <c r="Y46" i="8" s="1"/>
  <c r="H46" i="8"/>
  <c r="G46" i="8"/>
  <c r="F46" i="8"/>
  <c r="E46" i="8"/>
  <c r="D46" i="8"/>
  <c r="C46" i="8"/>
  <c r="AE45" i="8"/>
  <c r="AD45" i="8"/>
  <c r="W45" i="8"/>
  <c r="V45" i="8"/>
  <c r="U45" i="8"/>
  <c r="T45" i="8"/>
  <c r="P45" i="8"/>
  <c r="O45" i="8"/>
  <c r="N45" i="8"/>
  <c r="M45" i="8"/>
  <c r="AC45" i="8" s="1"/>
  <c r="L45" i="8"/>
  <c r="AB45" i="8" s="1"/>
  <c r="K45" i="8"/>
  <c r="AA45" i="8" s="1"/>
  <c r="J45" i="8"/>
  <c r="Z45" i="8" s="1"/>
  <c r="I45" i="8"/>
  <c r="Y45" i="8" s="1"/>
  <c r="H45" i="8"/>
  <c r="X45" i="8" s="1"/>
  <c r="G45" i="8"/>
  <c r="F45" i="8"/>
  <c r="E45" i="8"/>
  <c r="D45" i="8"/>
  <c r="C45" i="8"/>
  <c r="S45" i="8" s="1"/>
  <c r="AE44" i="8"/>
  <c r="X44" i="8"/>
  <c r="W44" i="8"/>
  <c r="V44" i="8"/>
  <c r="U44" i="8"/>
  <c r="P44" i="8"/>
  <c r="Z44" i="8" s="1"/>
  <c r="O44" i="8"/>
  <c r="N44" i="8"/>
  <c r="M44" i="8"/>
  <c r="AC44" i="8" s="1"/>
  <c r="L44" i="8"/>
  <c r="AB44" i="8" s="1"/>
  <c r="K44" i="8"/>
  <c r="AA44" i="8" s="1"/>
  <c r="J44" i="8"/>
  <c r="I44" i="8"/>
  <c r="H44" i="8"/>
  <c r="G44" i="8"/>
  <c r="F44" i="8"/>
  <c r="E44" i="8"/>
  <c r="D44" i="8"/>
  <c r="T44" i="8" s="1"/>
  <c r="C44" i="8"/>
  <c r="S44" i="8" s="1"/>
  <c r="AC43" i="8"/>
  <c r="S43" i="8"/>
  <c r="P43" i="8"/>
  <c r="U43" i="8" s="1"/>
  <c r="O43" i="8"/>
  <c r="N43" i="8"/>
  <c r="M43" i="8"/>
  <c r="L43" i="8"/>
  <c r="K43" i="8"/>
  <c r="AA43" i="8" s="1"/>
  <c r="J43" i="8"/>
  <c r="Z43" i="8" s="1"/>
  <c r="I43" i="8"/>
  <c r="Y43" i="8" s="1"/>
  <c r="H43" i="8"/>
  <c r="X43" i="8" s="1"/>
  <c r="G43" i="8"/>
  <c r="F43" i="8"/>
  <c r="E43" i="8"/>
  <c r="D43" i="8"/>
  <c r="C43" i="8"/>
  <c r="AE42" i="8"/>
  <c r="AD42" i="8"/>
  <c r="AC42" i="8"/>
  <c r="X42" i="8"/>
  <c r="W42" i="8"/>
  <c r="V42" i="8"/>
  <c r="U42" i="8"/>
  <c r="T42" i="8"/>
  <c r="S42" i="8"/>
  <c r="P42" i="8"/>
  <c r="O42" i="8"/>
  <c r="N42" i="8"/>
  <c r="M42" i="8"/>
  <c r="L42" i="8"/>
  <c r="AB42" i="8" s="1"/>
  <c r="K42" i="8"/>
  <c r="AA42" i="8" s="1"/>
  <c r="J42" i="8"/>
  <c r="Z42" i="8" s="1"/>
  <c r="I42" i="8"/>
  <c r="Y42" i="8" s="1"/>
  <c r="H42" i="8"/>
  <c r="G42" i="8"/>
  <c r="F42" i="8"/>
  <c r="E42" i="8"/>
  <c r="D42" i="8"/>
  <c r="C42" i="8"/>
  <c r="AE41" i="8"/>
  <c r="AD41" i="8"/>
  <c r="X41" i="8"/>
  <c r="W41" i="8"/>
  <c r="V41" i="8"/>
  <c r="T41" i="8"/>
  <c r="S41" i="8"/>
  <c r="P41" i="8"/>
  <c r="AA41" i="8" s="1"/>
  <c r="O41" i="8"/>
  <c r="N41" i="8"/>
  <c r="M41" i="8"/>
  <c r="AC41" i="8" s="1"/>
  <c r="L41" i="8"/>
  <c r="AB41" i="8" s="1"/>
  <c r="K41" i="8"/>
  <c r="J41" i="8"/>
  <c r="Z41" i="8" s="1"/>
  <c r="I41" i="8"/>
  <c r="Y41" i="8" s="1"/>
  <c r="H41" i="8"/>
  <c r="G41" i="8"/>
  <c r="F41" i="8"/>
  <c r="E41" i="8"/>
  <c r="U41" i="8" s="1"/>
  <c r="D41" i="8"/>
  <c r="C41" i="8"/>
  <c r="AE40" i="8"/>
  <c r="AD40" i="8"/>
  <c r="Z40" i="8"/>
  <c r="Y40" i="8"/>
  <c r="W40" i="8"/>
  <c r="V40" i="8"/>
  <c r="P40" i="8"/>
  <c r="O40" i="8"/>
  <c r="N40" i="8"/>
  <c r="M40" i="8"/>
  <c r="AC40" i="8" s="1"/>
  <c r="L40" i="8"/>
  <c r="AB40" i="8" s="1"/>
  <c r="K40" i="8"/>
  <c r="AA40" i="8" s="1"/>
  <c r="J40" i="8"/>
  <c r="I40" i="8"/>
  <c r="H40" i="8"/>
  <c r="X40" i="8" s="1"/>
  <c r="G40" i="8"/>
  <c r="F40" i="8"/>
  <c r="E40" i="8"/>
  <c r="U40" i="8" s="1"/>
  <c r="D40" i="8"/>
  <c r="T40" i="8" s="1"/>
  <c r="C40" i="8"/>
  <c r="S40" i="8" s="1"/>
  <c r="Z39" i="8"/>
  <c r="Y39" i="8"/>
  <c r="X39" i="8"/>
  <c r="P39" i="8"/>
  <c r="AB39" i="8" s="1"/>
  <c r="O39" i="8"/>
  <c r="AE39" i="8" s="1"/>
  <c r="N39" i="8"/>
  <c r="AD39" i="8" s="1"/>
  <c r="M39" i="8"/>
  <c r="AC39" i="8" s="1"/>
  <c r="L39" i="8"/>
  <c r="K39" i="8"/>
  <c r="J39" i="8"/>
  <c r="I39" i="8"/>
  <c r="H39" i="8"/>
  <c r="G39" i="8"/>
  <c r="W39" i="8" s="1"/>
  <c r="F39" i="8"/>
  <c r="V39" i="8" s="1"/>
  <c r="E39" i="8"/>
  <c r="U39" i="8" s="1"/>
  <c r="D39" i="8"/>
  <c r="T39" i="8" s="1"/>
  <c r="C39" i="8"/>
  <c r="Z38" i="8"/>
  <c r="Y38" i="8"/>
  <c r="P38" i="8"/>
  <c r="T38" i="8" s="1"/>
  <c r="O38" i="8"/>
  <c r="AE38" i="8" s="1"/>
  <c r="N38" i="8"/>
  <c r="AD38" i="8" s="1"/>
  <c r="M38" i="8"/>
  <c r="AC38" i="8" s="1"/>
  <c r="L38" i="8"/>
  <c r="K38" i="8"/>
  <c r="J38" i="8"/>
  <c r="I38" i="8"/>
  <c r="H38" i="8"/>
  <c r="X38" i="8" s="1"/>
  <c r="G38" i="8"/>
  <c r="W38" i="8" s="1"/>
  <c r="F38" i="8"/>
  <c r="V38" i="8" s="1"/>
  <c r="E38" i="8"/>
  <c r="U38" i="8" s="1"/>
  <c r="D38" i="8"/>
  <c r="C38" i="8"/>
  <c r="AB37" i="8"/>
  <c r="S37" i="8"/>
  <c r="P37" i="8"/>
  <c r="W37" i="8" s="1"/>
  <c r="O37" i="8"/>
  <c r="N37" i="8"/>
  <c r="M37" i="8"/>
  <c r="L37" i="8"/>
  <c r="K37" i="8"/>
  <c r="J37" i="8"/>
  <c r="Z37" i="8" s="1"/>
  <c r="I37" i="8"/>
  <c r="Y37" i="8" s="1"/>
  <c r="H37" i="8"/>
  <c r="X37" i="8" s="1"/>
  <c r="G37" i="8"/>
  <c r="F37" i="8"/>
  <c r="E37" i="8"/>
  <c r="D37" i="8"/>
  <c r="C37" i="8"/>
  <c r="AE36" i="8"/>
  <c r="AD36" i="8"/>
  <c r="AC36" i="8"/>
  <c r="W36" i="8"/>
  <c r="V36" i="8"/>
  <c r="U36" i="8"/>
  <c r="S36" i="8"/>
  <c r="P36" i="8"/>
  <c r="Z36" i="8" s="1"/>
  <c r="O36" i="8"/>
  <c r="N36" i="8"/>
  <c r="M36" i="8"/>
  <c r="L36" i="8"/>
  <c r="AB36" i="8" s="1"/>
  <c r="K36" i="8"/>
  <c r="AA36" i="8" s="1"/>
  <c r="J36" i="8"/>
  <c r="I36" i="8"/>
  <c r="Y36" i="8" s="1"/>
  <c r="H36" i="8"/>
  <c r="X36" i="8" s="1"/>
  <c r="G36" i="8"/>
  <c r="F36" i="8"/>
  <c r="E36" i="8"/>
  <c r="D36" i="8"/>
  <c r="T36" i="8" s="1"/>
  <c r="C36" i="8"/>
  <c r="AD35" i="8"/>
  <c r="AC35" i="8"/>
  <c r="X35" i="8"/>
  <c r="V35" i="8"/>
  <c r="U35" i="8"/>
  <c r="T35" i="8"/>
  <c r="P35" i="8"/>
  <c r="O35" i="8"/>
  <c r="N35" i="8"/>
  <c r="M35" i="8"/>
  <c r="L35" i="8"/>
  <c r="AB35" i="8" s="1"/>
  <c r="K35" i="8"/>
  <c r="AA35" i="8" s="1"/>
  <c r="J35" i="8"/>
  <c r="Z35" i="8" s="1"/>
  <c r="I35" i="8"/>
  <c r="Y35" i="8" s="1"/>
  <c r="H35" i="8"/>
  <c r="G35" i="8"/>
  <c r="F35" i="8"/>
  <c r="E35" i="8"/>
  <c r="D35" i="8"/>
  <c r="C35" i="8"/>
  <c r="S35" i="8" s="1"/>
  <c r="AJ34" i="8"/>
  <c r="Z34" i="8"/>
  <c r="Y34" i="8"/>
  <c r="X34" i="8"/>
  <c r="W34" i="8"/>
  <c r="P34" i="8"/>
  <c r="O34" i="8"/>
  <c r="AE34" i="8" s="1"/>
  <c r="N34" i="8"/>
  <c r="AD34" i="8" s="1"/>
  <c r="M34" i="8"/>
  <c r="AC34" i="8" s="1"/>
  <c r="L34" i="8"/>
  <c r="AB34" i="8" s="1"/>
  <c r="K34" i="8"/>
  <c r="AA34" i="8" s="1"/>
  <c r="J34" i="8"/>
  <c r="I34" i="8"/>
  <c r="H34" i="8"/>
  <c r="G34" i="8"/>
  <c r="F34" i="8"/>
  <c r="V34" i="8" s="1"/>
  <c r="E34" i="8"/>
  <c r="U34" i="8" s="1"/>
  <c r="D34" i="8"/>
  <c r="T34" i="8" s="1"/>
  <c r="C34" i="8"/>
  <c r="S34" i="8" s="1"/>
  <c r="Z33" i="8"/>
  <c r="Y33" i="8"/>
  <c r="X33" i="8"/>
  <c r="P33" i="8"/>
  <c r="T33" i="8" s="1"/>
  <c r="O33" i="8"/>
  <c r="AE33" i="8" s="1"/>
  <c r="N33" i="8"/>
  <c r="AD33" i="8" s="1"/>
  <c r="M33" i="8"/>
  <c r="AC33" i="8" s="1"/>
  <c r="L33" i="8"/>
  <c r="K33" i="8"/>
  <c r="J33" i="8"/>
  <c r="I33" i="8"/>
  <c r="H33" i="8"/>
  <c r="G33" i="8"/>
  <c r="W33" i="8" s="1"/>
  <c r="F33" i="8"/>
  <c r="V33" i="8" s="1"/>
  <c r="E33" i="8"/>
  <c r="U33" i="8" s="1"/>
  <c r="D33" i="8"/>
  <c r="C33" i="8"/>
  <c r="P32" i="8"/>
  <c r="W32" i="8" s="1"/>
  <c r="O32" i="8"/>
  <c r="N32" i="8"/>
  <c r="AD32" i="8" s="1"/>
  <c r="M32" i="8"/>
  <c r="L32" i="8"/>
  <c r="K32" i="8"/>
  <c r="J32" i="8"/>
  <c r="I32" i="8"/>
  <c r="H32" i="8"/>
  <c r="X32" i="8" s="1"/>
  <c r="G32" i="8"/>
  <c r="F32" i="8"/>
  <c r="V32" i="8" s="1"/>
  <c r="E32" i="8"/>
  <c r="D32" i="8"/>
  <c r="C32" i="8"/>
  <c r="AC31" i="8"/>
  <c r="S31" i="8"/>
  <c r="P31" i="8"/>
  <c r="V31" i="8" s="1"/>
  <c r="O31" i="8"/>
  <c r="N31" i="8"/>
  <c r="M31" i="8"/>
  <c r="L31" i="8"/>
  <c r="K31" i="8"/>
  <c r="J31" i="8"/>
  <c r="I31" i="8"/>
  <c r="Y31" i="8" s="1"/>
  <c r="H31" i="8"/>
  <c r="X31" i="8" s="1"/>
  <c r="G31" i="8"/>
  <c r="W31" i="8" s="1"/>
  <c r="F31" i="8"/>
  <c r="E31" i="8"/>
  <c r="D31" i="8"/>
  <c r="C31" i="8"/>
  <c r="AD30" i="8"/>
  <c r="AC30" i="8"/>
  <c r="AB30" i="8"/>
  <c r="V30" i="8"/>
  <c r="U30" i="8"/>
  <c r="T30" i="8"/>
  <c r="S30" i="8"/>
  <c r="P30" i="8"/>
  <c r="O30" i="8"/>
  <c r="N30" i="8"/>
  <c r="M30" i="8"/>
  <c r="L30" i="8"/>
  <c r="K30" i="8"/>
  <c r="AA30" i="8" s="1"/>
  <c r="J30" i="8"/>
  <c r="Z30" i="8" s="1"/>
  <c r="I30" i="8"/>
  <c r="Y30" i="8" s="1"/>
  <c r="H30" i="8"/>
  <c r="X30" i="8" s="1"/>
  <c r="G30" i="8"/>
  <c r="F30" i="8"/>
  <c r="E30" i="8"/>
  <c r="D30" i="8"/>
  <c r="C30" i="8"/>
  <c r="AE29" i="8"/>
  <c r="AD29" i="8"/>
  <c r="Y29" i="8"/>
  <c r="X29" i="8"/>
  <c r="W29" i="8"/>
  <c r="V29" i="8"/>
  <c r="U29" i="8"/>
  <c r="P29" i="8"/>
  <c r="O29" i="8"/>
  <c r="N29" i="8"/>
  <c r="M29" i="8"/>
  <c r="AC29" i="8" s="1"/>
  <c r="L29" i="8"/>
  <c r="AB29" i="8" s="1"/>
  <c r="K29" i="8"/>
  <c r="AA29" i="8" s="1"/>
  <c r="J29" i="8"/>
  <c r="Z29" i="8" s="1"/>
  <c r="I29" i="8"/>
  <c r="H29" i="8"/>
  <c r="G29" i="8"/>
  <c r="F29" i="8"/>
  <c r="E29" i="8"/>
  <c r="D29" i="8"/>
  <c r="T29" i="8" s="1"/>
  <c r="C29" i="8"/>
  <c r="S29" i="8" s="1"/>
  <c r="Z28" i="8"/>
  <c r="Y28" i="8"/>
  <c r="X28" i="8"/>
  <c r="W28" i="8"/>
  <c r="P28" i="8"/>
  <c r="S28" i="8" s="1"/>
  <c r="O28" i="8"/>
  <c r="AE28" i="8" s="1"/>
  <c r="N28" i="8"/>
  <c r="AD28" i="8" s="1"/>
  <c r="M28" i="8"/>
  <c r="AC28" i="8" s="1"/>
  <c r="L28" i="8"/>
  <c r="AB28" i="8" s="1"/>
  <c r="K28" i="8"/>
  <c r="J28" i="8"/>
  <c r="I28" i="8"/>
  <c r="H28" i="8"/>
  <c r="G28" i="8"/>
  <c r="F28" i="8"/>
  <c r="V28" i="8" s="1"/>
  <c r="E28" i="8"/>
  <c r="U28" i="8" s="1"/>
  <c r="D28" i="8"/>
  <c r="T28" i="8" s="1"/>
  <c r="C28" i="8"/>
  <c r="Z27" i="8"/>
  <c r="Y27" i="8"/>
  <c r="P27" i="8"/>
  <c r="V27" i="8" s="1"/>
  <c r="O27" i="8"/>
  <c r="AE27" i="8" s="1"/>
  <c r="N27" i="8"/>
  <c r="M27" i="8"/>
  <c r="AC27" i="8" s="1"/>
  <c r="L27" i="8"/>
  <c r="K27" i="8"/>
  <c r="J27" i="8"/>
  <c r="I27" i="8"/>
  <c r="H27" i="8"/>
  <c r="X27" i="8" s="1"/>
  <c r="G27" i="8"/>
  <c r="W27" i="8" s="1"/>
  <c r="F27" i="8"/>
  <c r="E27" i="8"/>
  <c r="U27" i="8" s="1"/>
  <c r="D27" i="8"/>
  <c r="T27" i="8" s="1"/>
  <c r="C27" i="8"/>
  <c r="P24" i="8"/>
  <c r="U24" i="8" s="1"/>
  <c r="O24" i="8"/>
  <c r="AE24" i="8" s="1"/>
  <c r="N24" i="8"/>
  <c r="M24" i="8"/>
  <c r="L24" i="8"/>
  <c r="K24" i="8"/>
  <c r="J24" i="8"/>
  <c r="I24" i="8"/>
  <c r="H24" i="8"/>
  <c r="X24" i="8" s="1"/>
  <c r="G24" i="8"/>
  <c r="W24" i="8" s="1"/>
  <c r="F24" i="8"/>
  <c r="V24" i="8" s="1"/>
  <c r="E24" i="8"/>
  <c r="D24" i="8"/>
  <c r="C24" i="8"/>
  <c r="AB23" i="8"/>
  <c r="S23" i="8"/>
  <c r="P23" i="8"/>
  <c r="U23" i="8" s="1"/>
  <c r="O23" i="8"/>
  <c r="N23" i="8"/>
  <c r="M23" i="8"/>
  <c r="L23" i="8"/>
  <c r="K23" i="8"/>
  <c r="J23" i="8"/>
  <c r="Z23" i="8" s="1"/>
  <c r="I23" i="8"/>
  <c r="Y23" i="8" s="1"/>
  <c r="H23" i="8"/>
  <c r="X23" i="8" s="1"/>
  <c r="G23" i="8"/>
  <c r="W23" i="8" s="1"/>
  <c r="F23" i="8"/>
  <c r="E23" i="8"/>
  <c r="D23" i="8"/>
  <c r="C23" i="8"/>
  <c r="AE22" i="8"/>
  <c r="AD22" i="8"/>
  <c r="AC22" i="8"/>
  <c r="W22" i="8"/>
  <c r="V22" i="8"/>
  <c r="U22" i="8"/>
  <c r="T22" i="8"/>
  <c r="P22" i="8"/>
  <c r="O22" i="8"/>
  <c r="N22" i="8"/>
  <c r="M22" i="8"/>
  <c r="L22" i="8"/>
  <c r="AB22" i="8" s="1"/>
  <c r="K22" i="8"/>
  <c r="AA22" i="8" s="1"/>
  <c r="J22" i="8"/>
  <c r="Z22" i="8" s="1"/>
  <c r="I22" i="8"/>
  <c r="Y22" i="8" s="1"/>
  <c r="H22" i="8"/>
  <c r="X22" i="8" s="1"/>
  <c r="G22" i="8"/>
  <c r="F22" i="8"/>
  <c r="E22" i="8"/>
  <c r="D22" i="8"/>
  <c r="C22" i="8"/>
  <c r="S22" i="8" s="1"/>
  <c r="AE21" i="8"/>
  <c r="Y21" i="8"/>
  <c r="X21" i="8"/>
  <c r="W21" i="8"/>
  <c r="P21" i="8"/>
  <c r="Z21" i="8" s="1"/>
  <c r="O21" i="8"/>
  <c r="N21" i="8"/>
  <c r="AD21" i="8" s="1"/>
  <c r="M21" i="8"/>
  <c r="AC21" i="8" s="1"/>
  <c r="L21" i="8"/>
  <c r="AB21" i="8" s="1"/>
  <c r="K21" i="8"/>
  <c r="AA21" i="8" s="1"/>
  <c r="J21" i="8"/>
  <c r="I21" i="8"/>
  <c r="H21" i="8"/>
  <c r="G21" i="8"/>
  <c r="F21" i="8"/>
  <c r="V21" i="8" s="1"/>
  <c r="E21" i="8"/>
  <c r="U21" i="8" s="1"/>
  <c r="D21" i="8"/>
  <c r="T21" i="8" s="1"/>
  <c r="C21" i="8"/>
  <c r="S21" i="8" s="1"/>
  <c r="AA20" i="8"/>
  <c r="S20" i="8"/>
  <c r="P20" i="8"/>
  <c r="U20" i="8" s="1"/>
  <c r="O20" i="8"/>
  <c r="AE20" i="8" s="1"/>
  <c r="N20" i="8"/>
  <c r="AD20" i="8" s="1"/>
  <c r="M20" i="8"/>
  <c r="L20" i="8"/>
  <c r="K20" i="8"/>
  <c r="J20" i="8"/>
  <c r="I20" i="8"/>
  <c r="Y20" i="8" s="1"/>
  <c r="H20" i="8"/>
  <c r="X20" i="8" s="1"/>
  <c r="G20" i="8"/>
  <c r="W20" i="8" s="1"/>
  <c r="F20" i="8"/>
  <c r="V20" i="8" s="1"/>
  <c r="E20" i="8"/>
  <c r="D20" i="8"/>
  <c r="C20" i="8"/>
  <c r="AE19" i="8"/>
  <c r="AD19" i="8"/>
  <c r="AC19" i="8"/>
  <c r="X19" i="8"/>
  <c r="W19" i="8"/>
  <c r="V19" i="8"/>
  <c r="U19" i="8"/>
  <c r="P19" i="8"/>
  <c r="O19" i="8"/>
  <c r="N19" i="8"/>
  <c r="M19" i="8"/>
  <c r="L19" i="8"/>
  <c r="AB19" i="8" s="1"/>
  <c r="K19" i="8"/>
  <c r="AA19" i="8" s="1"/>
  <c r="J19" i="8"/>
  <c r="Z19" i="8" s="1"/>
  <c r="I19" i="8"/>
  <c r="Y19" i="8" s="1"/>
  <c r="H19" i="8"/>
  <c r="G19" i="8"/>
  <c r="F19" i="8"/>
  <c r="E19" i="8"/>
  <c r="D19" i="8"/>
  <c r="T19" i="8" s="1"/>
  <c r="C19" i="8"/>
  <c r="S19" i="8" s="1"/>
  <c r="Y18" i="8"/>
  <c r="X18" i="8"/>
  <c r="P18" i="8"/>
  <c r="S18" i="8" s="1"/>
  <c r="O18" i="8"/>
  <c r="AE18" i="8" s="1"/>
  <c r="N18" i="8"/>
  <c r="AD18" i="8" s="1"/>
  <c r="M18" i="8"/>
  <c r="AC18" i="8" s="1"/>
  <c r="L18" i="8"/>
  <c r="AB18" i="8" s="1"/>
  <c r="K18" i="8"/>
  <c r="J18" i="8"/>
  <c r="I18" i="8"/>
  <c r="H18" i="8"/>
  <c r="G18" i="8"/>
  <c r="W18" i="8" s="1"/>
  <c r="F18" i="8"/>
  <c r="V18" i="8" s="1"/>
  <c r="E18" i="8"/>
  <c r="U18" i="8" s="1"/>
  <c r="D18" i="8"/>
  <c r="T18" i="8" s="1"/>
  <c r="C18" i="8"/>
  <c r="AD17" i="8"/>
  <c r="AC17" i="8"/>
  <c r="AB17" i="8"/>
  <c r="AA17" i="8"/>
  <c r="V17" i="8"/>
  <c r="U17" i="8"/>
  <c r="T17" i="8"/>
  <c r="S17" i="8"/>
  <c r="P17" i="8"/>
  <c r="O17" i="8"/>
  <c r="AE17" i="8" s="1"/>
  <c r="N17" i="8"/>
  <c r="M17" i="8"/>
  <c r="L17" i="8"/>
  <c r="K17" i="8"/>
  <c r="J17" i="8"/>
  <c r="Z17" i="8" s="1"/>
  <c r="I17" i="8"/>
  <c r="Y17" i="8" s="1"/>
  <c r="H17" i="8"/>
  <c r="X17" i="8" s="1"/>
  <c r="G17" i="8"/>
  <c r="W17" i="8" s="1"/>
  <c r="F17" i="8"/>
  <c r="E17" i="8"/>
  <c r="D17" i="8"/>
  <c r="C17" i="8"/>
  <c r="AE16" i="8"/>
  <c r="AD16" i="8"/>
  <c r="Y16" i="8"/>
  <c r="X16" i="8"/>
  <c r="W16" i="8"/>
  <c r="V16" i="8"/>
  <c r="P16" i="8"/>
  <c r="O16" i="8"/>
  <c r="N16" i="8"/>
  <c r="M16" i="8"/>
  <c r="AC16" i="8" s="1"/>
  <c r="L16" i="8"/>
  <c r="AB16" i="8" s="1"/>
  <c r="K16" i="8"/>
  <c r="AA16" i="8" s="1"/>
  <c r="J16" i="8"/>
  <c r="Z16" i="8" s="1"/>
  <c r="I16" i="8"/>
  <c r="H16" i="8"/>
  <c r="G16" i="8"/>
  <c r="F16" i="8"/>
  <c r="E16" i="8"/>
  <c r="U16" i="8" s="1"/>
  <c r="D16" i="8"/>
  <c r="T16" i="8" s="1"/>
  <c r="C16" i="8"/>
  <c r="S16" i="8" s="1"/>
  <c r="AE15" i="8"/>
  <c r="AD15" i="8"/>
  <c r="AC15" i="8"/>
  <c r="X15" i="8"/>
  <c r="W15" i="8"/>
  <c r="V15" i="8"/>
  <c r="U15" i="8"/>
  <c r="P15" i="8"/>
  <c r="Z15" i="8" s="1"/>
  <c r="O15" i="8"/>
  <c r="N15" i="8"/>
  <c r="M15" i="8"/>
  <c r="L15" i="8"/>
  <c r="AB15" i="8" s="1"/>
  <c r="K15" i="8"/>
  <c r="AA15" i="8" s="1"/>
  <c r="J15" i="8"/>
  <c r="I15" i="8"/>
  <c r="Y15" i="8" s="1"/>
  <c r="H15" i="8"/>
  <c r="G15" i="8"/>
  <c r="F15" i="8"/>
  <c r="E15" i="8"/>
  <c r="D15" i="8"/>
  <c r="T15" i="8" s="1"/>
  <c r="C15" i="8"/>
  <c r="S15" i="8" s="1"/>
  <c r="Z14" i="8"/>
  <c r="Y14" i="8"/>
  <c r="X14" i="8"/>
  <c r="P14" i="8"/>
  <c r="AA14" i="8" s="1"/>
  <c r="O14" i="8"/>
  <c r="AE14" i="8" s="1"/>
  <c r="N14" i="8"/>
  <c r="AD14" i="8" s="1"/>
  <c r="M14" i="8"/>
  <c r="L14" i="8"/>
  <c r="AB14" i="8" s="1"/>
  <c r="K14" i="8"/>
  <c r="J14" i="8"/>
  <c r="I14" i="8"/>
  <c r="H14" i="8"/>
  <c r="G14" i="8"/>
  <c r="W14" i="8" s="1"/>
  <c r="F14" i="8"/>
  <c r="V14" i="8" s="1"/>
  <c r="E14" i="8"/>
  <c r="D14" i="8"/>
  <c r="T14" i="8" s="1"/>
  <c r="C14" i="8"/>
  <c r="AD13" i="8"/>
  <c r="AC13" i="8"/>
  <c r="AB13" i="8"/>
  <c r="AA13" i="8"/>
  <c r="X13" i="8"/>
  <c r="V13" i="8"/>
  <c r="U13" i="8"/>
  <c r="T13" i="8"/>
  <c r="S13" i="8"/>
  <c r="P13" i="8"/>
  <c r="O13" i="8"/>
  <c r="AE13" i="8" s="1"/>
  <c r="N13" i="8"/>
  <c r="M13" i="8"/>
  <c r="L13" i="8"/>
  <c r="K13" i="8"/>
  <c r="J13" i="8"/>
  <c r="Z13" i="8" s="1"/>
  <c r="I13" i="8"/>
  <c r="Y13" i="8" s="1"/>
  <c r="H13" i="8"/>
  <c r="G13" i="8"/>
  <c r="W13" i="8" s="1"/>
  <c r="F13" i="8"/>
  <c r="E13" i="8"/>
  <c r="D13" i="8"/>
  <c r="C13" i="8"/>
  <c r="AE12" i="8"/>
  <c r="AD12" i="8"/>
  <c r="Y12" i="8"/>
  <c r="X12" i="8"/>
  <c r="W12" i="8"/>
  <c r="V12" i="8"/>
  <c r="P12" i="8"/>
  <c r="AA12" i="8" s="1"/>
  <c r="O12" i="8"/>
  <c r="N12" i="8"/>
  <c r="M12" i="8"/>
  <c r="AC12" i="8" s="1"/>
  <c r="L12" i="8"/>
  <c r="AB12" i="8" s="1"/>
  <c r="K12" i="8"/>
  <c r="J12" i="8"/>
  <c r="Z12" i="8" s="1"/>
  <c r="I12" i="8"/>
  <c r="H12" i="8"/>
  <c r="G12" i="8"/>
  <c r="F12" i="8"/>
  <c r="E12" i="8"/>
  <c r="U12" i="8" s="1"/>
  <c r="D12" i="8"/>
  <c r="T12" i="8" s="1"/>
  <c r="C12" i="8"/>
  <c r="Z11" i="8"/>
  <c r="Y11" i="8"/>
  <c r="P11" i="8"/>
  <c r="AB11" i="8" s="1"/>
  <c r="O11" i="8"/>
  <c r="AE11" i="8" s="1"/>
  <c r="N11" i="8"/>
  <c r="M11" i="8"/>
  <c r="AC11" i="8" s="1"/>
  <c r="L11" i="8"/>
  <c r="K11" i="8"/>
  <c r="J11" i="8"/>
  <c r="I11" i="8"/>
  <c r="H11" i="8"/>
  <c r="X11" i="8" s="1"/>
  <c r="G11" i="8"/>
  <c r="W11" i="8" s="1"/>
  <c r="F11" i="8"/>
  <c r="E11" i="8"/>
  <c r="U11" i="8" s="1"/>
  <c r="D11" i="8"/>
  <c r="C11" i="8"/>
  <c r="AE10" i="8"/>
  <c r="AD10" i="8"/>
  <c r="AC10" i="8"/>
  <c r="AB10" i="8"/>
  <c r="W10" i="8"/>
  <c r="V10" i="8"/>
  <c r="U10" i="8"/>
  <c r="T10" i="8"/>
  <c r="P10" i="8"/>
  <c r="Y10" i="8" s="1"/>
  <c r="O10" i="8"/>
  <c r="N10" i="8"/>
  <c r="M10" i="8"/>
  <c r="L10" i="8"/>
  <c r="K10" i="8"/>
  <c r="AA10" i="8" s="1"/>
  <c r="J10" i="8"/>
  <c r="Z10" i="8" s="1"/>
  <c r="I10" i="8"/>
  <c r="H10" i="8"/>
  <c r="X10" i="8" s="1"/>
  <c r="G10" i="8"/>
  <c r="F10" i="8"/>
  <c r="E10" i="8"/>
  <c r="D10" i="8"/>
  <c r="C10" i="8"/>
  <c r="S10" i="8" s="1"/>
  <c r="AE9" i="8"/>
  <c r="Y9" i="8"/>
  <c r="X9" i="8"/>
  <c r="W9" i="8"/>
  <c r="P9" i="8"/>
  <c r="AB9" i="8" s="1"/>
  <c r="O9" i="8"/>
  <c r="N9" i="8"/>
  <c r="AD9" i="8" s="1"/>
  <c r="M9" i="8"/>
  <c r="AC9" i="8" s="1"/>
  <c r="L9" i="8"/>
  <c r="K9" i="8"/>
  <c r="AA9" i="8" s="1"/>
  <c r="J9" i="8"/>
  <c r="I9" i="8"/>
  <c r="H9" i="8"/>
  <c r="G9" i="8"/>
  <c r="F9" i="8"/>
  <c r="V9" i="8" s="1"/>
  <c r="E9" i="8"/>
  <c r="U9" i="8" s="1"/>
  <c r="D9" i="8"/>
  <c r="C9" i="8"/>
  <c r="S9" i="8" s="1"/>
  <c r="P8" i="8"/>
  <c r="AB8" i="8" s="1"/>
  <c r="O8" i="8"/>
  <c r="N8" i="8"/>
  <c r="AD8" i="8" s="1"/>
  <c r="M8" i="8"/>
  <c r="L8" i="8"/>
  <c r="K8" i="8"/>
  <c r="J8" i="8"/>
  <c r="I8" i="8"/>
  <c r="Y8" i="8" s="1"/>
  <c r="H8" i="8"/>
  <c r="X8" i="8" s="1"/>
  <c r="G8" i="8"/>
  <c r="F8" i="8"/>
  <c r="V8" i="8" s="1"/>
  <c r="E8" i="8"/>
  <c r="D8" i="8"/>
  <c r="C8" i="8"/>
  <c r="Z7" i="8"/>
  <c r="Y7" i="8"/>
  <c r="P7" i="8"/>
  <c r="AA7" i="8" s="1"/>
  <c r="O7" i="8"/>
  <c r="AE7" i="8" s="1"/>
  <c r="N7" i="8"/>
  <c r="AD7" i="8" s="1"/>
  <c r="M7" i="8"/>
  <c r="AC7" i="8" s="1"/>
  <c r="L7" i="8"/>
  <c r="K7" i="8"/>
  <c r="J7" i="8"/>
  <c r="I7" i="8"/>
  <c r="H7" i="8"/>
  <c r="X7" i="8" s="1"/>
  <c r="G7" i="8"/>
  <c r="W7" i="8" s="1"/>
  <c r="F7" i="8"/>
  <c r="V7" i="8" s="1"/>
  <c r="E7" i="8"/>
  <c r="U7" i="8" s="1"/>
  <c r="D7" i="8"/>
  <c r="C7" i="8"/>
  <c r="S7" i="8" l="1"/>
  <c r="AA18" i="8"/>
  <c r="AE23" i="8"/>
  <c r="AB27" i="8"/>
  <c r="T32" i="8"/>
  <c r="Y24" i="8"/>
  <c r="Z31" i="8"/>
  <c r="W43" i="8"/>
  <c r="AE43" i="8"/>
  <c r="AD44" i="8"/>
  <c r="AB46" i="8"/>
  <c r="Z59" i="8"/>
  <c r="W64" i="8"/>
  <c r="AE64" i="8"/>
  <c r="AB64" i="8"/>
  <c r="Y67" i="8"/>
  <c r="AA72" i="8"/>
  <c r="AE73" i="8"/>
  <c r="AB79" i="8"/>
  <c r="Y91" i="8"/>
  <c r="Z91" i="8"/>
  <c r="U99" i="8"/>
  <c r="AC99" i="8"/>
  <c r="U103" i="8"/>
  <c r="V103" i="8"/>
  <c r="V123" i="8"/>
  <c r="AE123" i="8"/>
  <c r="W123" i="8"/>
  <c r="T123" i="8"/>
  <c r="S123" i="8"/>
  <c r="Z123" i="8"/>
  <c r="W132" i="8"/>
  <c r="AB132" i="8"/>
  <c r="U132" i="8"/>
  <c r="T132" i="8"/>
  <c r="AC132" i="8"/>
  <c r="Z20" i="8"/>
  <c r="AA23" i="8"/>
  <c r="Z24" i="8"/>
  <c r="AA31" i="8"/>
  <c r="Z32" i="8"/>
  <c r="AA37" i="8"/>
  <c r="AB43" i="8"/>
  <c r="AC64" i="8"/>
  <c r="W72" i="8"/>
  <c r="AE72" i="8"/>
  <c r="AB72" i="8"/>
  <c r="AE79" i="8"/>
  <c r="Z96" i="8"/>
  <c r="AA96" i="8"/>
  <c r="W124" i="8"/>
  <c r="AE124" i="8"/>
  <c r="Z8" i="8"/>
  <c r="AP7" i="8" s="1"/>
  <c r="S8" i="8"/>
  <c r="Z18" i="8"/>
  <c r="T23" i="8"/>
  <c r="T24" i="8"/>
  <c r="AD31" i="8"/>
  <c r="S32" i="8"/>
  <c r="AB32" i="8"/>
  <c r="T37" i="8"/>
  <c r="AC37" i="8"/>
  <c r="AA38" i="8"/>
  <c r="T43" i="8"/>
  <c r="AC59" i="8"/>
  <c r="W60" i="8"/>
  <c r="T64" i="8"/>
  <c r="W67" i="8"/>
  <c r="AE67" i="8"/>
  <c r="AB67" i="8"/>
  <c r="V68" i="8"/>
  <c r="Y72" i="8"/>
  <c r="S72" i="8"/>
  <c r="AD72" i="8"/>
  <c r="W73" i="8"/>
  <c r="S79" i="8"/>
  <c r="W96" i="8"/>
  <c r="AA101" i="8"/>
  <c r="AB101" i="8"/>
  <c r="AC129" i="8"/>
  <c r="V129" i="8"/>
  <c r="U129" i="8"/>
  <c r="AD129" i="8"/>
  <c r="AC23" i="8"/>
  <c r="AC24" i="8"/>
  <c r="AA27" i="8"/>
  <c r="U31" i="8"/>
  <c r="AB7" i="8"/>
  <c r="U8" i="8"/>
  <c r="AK15" i="8" s="1"/>
  <c r="AC20" i="8"/>
  <c r="U37" i="8"/>
  <c r="S59" i="8"/>
  <c r="S60" i="8"/>
  <c r="U64" i="8"/>
  <c r="X67" i="8"/>
  <c r="AC67" i="8"/>
  <c r="T72" i="8"/>
  <c r="S101" i="8"/>
  <c r="Y129" i="8"/>
  <c r="S129" i="8"/>
  <c r="AC143" i="8"/>
  <c r="Y143" i="8"/>
  <c r="W143" i="8"/>
  <c r="AD143" i="8"/>
  <c r="X79" i="8"/>
  <c r="T124" i="8"/>
  <c r="AB124" i="8"/>
  <c r="AA124" i="8"/>
  <c r="AC124" i="8"/>
  <c r="T20" i="8"/>
  <c r="AB20" i="8"/>
  <c r="Y32" i="8"/>
  <c r="T7" i="8"/>
  <c r="AC8" i="8"/>
  <c r="AS7" i="8" s="1"/>
  <c r="Z9" i="8"/>
  <c r="T11" i="8"/>
  <c r="S14" i="8"/>
  <c r="AD37" i="8"/>
  <c r="S38" i="8"/>
  <c r="AB38" i="8"/>
  <c r="S24" i="8"/>
  <c r="AA24" i="8"/>
  <c r="AA28" i="8"/>
  <c r="T31" i="8"/>
  <c r="AB31" i="8"/>
  <c r="U32" i="8"/>
  <c r="S33" i="8"/>
  <c r="AB33" i="8"/>
  <c r="V37" i="8"/>
  <c r="AE37" i="8"/>
  <c r="AL15" i="8" s="1"/>
  <c r="Y44" i="8"/>
  <c r="U46" i="8"/>
  <c r="AC46" i="8"/>
  <c r="T59" i="8"/>
  <c r="T60" i="8"/>
  <c r="AB60" i="8"/>
  <c r="Y60" i="8"/>
  <c r="U65" i="8"/>
  <c r="AC65" i="8"/>
  <c r="Z65" i="8"/>
  <c r="S67" i="8"/>
  <c r="S68" i="8"/>
  <c r="AA68" i="8"/>
  <c r="U72" i="8"/>
  <c r="T73" i="8"/>
  <c r="Z83" i="8"/>
  <c r="Y83" i="8"/>
  <c r="AC83" i="8"/>
  <c r="T90" i="8"/>
  <c r="U90" i="8"/>
  <c r="V95" i="8"/>
  <c r="U95" i="8"/>
  <c r="Z99" i="8"/>
  <c r="Z101" i="8"/>
  <c r="T101" i="8"/>
  <c r="Y104" i="8"/>
  <c r="S104" i="8"/>
  <c r="AD111" i="8"/>
  <c r="U111" i="8"/>
  <c r="AC112" i="8"/>
  <c r="Z124" i="8"/>
  <c r="Z129" i="8"/>
  <c r="T129" i="8"/>
  <c r="T143" i="8"/>
  <c r="AA8" i="8"/>
  <c r="AQ7" i="8" s="1"/>
  <c r="AC72" i="8"/>
  <c r="AA11" i="8"/>
  <c r="AD24" i="8"/>
  <c r="AE31" i="8"/>
  <c r="AC32" i="8"/>
  <c r="AA33" i="8"/>
  <c r="AA60" i="8"/>
  <c r="W8" i="8"/>
  <c r="AM7" i="8" s="1"/>
  <c r="AE8" i="8"/>
  <c r="AO7" i="8" s="1"/>
  <c r="T9" i="8"/>
  <c r="V11" i="8"/>
  <c r="AD11" i="8"/>
  <c r="S12" i="8"/>
  <c r="U14" i="8"/>
  <c r="AC14" i="8"/>
  <c r="AD27" i="8"/>
  <c r="AT15" i="8" s="1"/>
  <c r="AE32" i="8"/>
  <c r="W35" i="8"/>
  <c r="AE35" i="8"/>
  <c r="V46" i="8"/>
  <c r="AD46" i="8"/>
  <c r="W48" i="8"/>
  <c r="AE48" i="8"/>
  <c r="W51" i="8"/>
  <c r="AE51" i="8"/>
  <c r="S54" i="8"/>
  <c r="U60" i="8"/>
  <c r="AC60" i="8"/>
  <c r="V65" i="8"/>
  <c r="AD65" i="8"/>
  <c r="T67" i="8"/>
  <c r="T68" i="8"/>
  <c r="AB68" i="8"/>
  <c r="Y68" i="8"/>
  <c r="W70" i="8"/>
  <c r="AE70" i="8"/>
  <c r="U73" i="8"/>
  <c r="AC73" i="8"/>
  <c r="AA73" i="8"/>
  <c r="W77" i="8"/>
  <c r="AC77" i="8"/>
  <c r="T78" i="8"/>
  <c r="T79" i="8"/>
  <c r="U83" i="8"/>
  <c r="Y90" i="8"/>
  <c r="Y95" i="8"/>
  <c r="S95" i="8"/>
  <c r="AD103" i="8"/>
  <c r="W107" i="8"/>
  <c r="V111" i="8"/>
  <c r="V112" i="8"/>
  <c r="AD112" i="8"/>
  <c r="Y117" i="8"/>
  <c r="S117" i="8"/>
  <c r="V120" i="8"/>
  <c r="T120" i="8"/>
  <c r="Z120" i="8"/>
  <c r="V126" i="8"/>
  <c r="AD126" i="8"/>
  <c r="AA126" i="8"/>
  <c r="V131" i="8"/>
  <c r="W131" i="8"/>
  <c r="AE131" i="8"/>
  <c r="Z143" i="8"/>
  <c r="U143" i="8"/>
  <c r="AB24" i="8"/>
  <c r="AA32" i="8"/>
  <c r="AD79" i="8"/>
  <c r="V79" i="8"/>
  <c r="T8" i="8"/>
  <c r="S11" i="8"/>
  <c r="S27" i="8"/>
  <c r="V23" i="8"/>
  <c r="AD23" i="8"/>
  <c r="W30" i="8"/>
  <c r="AE30" i="8"/>
  <c r="S39" i="8"/>
  <c r="AA39" i="8"/>
  <c r="V43" i="8"/>
  <c r="AD43" i="8"/>
  <c r="W56" i="8"/>
  <c r="AE56" i="8"/>
  <c r="U68" i="8"/>
  <c r="AC68" i="8"/>
  <c r="V73" i="8"/>
  <c r="AD73" i="8"/>
  <c r="U79" i="8"/>
  <c r="AC79" i="8"/>
  <c r="AA79" i="8"/>
  <c r="V83" i="8"/>
  <c r="Z90" i="8"/>
  <c r="Z95" i="8"/>
  <c r="T95" i="8"/>
  <c r="W103" i="8"/>
  <c r="AE103" i="8"/>
  <c r="AA104" i="8"/>
  <c r="W109" i="8"/>
  <c r="AE109" i="8"/>
  <c r="Z111" i="8"/>
  <c r="W112" i="8"/>
  <c r="Z117" i="8"/>
  <c r="V77" i="8"/>
  <c r="AD77" i="8"/>
  <c r="W82" i="8"/>
  <c r="AE82" i="8"/>
  <c r="AE88" i="8"/>
  <c r="U91" i="8"/>
  <c r="AC91" i="8"/>
  <c r="V96" i="8"/>
  <c r="AD96" i="8"/>
  <c r="T99" i="8"/>
  <c r="AB99" i="8"/>
  <c r="W101" i="8"/>
  <c r="AE101" i="8"/>
  <c r="U104" i="8"/>
  <c r="AC104" i="8"/>
  <c r="S107" i="8"/>
  <c r="AA107" i="8"/>
  <c r="V109" i="8"/>
  <c r="AD109" i="8"/>
  <c r="T112" i="8"/>
  <c r="AB112" i="8"/>
  <c r="AC114" i="8"/>
  <c r="U117" i="8"/>
  <c r="AC117" i="8"/>
  <c r="Z122" i="8"/>
  <c r="W122" i="8"/>
  <c r="V124" i="8"/>
  <c r="AD124" i="8"/>
  <c r="U147" i="8"/>
  <c r="T147" i="8"/>
  <c r="AB147" i="8"/>
  <c r="AD168" i="8"/>
  <c r="V168" i="8"/>
  <c r="Y168" i="8"/>
  <c r="AA168" i="8"/>
  <c r="Z168" i="8"/>
  <c r="W183" i="8"/>
  <c r="AE183" i="8"/>
  <c r="AA183" i="8"/>
  <c r="Z183" i="8"/>
  <c r="AB183" i="8"/>
  <c r="V183" i="8"/>
  <c r="Z73" i="8"/>
  <c r="AP15" i="8" s="1"/>
  <c r="S78" i="8"/>
  <c r="AA78" i="8"/>
  <c r="AA80" i="8"/>
  <c r="U85" i="8"/>
  <c r="AC85" i="8"/>
  <c r="AD88" i="8"/>
  <c r="Z88" i="8"/>
  <c r="S91" i="8"/>
  <c r="AA91" i="8"/>
  <c r="V93" i="8"/>
  <c r="AD93" i="8"/>
  <c r="AA93" i="8"/>
  <c r="T96" i="8"/>
  <c r="AB96" i="8"/>
  <c r="U101" i="8"/>
  <c r="AC101" i="8"/>
  <c r="Y111" i="8"/>
  <c r="V114" i="8"/>
  <c r="AD114" i="8"/>
  <c r="V122" i="8"/>
  <c r="Y123" i="8"/>
  <c r="AA129" i="8"/>
  <c r="U131" i="8"/>
  <c r="Z132" i="8"/>
  <c r="AA135" i="8"/>
  <c r="V135" i="8"/>
  <c r="AC147" i="8"/>
  <c r="AA153" i="8"/>
  <c r="V153" i="8"/>
  <c r="W153" i="8"/>
  <c r="AB171" i="8"/>
  <c r="AD171" i="8"/>
  <c r="AC171" i="8"/>
  <c r="U171" i="8"/>
  <c r="Y183" i="8"/>
  <c r="S183" i="8"/>
  <c r="AD82" i="8"/>
  <c r="V85" i="8"/>
  <c r="AD85" i="8"/>
  <c r="W87" i="8"/>
  <c r="AE87" i="8"/>
  <c r="T91" i="8"/>
  <c r="AB91" i="8"/>
  <c r="W93" i="8"/>
  <c r="AE93" i="8"/>
  <c r="U96" i="8"/>
  <c r="AC96" i="8"/>
  <c r="S99" i="8"/>
  <c r="AA99" i="8"/>
  <c r="V101" i="8"/>
  <c r="AD101" i="8"/>
  <c r="T104" i="8"/>
  <c r="AB104" i="8"/>
  <c r="U109" i="8"/>
  <c r="AC109" i="8"/>
  <c r="W114" i="8"/>
  <c r="AE114" i="8"/>
  <c r="AE122" i="8"/>
  <c r="U124" i="8"/>
  <c r="AB129" i="8"/>
  <c r="AA132" i="8"/>
  <c r="S135" i="8"/>
  <c r="Z140" i="8"/>
  <c r="W140" i="8"/>
  <c r="Y140" i="8"/>
  <c r="AA140" i="8"/>
  <c r="AD147" i="8"/>
  <c r="Y153" i="8"/>
  <c r="S153" i="8"/>
  <c r="Y171" i="8"/>
  <c r="S171" i="8"/>
  <c r="AC126" i="8"/>
  <c r="W129" i="8"/>
  <c r="AE129" i="8"/>
  <c r="AB131" i="8"/>
  <c r="Z148" i="8"/>
  <c r="AC148" i="8"/>
  <c r="Y152" i="8"/>
  <c r="W152" i="8"/>
  <c r="AB153" i="8"/>
  <c r="T174" i="8"/>
  <c r="Y178" i="8"/>
  <c r="Z178" i="8"/>
  <c r="AA178" i="8"/>
  <c r="AA187" i="8"/>
  <c r="AD187" i="8"/>
  <c r="Z187" i="8"/>
  <c r="W187" i="8"/>
  <c r="S187" i="8"/>
  <c r="AE187" i="8"/>
  <c r="AA171" i="8"/>
  <c r="W174" i="8"/>
  <c r="AE174" i="8"/>
  <c r="S174" i="8"/>
  <c r="V174" i="8"/>
  <c r="Z131" i="8"/>
  <c r="AD133" i="8"/>
  <c r="Z135" i="8"/>
  <c r="Z147" i="8"/>
  <c r="AE148" i="8"/>
  <c r="AE152" i="8"/>
  <c r="Z153" i="8"/>
  <c r="AA174" i="8"/>
  <c r="U120" i="8"/>
  <c r="AC120" i="8"/>
  <c r="T122" i="8"/>
  <c r="AB122" i="8"/>
  <c r="T126" i="8"/>
  <c r="AB126" i="8"/>
  <c r="S131" i="8"/>
  <c r="AA131" i="8"/>
  <c r="AB143" i="8"/>
  <c r="AA147" i="8"/>
  <c r="Y159" i="8"/>
  <c r="AC159" i="8"/>
  <c r="S169" i="8"/>
  <c r="Y169" i="8"/>
  <c r="AA169" i="8"/>
  <c r="Z175" i="8"/>
  <c r="AA175" i="8"/>
  <c r="W178" i="8"/>
  <c r="V182" i="8"/>
  <c r="T182" i="8"/>
  <c r="Z182" i="8"/>
  <c r="T140" i="8"/>
  <c r="AB140" i="8"/>
  <c r="AE143" i="8"/>
  <c r="W148" i="8"/>
  <c r="AC149" i="8"/>
  <c r="AD155" i="8"/>
  <c r="AC165" i="8"/>
  <c r="AC166" i="8"/>
  <c r="AB168" i="8"/>
  <c r="W171" i="8"/>
  <c r="AE171" i="8"/>
  <c r="AE172" i="8"/>
  <c r="AE180" i="8"/>
  <c r="AD183" i="8"/>
  <c r="U187" i="8"/>
  <c r="AC187" i="8"/>
  <c r="V132" i="8"/>
  <c r="AD132" i="8"/>
  <c r="AD149" i="8"/>
  <c r="AA149" i="8"/>
  <c r="AB152" i="8"/>
  <c r="V155" i="8"/>
  <c r="S163" i="8"/>
  <c r="V166" i="8"/>
  <c r="AD166" i="8"/>
  <c r="AA166" i="8"/>
  <c r="AB169" i="8"/>
  <c r="V172" i="8"/>
  <c r="AD172" i="8"/>
  <c r="AA172" i="8"/>
  <c r="AC177" i="8"/>
  <c r="U177" i="8"/>
  <c r="AB180" i="8"/>
  <c r="T183" i="8"/>
  <c r="S125" i="8"/>
  <c r="AA125" i="8"/>
  <c r="V130" i="8"/>
  <c r="AD130" i="8"/>
  <c r="W135" i="8"/>
  <c r="AE135" i="8"/>
  <c r="S140" i="8"/>
  <c r="V143" i="8"/>
  <c r="AD144" i="8"/>
  <c r="W155" i="8"/>
  <c r="AE155" i="8"/>
  <c r="AB155" i="8"/>
  <c r="AE160" i="8"/>
  <c r="AB160" i="8"/>
  <c r="AB163" i="8"/>
  <c r="AE166" i="8"/>
  <c r="S168" i="8"/>
  <c r="U169" i="8"/>
  <c r="AC169" i="8"/>
  <c r="V171" i="8"/>
  <c r="Z174" i="8"/>
  <c r="T175" i="8"/>
  <c r="T178" i="8"/>
  <c r="AB178" i="8"/>
  <c r="W186" i="8"/>
  <c r="AE186" i="8"/>
  <c r="Z138" i="8"/>
  <c r="S143" i="8"/>
  <c r="AA143" i="8"/>
  <c r="T148" i="8"/>
  <c r="AB148" i="8"/>
  <c r="U153" i="8"/>
  <c r="AC153" i="8"/>
  <c r="V158" i="8"/>
  <c r="AD158" i="8"/>
  <c r="W163" i="8"/>
  <c r="AE163" i="8"/>
  <c r="S178" i="8"/>
  <c r="S181" i="8"/>
  <c r="AA181" i="8"/>
  <c r="Y186" i="8"/>
  <c r="T187" i="8"/>
  <c r="AB187" i="8"/>
  <c r="V142" i="8"/>
  <c r="AD142" i="8"/>
  <c r="W147" i="8"/>
  <c r="AE147" i="8"/>
  <c r="T177" i="8"/>
  <c r="AC178" i="8"/>
  <c r="U183" i="8"/>
  <c r="AC183" i="8"/>
  <c r="C196" i="5"/>
  <c r="F34" i="7"/>
  <c r="F35" i="7"/>
  <c r="F36" i="7"/>
  <c r="F28" i="7"/>
  <c r="F37" i="7"/>
  <c r="F29" i="7"/>
  <c r="F38" i="7"/>
  <c r="F30" i="7"/>
  <c r="F39" i="7"/>
  <c r="F31" i="7"/>
  <c r="F32" i="7"/>
  <c r="F33" i="7"/>
  <c r="G35" i="7"/>
  <c r="G36" i="7"/>
  <c r="G28" i="7"/>
  <c r="G37" i="7"/>
  <c r="G29" i="7"/>
  <c r="G38" i="7"/>
  <c r="G30" i="7"/>
  <c r="G39" i="7"/>
  <c r="G31" i="7"/>
  <c r="G32" i="7"/>
  <c r="G33" i="7"/>
  <c r="G34" i="7"/>
  <c r="H36" i="7"/>
  <c r="H28" i="7"/>
  <c r="H37" i="7"/>
  <c r="H29" i="7"/>
  <c r="H38" i="7"/>
  <c r="H30" i="7"/>
  <c r="H39" i="7"/>
  <c r="H31" i="7"/>
  <c r="H32" i="7"/>
  <c r="H33" i="7"/>
  <c r="H34" i="7"/>
  <c r="H35" i="7"/>
  <c r="U175" i="8"/>
  <c r="AC175" i="8"/>
  <c r="V180" i="8"/>
  <c r="AD180" i="8"/>
  <c r="T186" i="8"/>
  <c r="AB186" i="8"/>
  <c r="C39" i="7"/>
  <c r="C31" i="7"/>
  <c r="C32" i="7"/>
  <c r="C33" i="7"/>
  <c r="C34" i="7"/>
  <c r="C35" i="7"/>
  <c r="C36" i="7"/>
  <c r="C28" i="7"/>
  <c r="C41" i="7" s="1"/>
  <c r="C37" i="7"/>
  <c r="C29" i="7"/>
  <c r="C38" i="7"/>
  <c r="C30" i="7"/>
  <c r="D32" i="7"/>
  <c r="D33" i="7"/>
  <c r="D34" i="7"/>
  <c r="D35" i="7"/>
  <c r="D36" i="7"/>
  <c r="D28" i="7"/>
  <c r="D37" i="7"/>
  <c r="D29" i="7"/>
  <c r="D38" i="7"/>
  <c r="D30" i="7"/>
  <c r="D39" i="7"/>
  <c r="D31" i="7"/>
  <c r="E33" i="7"/>
  <c r="E34" i="7"/>
  <c r="E35" i="7"/>
  <c r="E36" i="7"/>
  <c r="E28" i="7"/>
  <c r="E37" i="7"/>
  <c r="E29" i="7"/>
  <c r="E38" i="7"/>
  <c r="E30" i="7"/>
  <c r="E39" i="7"/>
  <c r="E31" i="7"/>
  <c r="E32" i="7"/>
  <c r="J16" i="4"/>
  <c r="F194" i="5"/>
  <c r="F196" i="5" s="1"/>
  <c r="N194" i="5"/>
  <c r="N196" i="5" s="1"/>
  <c r="P6" i="5"/>
  <c r="C205" i="5" s="1"/>
  <c r="C208" i="5" s="1"/>
  <c r="C193" i="5"/>
  <c r="K193" i="5"/>
  <c r="K195" i="5" s="1"/>
  <c r="G194" i="5"/>
  <c r="G196" i="5" s="1"/>
  <c r="L16" i="4"/>
  <c r="C23" i="7" s="1" a="1"/>
  <c r="C23" i="7" s="1"/>
  <c r="C24" i="7" s="1"/>
  <c r="D193" i="5"/>
  <c r="D195" i="5" s="1"/>
  <c r="L193" i="5"/>
  <c r="L195" i="5" s="1"/>
  <c r="H194" i="5"/>
  <c r="H196" i="5" s="1"/>
  <c r="I194" i="5"/>
  <c r="I196" i="5" s="1"/>
  <c r="N16" i="4"/>
  <c r="N193" i="5"/>
  <c r="N195" i="5" s="1"/>
  <c r="G16" i="4"/>
  <c r="N43" i="7" s="1" a="1"/>
  <c r="N43" i="7" s="1"/>
  <c r="N44" i="7" s="1"/>
  <c r="G20" i="6" a="1"/>
  <c r="G20" i="6" s="1"/>
  <c r="G21" i="6" s="1"/>
  <c r="C51" i="7"/>
  <c r="N46" i="7"/>
  <c r="K35" i="7" l="1"/>
  <c r="H41" i="7"/>
  <c r="N20" i="6" a="1"/>
  <c r="N20" i="6" s="1"/>
  <c r="N21" i="6" s="1"/>
  <c r="E23" i="7" a="1"/>
  <c r="E23" i="7" s="1"/>
  <c r="E24" i="7" s="1"/>
  <c r="H23" i="7" a="1"/>
  <c r="H23" i="7" s="1"/>
  <c r="H24" i="7" s="1"/>
  <c r="K37" i="7"/>
  <c r="AR15" i="8"/>
  <c r="AR7" i="8"/>
  <c r="AQ15" i="8"/>
  <c r="AN15" i="8"/>
  <c r="AN7" i="8"/>
  <c r="M20" i="6" a="1"/>
  <c r="M20" i="6" s="1"/>
  <c r="M21" i="6" s="1"/>
  <c r="E61" i="6" a="1"/>
  <c r="E61" i="6" s="1"/>
  <c r="E62" i="6" s="1"/>
  <c r="G23" i="7" a="1"/>
  <c r="G23" i="7" s="1"/>
  <c r="G24" i="7" s="1"/>
  <c r="K36" i="7"/>
  <c r="F41" i="7"/>
  <c r="AT7" i="8"/>
  <c r="AL7" i="8"/>
  <c r="F61" i="6" a="1"/>
  <c r="F61" i="6" s="1"/>
  <c r="F62" i="6" s="1"/>
  <c r="D23" i="7" a="1"/>
  <c r="D23" i="7" s="1"/>
  <c r="D24" i="7" s="1"/>
  <c r="G61" i="6" a="1"/>
  <c r="G61" i="6" s="1"/>
  <c r="G62" i="6" s="1"/>
  <c r="K31" i="7"/>
  <c r="H61" i="6" a="1"/>
  <c r="H61" i="6" s="1"/>
  <c r="H62" i="6" s="1"/>
  <c r="AM15" i="8"/>
  <c r="C61" i="6" a="1"/>
  <c r="C61" i="6" s="1"/>
  <c r="C62" i="6" s="1"/>
  <c r="K39" i="7"/>
  <c r="K34" i="7"/>
  <c r="AS15" i="8"/>
  <c r="D61" i="6" a="1"/>
  <c r="D61" i="6" s="1"/>
  <c r="D62" i="6" s="1"/>
  <c r="K30" i="7"/>
  <c r="K33" i="7"/>
  <c r="AJ15" i="8"/>
  <c r="AJ7" i="8"/>
  <c r="C206" i="5"/>
  <c r="C195" i="5"/>
  <c r="D41" i="7"/>
  <c r="K28" i="7"/>
  <c r="L20" i="6" a="1"/>
  <c r="L20" i="6" s="1"/>
  <c r="L21" i="6" s="1"/>
  <c r="C207" i="5" a="1"/>
  <c r="C207" i="5" s="1"/>
  <c r="C209" i="5" s="1"/>
  <c r="F23" i="7" a="1"/>
  <c r="F23" i="7" s="1"/>
  <c r="F24" i="7" s="1"/>
  <c r="C20" i="6" a="1"/>
  <c r="C20" i="6" s="1"/>
  <c r="K20" i="6" a="1"/>
  <c r="K20" i="6" s="1"/>
  <c r="K21" i="6" s="1"/>
  <c r="E41" i="7"/>
  <c r="K38" i="7"/>
  <c r="K32" i="7"/>
  <c r="D207" i="5"/>
  <c r="D209" i="5" s="1"/>
  <c r="AK7" i="8"/>
  <c r="J20" i="6" a="1"/>
  <c r="J20" i="6" s="1"/>
  <c r="J21" i="6" s="1"/>
  <c r="K29" i="7"/>
  <c r="G41" i="7"/>
  <c r="AO15" i="8"/>
  <c r="AI15" i="8"/>
  <c r="AI7" i="8"/>
  <c r="K42" i="7" l="1" a="1"/>
  <c r="K42" i="7" s="1"/>
  <c r="K40" i="7"/>
  <c r="K43" i="7" a="1"/>
  <c r="K43" i="7" s="1"/>
  <c r="N42" i="7" a="1"/>
  <c r="N42" i="7" s="1"/>
  <c r="N45" i="7" s="1"/>
  <c r="H22" i="7" a="1"/>
  <c r="H22" i="7" s="1"/>
  <c r="D22" i="7" a="1"/>
  <c r="D22" i="7" s="1"/>
  <c r="E60" i="6" a="1"/>
  <c r="E60" i="6" s="1"/>
  <c r="M19" i="6" a="1"/>
  <c r="M19" i="6" s="1"/>
  <c r="G19" i="6" a="1"/>
  <c r="G19" i="6" s="1"/>
  <c r="J22" i="6" s="1"/>
  <c r="K22" i="6" s="1"/>
  <c r="L22" i="6" s="1"/>
  <c r="M22" i="6" s="1"/>
  <c r="N22" i="6" s="1"/>
  <c r="G22" i="7" a="1"/>
  <c r="G22" i="7" s="1"/>
  <c r="C22" i="7" a="1"/>
  <c r="C22" i="7" s="1"/>
  <c r="H60" i="6" a="1"/>
  <c r="H60" i="6" s="1"/>
  <c r="D60" i="6" a="1"/>
  <c r="D60" i="6" s="1"/>
  <c r="L19" i="6" a="1"/>
  <c r="L19" i="6" s="1"/>
  <c r="C19" i="6" a="1"/>
  <c r="C19" i="6" s="1"/>
  <c r="C48" i="7" s="1"/>
  <c r="C52" i="7" s="1"/>
  <c r="F22" i="7" a="1"/>
  <c r="F22" i="7" s="1"/>
  <c r="G60" i="6" a="1"/>
  <c r="G60" i="6" s="1"/>
  <c r="C60" i="6" a="1"/>
  <c r="C60" i="6" s="1"/>
  <c r="K19" i="6" a="1"/>
  <c r="K19" i="6" s="1"/>
  <c r="E22" i="7" a="1"/>
  <c r="E22" i="7" s="1"/>
  <c r="F60" i="6" a="1"/>
  <c r="F60" i="6" s="1"/>
  <c r="N19" i="6" a="1"/>
  <c r="N19" i="6" s="1"/>
  <c r="J19" i="6" a="1"/>
  <c r="J19" i="6" s="1"/>
  <c r="C49" i="7"/>
  <c r="C50" i="7" s="1"/>
  <c r="C21" i="6"/>
  <c r="K44" i="7" l="1"/>
  <c r="D50" i="7" s="1"/>
  <c r="F56" i="7" s="1"/>
  <c r="D49" i="7"/>
  <c r="E56" i="7" s="1"/>
  <c r="D56" i="7"/>
  <c r="D48" i="7"/>
  <c r="D52" i="7" s="1"/>
  <c r="C56" i="7" l="1"/>
  <c r="C57" i="7" l="1"/>
  <c r="C61" i="7"/>
  <c r="C62" i="7" s="1"/>
  <c r="C58" i="7"/>
  <c r="C60" i="7"/>
</calcChain>
</file>

<file path=xl/sharedStrings.xml><?xml version="1.0" encoding="utf-8"?>
<sst xmlns="http://schemas.openxmlformats.org/spreadsheetml/2006/main" count="1315" uniqueCount="322">
  <si>
    <t>Monthly Returns</t>
  </si>
  <si>
    <t>Excess Return</t>
  </si>
  <si>
    <t>C1</t>
  </si>
  <si>
    <t>Stocks</t>
  </si>
  <si>
    <t>BETA</t>
  </si>
  <si>
    <t>Stock Nb. →</t>
  </si>
  <si>
    <t>CAC 40</t>
  </si>
  <si>
    <t>France Interbank rate</t>
  </si>
  <si>
    <t>Company Name →</t>
  </si>
  <si>
    <t>AIRBUS</t>
  </si>
  <si>
    <t>BNP PARIBAS ACT.A</t>
  </si>
  <si>
    <t>CAPGEMINI</t>
  </si>
  <si>
    <t>DANONE</t>
  </si>
  <si>
    <t>ENGIE</t>
  </si>
  <si>
    <t>HERMES INTL</t>
  </si>
  <si>
    <t>PERNOD RICARD</t>
  </si>
  <si>
    <t>RENAULT</t>
  </si>
  <si>
    <t>SANOFI</t>
  </si>
  <si>
    <t>SCHNEIDER ELECTRIC</t>
  </si>
  <si>
    <t>TOTALENERGIES</t>
  </si>
  <si>
    <t>VINCI</t>
  </si>
  <si>
    <t>Yahoo Ticker →</t>
  </si>
  <si>
    <t>AIR.PA</t>
  </si>
  <si>
    <t>BNP.PA</t>
  </si>
  <si>
    <t>CAP.PA</t>
  </si>
  <si>
    <t>BN.PA</t>
  </si>
  <si>
    <t>ENGI.PA</t>
  </si>
  <si>
    <t>RMS.PA</t>
  </si>
  <si>
    <t>RI.PA</t>
  </si>
  <si>
    <t>RNO.PA</t>
  </si>
  <si>
    <t>SAN.PA</t>
  </si>
  <si>
    <t>SU.PA</t>
  </si>
  <si>
    <t>TTE.PA</t>
  </si>
  <si>
    <t>DG.PA</t>
  </si>
  <si>
    <t xml:space="preserve"> β</t>
  </si>
  <si>
    <t>C2</t>
  </si>
  <si>
    <t>ALPHA</t>
  </si>
  <si>
    <t>α</t>
  </si>
  <si>
    <t>C3</t>
  </si>
  <si>
    <t>ESG</t>
  </si>
  <si>
    <t xml:space="preserve">Correlation : </t>
  </si>
  <si>
    <t>Market 
Index</t>
  </si>
  <si>
    <t>Risk-free 
Rate</t>
  </si>
  <si>
    <t>Country index</t>
  </si>
  <si>
    <t>3-month interbank rate 
converted to a monthly return</t>
  </si>
  <si>
    <t>YAHOO ESG RISK SCORE (Question C.3) →</t>
  </si>
  <si>
    <t>Year Month (YYYY-MM)</t>
  </si>
  <si>
    <t>2010-09</t>
  </si>
  <si>
    <t>2010-10</t>
  </si>
  <si>
    <t>2010-11</t>
  </si>
  <si>
    <t>2010-12</t>
  </si>
  <si>
    <t>2011-01</t>
  </si>
  <si>
    <t>2011-02</t>
  </si>
  <si>
    <t>2011-03</t>
  </si>
  <si>
    <t>2011-04</t>
  </si>
  <si>
    <t>2011-05</t>
  </si>
  <si>
    <t>2011-06</t>
  </si>
  <si>
    <t>2011-07</t>
  </si>
  <si>
    <t>2011-08</t>
  </si>
  <si>
    <t>2011-09</t>
  </si>
  <si>
    <t>2011-10</t>
  </si>
  <si>
    <t>2011-11</t>
  </si>
  <si>
    <t>2011-12</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</si>
  <si>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</si>
  <si>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</si>
  <si>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</si>
  <si>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</si>
  <si>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</si>
  <si>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</si>
  <si>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</si>
  <si>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</si>
  <si>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</si>
  <si>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</si>
  <si>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</si>
  <si>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</si>
  <si>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</si>
  <si>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</si>
  <si>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</si>
  <si>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</si>
  <si>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</si>
  <si>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</si>
  <si>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</si>
  <si>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</si>
  <si>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</si>
  <si>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</si>
  <si>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</si>
  <si>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</si>
  <si>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</si>
  <si>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</si>
  <si>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</si>
  <si>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</si>
  <si>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</si>
  <si>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</si>
  <si>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</si>
  <si>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</si>
  <si>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</si>
  <si>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</si>
  <si>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</si>
  <si>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</si>
  <si>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</si>
  <si>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</si>
  <si>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</si>
  <si>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</si>
  <si>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</si>
  <si>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</si>
  <si>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</si>
  <si>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</si>
  <si>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</si>
  <si>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</si>
  <si>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</si>
  <si>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2015-12</t>
  </si>
  <si>
    <t>2016-01</t>
  </si>
  <si>
    <t>2016-02</t>
  </si>
  <si>
    <t>2016-03</t>
  </si>
  <si>
    <t>2016-04</t>
  </si>
  <si>
    <t>2016-05</t>
  </si>
  <si>
    <t>2016-06</t>
  </si>
  <si>
    <t>2016-07</t>
  </si>
  <si>
    <t>2016-08</t>
  </si>
  <si>
    <t>2016-09</t>
  </si>
  <si>
    <t>2016-10</t>
  </si>
  <si>
    <t>2016-11</t>
  </si>
  <si>
    <t>2016-12</t>
  </si>
  <si>
    <t>2017-01</t>
  </si>
  <si>
    <t>2017-02</t>
  </si>
  <si>
    <t>2017-03</t>
  </si>
  <si>
    <t>2017-04</t>
  </si>
  <si>
    <t>2017-05</t>
  </si>
  <si>
    <t>2017-06</t>
  </si>
  <si>
    <t>2017-07</t>
  </si>
  <si>
    <t>2017-08</t>
  </si>
  <si>
    <t>2017-09</t>
  </si>
  <si>
    <t>2017-10</t>
  </si>
  <si>
    <t>2017-11</t>
  </si>
  <si>
    <t>2017-12</t>
  </si>
  <si>
    <t>2018-01</t>
  </si>
  <si>
    <t>2018-02</t>
  </si>
  <si>
    <t>2018-03</t>
  </si>
  <si>
    <t>2018-04</t>
  </si>
  <si>
    <t>2018-05</t>
  </si>
  <si>
    <t>2018-06</t>
  </si>
  <si>
    <t>2018-07</t>
  </si>
  <si>
    <t>2018-08</t>
  </si>
  <si>
    <t>2018-09</t>
  </si>
  <si>
    <t>2018-10</t>
  </si>
  <si>
    <t>2018-11</t>
  </si>
  <si>
    <t>2018-12</t>
  </si>
  <si>
    <t>2019-01</t>
  </si>
  <si>
    <t>2019-02</t>
  </si>
  <si>
    <t>2019-03</t>
  </si>
  <si>
    <t>2019-04</t>
  </si>
  <si>
    <t>2019-05</t>
  </si>
  <si>
    <t>2019-06</t>
  </si>
  <si>
    <t>2019-07</t>
  </si>
  <si>
    <t>2019-08</t>
  </si>
  <si>
    <t>2019-09</t>
  </si>
  <si>
    <t>2019-10</t>
  </si>
  <si>
    <t>2019-11</t>
  </si>
  <si>
    <t>2019-12</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</si>
  <si>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</si>
  <si>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</si>
  <si>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</si>
  <si>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</si>
  <si>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</si>
  <si>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</si>
  <si>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</si>
  <si>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</si>
  <si>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</si>
  <si>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</si>
  <si>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</si>
  <si>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</si>
  <si>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</si>
  <si>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</si>
  <si>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</si>
  <si>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</si>
  <si>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</si>
  <si>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</si>
  <si>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</si>
  <si>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</si>
  <si>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</si>
  <si>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</si>
  <si>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</si>
  <si>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2021-12</t>
  </si>
  <si>
    <t>2022-01</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</si>
  <si>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</si>
  <si>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</si>
  <si>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</si>
  <si>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</si>
  <si>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</si>
  <si>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</si>
  <si>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</si>
  <si>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</si>
  <si>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</si>
  <si>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</si>
  <si>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</si>
  <si>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</si>
  <si>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</si>
  <si>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</si>
  <si>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</si>
  <si>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</si>
  <si>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</si>
  <si>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</si>
  <si>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</si>
  <si>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</si>
  <si>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</si>
  <si>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</si>
  <si>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</si>
  <si>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</si>
  <si>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</si>
  <si>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</si>
  <si>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</si>
  <si>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</si>
  <si>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</si>
  <si>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</si>
  <si>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</si>
  <si>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</si>
  <si>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</si>
  <si>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</si>
  <si>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</si>
  <si>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</si>
  <si>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</si>
  <si>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</si>
  <si>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</si>
  <si>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</si>
  <si>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</si>
  <si>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</si>
  <si>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</si>
  <si>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</si>
  <si>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</si>
  <si>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</si>
  <si>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</si>
  <si>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</si>
  <si>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</si>
  <si>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</si>
  <si>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</si>
  <si>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</si>
  <si>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</si>
  <si>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2010-08</t>
  </si>
  <si>
    <t>Correlation</t>
  </si>
  <si>
    <t>Covariance</t>
  </si>
  <si>
    <t>Average Monthly Return</t>
  </si>
  <si>
    <t>A1</t>
  </si>
  <si>
    <t xml:space="preserve">Average monthly return </t>
  </si>
  <si>
    <t>Standard deviation</t>
  </si>
  <si>
    <t>Annualised Returns</t>
  </si>
  <si>
    <t>Annualised SD</t>
  </si>
  <si>
    <t>A2</t>
  </si>
  <si>
    <t>Stock weights</t>
  </si>
  <si>
    <t>Equally weighted portfolio</t>
  </si>
  <si>
    <t xml:space="preserve">Average Monthly Return </t>
  </si>
  <si>
    <t>--&gt;mean of average monthly portfolio returns</t>
  </si>
  <si>
    <t>--&gt;mean of average monthtly stocks returns</t>
  </si>
  <si>
    <t>Monthly SD</t>
  </si>
  <si>
    <t>--&gt; mean monthly SD individual stock</t>
  </si>
  <si>
    <t>--&gt; mean annualised SD individual stock</t>
  </si>
  <si>
    <t>A3</t>
  </si>
  <si>
    <t>Ticker</t>
  </si>
  <si>
    <t>Annalised Returns</t>
  </si>
  <si>
    <t>B1</t>
  </si>
  <si>
    <t>B2</t>
  </si>
  <si>
    <t>Equal Weight</t>
  </si>
  <si>
    <t>Minimum Variance</t>
  </si>
  <si>
    <t>+2,5</t>
  </si>
  <si>
    <t>+5</t>
  </si>
  <si>
    <t>+7,5</t>
  </si>
  <si>
    <t>+10</t>
  </si>
  <si>
    <t>+12,5 (FAIL)</t>
  </si>
  <si>
    <t>Total</t>
  </si>
  <si>
    <t>Portfolio Return</t>
  </si>
  <si>
    <t>Portfolio Var</t>
  </si>
  <si>
    <t>Portfolio SD</t>
  </si>
  <si>
    <t>Return fixed in the solver</t>
  </si>
  <si>
    <t>Short Sales not allowed</t>
  </si>
  <si>
    <t>B3</t>
  </si>
  <si>
    <t>The efficient frontier with no short sales lies above the equally weighted portfolio, indicating higher returns for the same level of risk. The equally weighted portfolio is therefore inefficient, as it offers a lower risk-adjusted return compared to the optimal portfolios on the frontier. This confirms that proper diversification and optimized weighting improve performance relative to a naïve equal allocation.</t>
  </si>
  <si>
    <t>Total Weights</t>
  </si>
  <si>
    <t>Short Sales allowed</t>
  </si>
  <si>
    <t>B4</t>
  </si>
  <si>
    <t>B5</t>
  </si>
  <si>
    <t>Risk-free Security</t>
  </si>
  <si>
    <t>(given in the exercise)</t>
  </si>
  <si>
    <t>return by month</t>
  </si>
  <si>
    <t>(return by month * 12)</t>
  </si>
  <si>
    <t>return annualized</t>
  </si>
  <si>
    <t>Risk-free Security Weight</t>
  </si>
  <si>
    <t>Relative Weigths</t>
  </si>
  <si>
    <t>Tangent Portfolio Weights</t>
  </si>
  <si>
    <t>(without including the security)</t>
  </si>
  <si>
    <t>Total Weight of Stocks</t>
  </si>
  <si>
    <t>(including the security)</t>
  </si>
  <si>
    <t>Total Weight</t>
  </si>
  <si>
    <t>Portfolio Variance</t>
  </si>
  <si>
    <t>Sharpe Ratio</t>
  </si>
  <si>
    <t>B6</t>
  </si>
  <si>
    <t>Risk-free</t>
  </si>
  <si>
    <t>Equally Weighted Portfolio</t>
  </si>
  <si>
    <t>Risk Free asset</t>
  </si>
  <si>
    <t>B7</t>
  </si>
  <si>
    <t>Weights</t>
  </si>
  <si>
    <t>Annualized Return</t>
  </si>
  <si>
    <t>Variance</t>
  </si>
  <si>
    <t>Standard Deviation</t>
  </si>
  <si>
    <t>Tangency Portfolio</t>
  </si>
  <si>
    <t>Risk Free</t>
  </si>
  <si>
    <t>Total Portfolio</t>
  </si>
  <si>
    <t>Annualized return of the Portfolio</t>
  </si>
  <si>
    <t>Variance of the portfolio</t>
  </si>
  <si>
    <t>SD of the Portfolio</t>
  </si>
  <si>
    <t>Date</t>
  </si>
  <si>
    <t>^FCHI</t>
  </si>
  <si>
    <t>Monthly Return</t>
  </si>
  <si>
    <t>observation_date</t>
  </si>
  <si>
    <t>IR3TIB01FRM156N</t>
  </si>
  <si>
    <t>#</t>
  </si>
  <si>
    <t>Company name</t>
  </si>
  <si>
    <t>Ticker Yahoo Finance</t>
  </si>
  <si>
    <t>BNP</t>
  </si>
  <si>
    <t>Company Name</t>
  </si>
  <si>
    <t>Yahoo Ticker</t>
  </si>
  <si>
    <t>Stock Weights</t>
  </si>
  <si>
    <t>Monthly Standard Deviation</t>
  </si>
  <si>
    <t>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</si>
</sst>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0"/>
    <numFmt numFmtId="165" formatCode="yyyy\-mm"/>
    <numFmt numFmtId="166" formatCode="yyyy\-mm\-dd;@"/>
    <numFmt numFmtId="167" formatCode="0.00000000"/>
    <numFmt numFmtId="168" formatCode="0.000000"/>
    <numFmt numFmtId="169" formatCode="yyyy\-mm\-dd"/>
    <numFmt numFmtId="170" formatCode="0.000"/>
    <numFmt numFmtId="171" formatCode="0.0000%"/>
    <numFmt numFmtId="172" formatCode="#,##0.000000"/>
    <numFmt numFmtId="173" formatCode="mm/yyyy"/>
  </numFmts>
  <fonts count="22" x14ac:knownFonts="1">
    <font>
      <sz val="11"/>
      <color theme="1"/>
      <name val="Calibri"/>
      <family val="2"/>
      <scheme val="minor"/>
    </font>
    <font>
      <sz val="12"/>
      <color theme="1"/>
      <name val="Calibri"/>
      <family val="2"/>
      <scheme val="minor"/>
    </font>
    <font>
      <b/>
      <sz val="11"/>
      <color theme="1"/>
      <name val="Calibri"/>
      <family val="2"/>
      <scheme val="minor"/>
    </font>
    <font>
      <sz val="10"/>
      <color rgb="FF000000"/>
      <name val="Helvetica Neue"/>
      <family val="2"/>
    </font>
    <font>
      <b/>
      <sz val="10"/>
      <color rgb="FF000000"/>
      <name val="Helvetica Neue"/>
      <family val="2"/>
    </font>
    <font>
      <u/>
      <sz val="11"/>
      <color theme="10"/>
      <name val="Calibri"/>
      <family val="2"/>
      <scheme val="minor"/>
    </font>
    <font>
      <sz val="10"/>
      <color theme="1"/>
      <name val="Calibri"/>
      <family val="2"/>
      <scheme val="minor"/>
    </font>
    <font>
      <sz val="11"/>
      <color theme="1"/>
      <name val="Calibri"/>
      <family val="2"/>
      <scheme val="minor"/>
    </font>
    <font>
      <sz val="20"/>
      <color theme="1"/>
      <name val="Calibri (Corpo)"/>
    </font>
    <font>
      <i/>
      <sz val="10"/>
      <color rgb="FF000000"/>
      <name val="Calibri"/>
      <family val="2"/>
      <scheme val="minor"/>
    </font>
    <font>
      <b/>
      <sz val="11"/>
      <color rgb="FF000000"/>
      <name val="Calibri"/>
      <family val="2"/>
    </font>
    <font>
      <sz val="11"/>
      <color theme="0"/>
      <name val="Calibri"/>
      <family val="2"/>
      <scheme val="minor"/>
    </font>
    <font>
      <sz val="18"/>
      <color theme="0"/>
      <name val="Calibri"/>
      <family val="2"/>
      <scheme val="minor"/>
    </font>
    <font>
      <b/>
      <sz val="12"/>
      <color rgb="FF3F3F3F"/>
      <name val="Calibri"/>
      <family val="2"/>
      <scheme val="minor"/>
    </font>
    <font>
      <b/>
      <sz val="12"/>
      <color rgb="FFFA7D00"/>
      <name val="Calibri"/>
      <family val="2"/>
      <scheme val="minor"/>
    </font>
    <font>
      <i/>
      <sz val="12"/>
      <color rgb="FF7F7F7F"/>
      <name val="Calibri"/>
      <family val="2"/>
      <scheme val="minor"/>
    </font>
    <font>
      <b/>
      <sz val="18"/>
      <color theme="1"/>
      <name val="Calibri"/>
      <family val="2"/>
      <scheme val="minor"/>
    </font>
    <font>
      <sz val="10"/>
      <color rgb="FF000000"/>
      <name val="Calibri"/>
      <family val="2"/>
      <scheme val="minor"/>
    </font>
    <font>
      <b/>
      <sz val="11"/>
      <color rgb="FF000000"/>
      <name val="Calibri"/>
      <family val="2"/>
      <scheme val="minor"/>
    </font>
    <font>
      <sz val="11"/>
      <color rgb="FF000000"/>
      <name val="Calibri"/>
      <family val="2"/>
      <scheme val="minor"/>
    </font>
    <font>
      <sz val="12"/>
      <color theme="0"/>
      <name val="Calibri"/>
      <family val="2"/>
      <scheme val="minor"/>
    </font>
    <font>
      <b/>
      <sz val="11"/>
      <color rgb="FFFFFFFF"/>
      <name val="Calibri"/>
      <family val="2"/>
      <scheme val="minor"/>
    </font>
  </fonts>
  <fills count="18">
    <fill>
      <patternFill patternType="none"/>
    </fill>
    <fill>
      <patternFill patternType="gray125"/>
    </fill>
    <fill>
      <patternFill patternType="solid">
        <fgColor theme="6" tint="0.79998168889431442"/>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4"/>
        <bgColor indexed="64"/>
      </patternFill>
    </fill>
    <fill>
      <patternFill patternType="solid">
        <fgColor rgb="FFF2F2F2"/>
      </patternFill>
    </fill>
    <fill>
      <patternFill patternType="solid">
        <fgColor theme="5"/>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4"/>
      </patternFill>
    </fill>
    <fill>
      <patternFill patternType="solid">
        <fgColor rgb="FF00467F"/>
        <bgColor indexed="64"/>
      </patternFill>
    </fill>
    <fill>
      <patternFill patternType="solid">
        <fgColor rgb="FFEBF3FF"/>
        <bgColor indexed="64"/>
      </patternFill>
    </fill>
    <fill>
      <patternFill patternType="solid">
        <fgColor rgb="FF0070C0"/>
        <bgColor indexed="64"/>
      </patternFill>
    </fill>
    <fill>
      <patternFill patternType="solid">
        <fgColor rgb="FFFFFFFF"/>
        <bgColor indexed="64"/>
      </patternFill>
    </fill>
  </fills>
  <borders count="5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thin">
        <color indexed="64"/>
      </right>
      <top style="medium">
        <color indexed="64"/>
      </top>
      <bottom/>
      <diagonal/>
    </border>
    <border>
      <left/>
      <right style="medium">
        <color indexed="64"/>
      </right>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3F3F3F"/>
      </right>
      <top style="thin">
        <color rgb="FF3F3F3F"/>
      </top>
      <bottom style="thin">
        <color rgb="FF3F3F3F"/>
      </bottom>
      <diagonal/>
    </border>
    <border>
      <left style="thin">
        <color rgb="FF7F7F7F"/>
      </left>
      <right style="thin">
        <color rgb="FF7F7F7F"/>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rgb="FF3F3F3F"/>
      </left>
      <right style="thin">
        <color rgb="FF3F3F3F"/>
      </right>
      <top/>
      <bottom style="thin">
        <color rgb="FF3F3F3F"/>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bottom style="thin">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7">
    <xf numFmtId="0" fontId="0" fillId="0" borderId="0"/>
    <xf numFmtId="0" fontId="5" fillId="0" borderId="0"/>
    <xf numFmtId="9" fontId="7" fillId="0" borderId="0"/>
    <xf numFmtId="0" fontId="13" fillId="9" borderId="37"/>
    <xf numFmtId="0" fontId="14" fillId="9" borderId="36"/>
    <xf numFmtId="0" fontId="15" fillId="0" borderId="0"/>
    <xf numFmtId="0" fontId="20" fillId="13" borderId="0"/>
  </cellStyleXfs>
  <cellXfs count="172">
    <xf numFmtId="0" fontId="0" fillId="0" borderId="0" xfId="0"/>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8" xfId="0" applyFont="1" applyBorder="1"/>
    <xf numFmtId="0" fontId="2" fillId="0" borderId="9" xfId="0" applyFont="1" applyBorder="1"/>
    <xf numFmtId="0" fontId="2" fillId="0" borderId="10" xfId="0" applyFont="1" applyBorder="1"/>
    <xf numFmtId="0" fontId="2" fillId="0" borderId="1" xfId="0" applyFont="1" applyBorder="1" applyAlignment="1">
      <alignment horizontal="center" vertical="center"/>
    </xf>
    <xf numFmtId="0" fontId="0" fillId="0" borderId="14" xfId="0" applyBorder="1" applyAlignment="1">
      <alignment vertical="center"/>
    </xf>
    <xf numFmtId="0" fontId="0" fillId="0" borderId="13" xfId="0" applyBorder="1" applyAlignment="1">
      <alignment wrapText="1"/>
    </xf>
    <xf numFmtId="0" fontId="0" fillId="2" borderId="0" xfId="0" applyFill="1"/>
    <xf numFmtId="0" fontId="0" fillId="2" borderId="5" xfId="0" applyFill="1" applyBorder="1"/>
    <xf numFmtId="0" fontId="2" fillId="3" borderId="4" xfId="0" applyFont="1" applyFill="1" applyBorder="1"/>
    <xf numFmtId="0" fontId="2" fillId="3" borderId="6" xfId="0" applyFont="1" applyFill="1" applyBorder="1"/>
    <xf numFmtId="0" fontId="2" fillId="3" borderId="7" xfId="0" applyFont="1" applyFill="1" applyBorder="1"/>
    <xf numFmtId="0" fontId="0" fillId="0" borderId="6" xfId="0" applyBorder="1"/>
    <xf numFmtId="0" fontId="0" fillId="0" borderId="15" xfId="0" applyBorder="1"/>
    <xf numFmtId="165" fontId="0" fillId="0" borderId="0" xfId="0" applyNumberFormat="1" applyAlignment="1">
      <alignment horizontal="center"/>
    </xf>
    <xf numFmtId="165" fontId="0" fillId="0" borderId="18" xfId="0" applyNumberFormat="1" applyBorder="1" applyAlignment="1">
      <alignment horizontal="center"/>
    </xf>
    <xf numFmtId="165" fontId="0" fillId="0" borderId="22" xfId="0" applyNumberFormat="1" applyBorder="1" applyAlignment="1">
      <alignment horizontal="center"/>
    </xf>
    <xf numFmtId="165" fontId="0" fillId="0" borderId="24" xfId="0" applyNumberFormat="1" applyBorder="1" applyAlignment="1">
      <alignment horizontal="center"/>
    </xf>
    <xf numFmtId="0" fontId="2" fillId="0" borderId="0" xfId="0" applyFont="1"/>
    <xf numFmtId="0" fontId="4" fillId="0" borderId="0" xfId="0" applyFont="1"/>
    <xf numFmtId="166" fontId="4" fillId="0" borderId="0" xfId="0" applyNumberFormat="1" applyFont="1"/>
    <xf numFmtId="164" fontId="3" fillId="0" borderId="0" xfId="0" applyNumberFormat="1" applyFont="1"/>
    <xf numFmtId="0" fontId="5" fillId="0" borderId="0" xfId="1"/>
    <xf numFmtId="10" fontId="6" fillId="0" borderId="0" xfId="0" applyNumberFormat="1" applyFont="1"/>
    <xf numFmtId="10" fontId="0" fillId="0" borderId="0" xfId="0" applyNumberFormat="1"/>
    <xf numFmtId="10" fontId="2" fillId="0" borderId="0" xfId="0" applyNumberFormat="1" applyFont="1"/>
    <xf numFmtId="0" fontId="0" fillId="0" borderId="0" xfId="0" applyAlignment="1">
      <alignment horizontal="center"/>
    </xf>
    <xf numFmtId="0" fontId="0" fillId="0" borderId="0" xfId="0" applyAlignment="1">
      <alignment horizontal="center" vertical="center"/>
    </xf>
    <xf numFmtId="0" fontId="0" fillId="0" borderId="17" xfId="0" applyBorder="1"/>
    <xf numFmtId="167" fontId="0" fillId="0" borderId="0" xfId="0" applyNumberFormat="1"/>
    <xf numFmtId="167" fontId="0" fillId="0" borderId="30" xfId="0" applyNumberFormat="1" applyBorder="1"/>
    <xf numFmtId="10" fontId="3" fillId="0" borderId="0" xfId="2" applyNumberFormat="1" applyFont="1"/>
    <xf numFmtId="10" fontId="0" fillId="0" borderId="0" xfId="2" applyNumberFormat="1" applyFont="1"/>
    <xf numFmtId="0" fontId="9" fillId="7" borderId="32" xfId="0" applyFont="1" applyFill="1" applyBorder="1" applyAlignment="1">
      <alignment horizontal="center"/>
    </xf>
    <xf numFmtId="0" fontId="0" fillId="7" borderId="21" xfId="0" applyFill="1" applyBorder="1"/>
    <xf numFmtId="0" fontId="0" fillId="7" borderId="23" xfId="0" applyFill="1" applyBorder="1"/>
    <xf numFmtId="0" fontId="0" fillId="7" borderId="35" xfId="0" applyFill="1" applyBorder="1"/>
    <xf numFmtId="0" fontId="9" fillId="7" borderId="33" xfId="0" applyFont="1" applyFill="1" applyBorder="1" applyAlignment="1">
      <alignment horizontal="center"/>
    </xf>
    <xf numFmtId="0" fontId="9" fillId="7" borderId="34" xfId="0" applyFont="1" applyFill="1" applyBorder="1" applyAlignment="1">
      <alignment horizontal="center"/>
    </xf>
    <xf numFmtId="167" fontId="2" fillId="0" borderId="0" xfId="0" applyNumberFormat="1" applyFont="1"/>
    <xf numFmtId="0" fontId="2" fillId="7" borderId="8" xfId="0" applyFont="1" applyFill="1" applyBorder="1"/>
    <xf numFmtId="0" fontId="2" fillId="7" borderId="9" xfId="0" applyFont="1" applyFill="1" applyBorder="1"/>
    <xf numFmtId="0" fontId="2" fillId="7" borderId="10" xfId="0" applyFont="1" applyFill="1" applyBorder="1"/>
    <xf numFmtId="0" fontId="2" fillId="7" borderId="8" xfId="0" applyFont="1" applyFill="1" applyBorder="1" applyAlignment="1">
      <alignment horizontal="center" vertical="center"/>
    </xf>
    <xf numFmtId="0" fontId="2" fillId="7" borderId="10" xfId="0" applyFont="1" applyFill="1" applyBorder="1" applyAlignment="1">
      <alignment horizontal="center"/>
    </xf>
    <xf numFmtId="0" fontId="2" fillId="7" borderId="9" xfId="0" applyFont="1" applyFill="1" applyBorder="1" applyAlignment="1">
      <alignment horizontal="center" vertical="center"/>
    </xf>
    <xf numFmtId="0" fontId="2" fillId="7" borderId="9" xfId="0" applyFont="1" applyFill="1" applyBorder="1" applyAlignment="1">
      <alignment horizontal="center"/>
    </xf>
    <xf numFmtId="0" fontId="2" fillId="7" borderId="8" xfId="0" applyFont="1" applyFill="1" applyBorder="1" applyAlignment="1">
      <alignment horizontal="center"/>
    </xf>
    <xf numFmtId="0" fontId="2" fillId="0" borderId="0" xfId="0" applyFont="1" applyAlignment="1">
      <alignment wrapText="1"/>
    </xf>
    <xf numFmtId="0" fontId="10" fillId="5" borderId="0" xfId="0" applyFont="1" applyFill="1"/>
    <xf numFmtId="0" fontId="0" fillId="0" borderId="0" xfId="0" applyAlignment="1">
      <alignment horizontal="left"/>
    </xf>
    <xf numFmtId="168" fontId="0" fillId="0" borderId="0" xfId="0" applyNumberFormat="1"/>
    <xf numFmtId="168" fontId="0" fillId="0" borderId="17" xfId="0" applyNumberFormat="1" applyBorder="1"/>
    <xf numFmtId="168" fontId="0" fillId="0" borderId="30" xfId="0" applyNumberFormat="1" applyBorder="1"/>
    <xf numFmtId="168" fontId="0" fillId="0" borderId="31" xfId="0" applyNumberFormat="1" applyBorder="1"/>
    <xf numFmtId="0" fontId="0" fillId="0" borderId="31" xfId="0" applyBorder="1"/>
    <xf numFmtId="0" fontId="0" fillId="0" borderId="0" xfId="0" quotePrefix="1"/>
    <xf numFmtId="0" fontId="14" fillId="9" borderId="36" xfId="4"/>
    <xf numFmtId="0" fontId="15" fillId="0" borderId="0" xfId="5"/>
    <xf numFmtId="0" fontId="13" fillId="9" borderId="37" xfId="3"/>
    <xf numFmtId="164" fontId="13" fillId="9" borderId="37" xfId="3" applyNumberFormat="1"/>
    <xf numFmtId="0" fontId="14" fillId="9" borderId="38" xfId="4" applyBorder="1"/>
    <xf numFmtId="0" fontId="14" fillId="9" borderId="39" xfId="4" applyBorder="1"/>
    <xf numFmtId="0" fontId="0" fillId="0" borderId="27" xfId="0" applyBorder="1"/>
    <xf numFmtId="10" fontId="13" fillId="9" borderId="37" xfId="3" applyNumberFormat="1"/>
    <xf numFmtId="10" fontId="14" fillId="9" borderId="36" xfId="4" applyNumberFormat="1"/>
    <xf numFmtId="10" fontId="13" fillId="11" borderId="37" xfId="3" applyNumberFormat="1" applyFill="1"/>
    <xf numFmtId="164" fontId="13" fillId="9" borderId="40" xfId="3" applyNumberFormat="1" applyBorder="1"/>
    <xf numFmtId="10" fontId="13" fillId="12" borderId="37" xfId="3" applyNumberFormat="1" applyFill="1"/>
    <xf numFmtId="0" fontId="14" fillId="9" borderId="41" xfId="4" applyBorder="1"/>
    <xf numFmtId="0" fontId="14" fillId="9" borderId="39" xfId="4" quotePrefix="1" applyBorder="1"/>
    <xf numFmtId="0" fontId="1" fillId="0" borderId="0" xfId="0" applyFont="1"/>
    <xf numFmtId="10" fontId="17" fillId="0" borderId="0" xfId="0" applyNumberFormat="1" applyFont="1"/>
    <xf numFmtId="0" fontId="18" fillId="0" borderId="27" xfId="0" applyFont="1" applyBorder="1" applyAlignment="1">
      <alignment horizontal="center" vertical="top"/>
    </xf>
    <xf numFmtId="0" fontId="18" fillId="0" borderId="43" xfId="0" applyFont="1" applyBorder="1" applyAlignment="1">
      <alignment horizontal="center" vertical="top"/>
    </xf>
    <xf numFmtId="169" fontId="19" fillId="0" borderId="0" xfId="0" applyNumberFormat="1" applyFont="1"/>
    <xf numFmtId="170" fontId="0" fillId="0" borderId="0" xfId="0" applyNumberFormat="1"/>
    <xf numFmtId="170" fontId="19" fillId="0" borderId="0" xfId="0" applyNumberFormat="1" applyFont="1"/>
    <xf numFmtId="171" fontId="0" fillId="0" borderId="0" xfId="2" applyNumberFormat="1" applyFont="1"/>
    <xf numFmtId="170" fontId="0" fillId="3" borderId="21" xfId="0" applyNumberFormat="1" applyFill="1" applyBorder="1"/>
    <xf numFmtId="170" fontId="0" fillId="3" borderId="23" xfId="0" applyNumberFormat="1" applyFill="1" applyBorder="1"/>
    <xf numFmtId="170" fontId="0" fillId="3" borderId="26" xfId="0" applyNumberFormat="1" applyFill="1" applyBorder="1"/>
    <xf numFmtId="0" fontId="2" fillId="7" borderId="0" xfId="0" applyFont="1" applyFill="1" applyAlignment="1">
      <alignment horizontal="center"/>
    </xf>
    <xf numFmtId="0" fontId="0" fillId="0" borderId="0" xfId="0" applyAlignment="1">
      <alignment horizontal="right"/>
    </xf>
    <xf numFmtId="0" fontId="2" fillId="7" borderId="27" xfId="0" applyFont="1" applyFill="1" applyBorder="1" applyAlignment="1">
      <alignment horizontal="center"/>
    </xf>
    <xf numFmtId="0" fontId="2" fillId="7" borderId="27" xfId="0" applyFont="1" applyFill="1" applyBorder="1" applyAlignment="1">
      <alignment horizontal="center" vertical="center"/>
    </xf>
    <xf numFmtId="0" fontId="2" fillId="3" borderId="0" xfId="0" applyFont="1" applyFill="1" applyAlignment="1">
      <alignment horizontal="right"/>
    </xf>
    <xf numFmtId="164" fontId="13" fillId="11" borderId="37" xfId="3" applyNumberFormat="1" applyFill="1"/>
    <xf numFmtId="0" fontId="14" fillId="9" borderId="36" xfId="4" applyAlignment="1">
      <alignment vertical="top"/>
    </xf>
    <xf numFmtId="165" fontId="13" fillId="9" borderId="37" xfId="3" applyNumberFormat="1" applyAlignment="1">
      <alignment horizontal="center"/>
    </xf>
    <xf numFmtId="171" fontId="13" fillId="9" borderId="37" xfId="3" applyNumberFormat="1"/>
    <xf numFmtId="0" fontId="13" fillId="9" borderId="37" xfId="3" applyAlignment="1">
      <alignment horizontal="right"/>
    </xf>
    <xf numFmtId="10" fontId="13" fillId="9" borderId="45" xfId="3" applyNumberFormat="1" applyBorder="1"/>
    <xf numFmtId="171" fontId="13" fillId="9" borderId="45" xfId="3" applyNumberFormat="1" applyBorder="1"/>
    <xf numFmtId="0" fontId="0" fillId="0" borderId="10" xfId="0" applyBorder="1"/>
    <xf numFmtId="164" fontId="2" fillId="3" borderId="0" xfId="0" applyNumberFormat="1" applyFont="1" applyFill="1" applyAlignment="1">
      <alignment horizontal="left"/>
    </xf>
    <xf numFmtId="10" fontId="0" fillId="3" borderId="2" xfId="0" applyNumberFormat="1" applyFill="1" applyBorder="1"/>
    <xf numFmtId="10" fontId="0" fillId="3" borderId="19" xfId="0" applyNumberFormat="1" applyFill="1" applyBorder="1"/>
    <xf numFmtId="10" fontId="0" fillId="3" borderId="20" xfId="0" applyNumberFormat="1" applyFill="1" applyBorder="1"/>
    <xf numFmtId="10" fontId="0" fillId="3" borderId="0" xfId="0" applyNumberFormat="1" applyFill="1"/>
    <xf numFmtId="10" fontId="0" fillId="3" borderId="17" xfId="0" applyNumberFormat="1" applyFill="1" applyBorder="1"/>
    <xf numFmtId="10" fontId="0" fillId="3" borderId="11" xfId="0" applyNumberFormat="1" applyFill="1" applyBorder="1"/>
    <xf numFmtId="10" fontId="0" fillId="3" borderId="6" xfId="0" applyNumberFormat="1" applyFill="1" applyBorder="1"/>
    <xf numFmtId="10" fontId="0" fillId="3" borderId="15" xfId="0" applyNumberFormat="1" applyFill="1" applyBorder="1"/>
    <xf numFmtId="10" fontId="0" fillId="3" borderId="25" xfId="0" applyNumberFormat="1" applyFill="1" applyBorder="1"/>
    <xf numFmtId="172" fontId="3" fillId="0" borderId="0" xfId="0" applyNumberFormat="1" applyFont="1"/>
    <xf numFmtId="172" fontId="0" fillId="0" borderId="0" xfId="0" applyNumberFormat="1"/>
    <xf numFmtId="4" fontId="3" fillId="0" borderId="0" xfId="0" applyNumberFormat="1" applyFont="1"/>
    <xf numFmtId="4" fontId="0" fillId="0" borderId="0" xfId="0" applyNumberFormat="1"/>
    <xf numFmtId="173" fontId="0" fillId="0" borderId="0" xfId="0" applyNumberFormat="1"/>
    <xf numFmtId="0" fontId="8" fillId="4" borderId="27" xfId="0" applyFont="1" applyFill="1" applyBorder="1" applyAlignment="1">
      <alignment horizontal="center" vertical="center"/>
    </xf>
    <xf numFmtId="0" fontId="0" fillId="0" borderId="2" xfId="0" applyBorder="1"/>
    <xf numFmtId="0" fontId="0" fillId="0" borderId="3" xfId="0" applyBorder="1"/>
    <xf numFmtId="0" fontId="0" fillId="0" borderId="48" xfId="0" applyBorder="1"/>
    <xf numFmtId="0" fontId="0" fillId="0" borderId="6" xfId="0" applyBorder="1"/>
    <xf numFmtId="0" fontId="0" fillId="0" borderId="7" xfId="0" applyBorder="1"/>
    <xf numFmtId="0" fontId="11" fillId="8" borderId="0" xfId="0" applyFont="1" applyFill="1" applyAlignment="1">
      <alignment horizontal="center"/>
    </xf>
    <xf numFmtId="0" fontId="0" fillId="0" borderId="0" xfId="0"/>
    <xf numFmtId="0" fontId="2" fillId="7" borderId="27" xfId="0" applyFont="1" applyFill="1" applyBorder="1" applyAlignment="1">
      <alignment horizontal="center" vertical="center"/>
    </xf>
    <xf numFmtId="0" fontId="0" fillId="0" borderId="10" xfId="0" applyBorder="1"/>
    <xf numFmtId="0" fontId="0" fillId="0" borderId="46" xfId="0" applyBorder="1" applyAlignment="1">
      <alignment horizontal="center" vertical="center" wrapText="1"/>
    </xf>
    <xf numFmtId="0" fontId="0" fillId="0" borderId="14" xfId="0" applyBorder="1"/>
    <xf numFmtId="0" fontId="0" fillId="2" borderId="47" xfId="0" applyFill="1" applyBorder="1" applyAlignment="1">
      <alignment horizontal="center"/>
    </xf>
    <xf numFmtId="0" fontId="0" fillId="0" borderId="16" xfId="0" applyBorder="1"/>
    <xf numFmtId="0" fontId="0" fillId="0" borderId="4" xfId="0" applyBorder="1"/>
    <xf numFmtId="0" fontId="0" fillId="0" borderId="5" xfId="0" applyBorder="1"/>
    <xf numFmtId="0" fontId="0" fillId="0" borderId="13" xfId="0" applyBorder="1" applyAlignment="1">
      <alignment horizontal="center" wrapText="1"/>
    </xf>
    <xf numFmtId="0" fontId="0" fillId="0" borderId="12" xfId="0" applyBorder="1"/>
    <xf numFmtId="0" fontId="12" fillId="6" borderId="13" xfId="0" applyFont="1" applyFill="1" applyBorder="1" applyAlignment="1">
      <alignment horizontal="center" vertical="center"/>
    </xf>
    <xf numFmtId="0" fontId="0" fillId="0" borderId="28" xfId="0" applyBorder="1"/>
    <xf numFmtId="0" fontId="0" fillId="0" borderId="29" xfId="0" applyBorder="1"/>
    <xf numFmtId="0" fontId="0" fillId="0" borderId="30" xfId="0" applyBorder="1"/>
    <xf numFmtId="0" fontId="0" fillId="0" borderId="31" xfId="0" applyBorder="1"/>
    <xf numFmtId="0" fontId="16" fillId="10" borderId="27" xfId="0" applyFont="1" applyFill="1" applyBorder="1" applyAlignment="1">
      <alignment horizontal="center" vertical="top"/>
    </xf>
    <xf numFmtId="0" fontId="0" fillId="0" borderId="43" xfId="0" applyBorder="1"/>
    <xf numFmtId="0" fontId="0" fillId="0" borderId="42" xfId="0" applyBorder="1"/>
    <xf numFmtId="0" fontId="0" fillId="0" borderId="0" xfId="0" applyAlignment="1">
      <alignment horizontal="center" vertical="top" wrapText="1"/>
    </xf>
    <xf numFmtId="0" fontId="0" fillId="0" borderId="6" xfId="0" applyBorder="1" applyAlignment="1">
      <alignment horizontal="center"/>
    </xf>
    <xf numFmtId="0" fontId="12" fillId="13" borderId="44" xfId="6" applyFont="1" applyBorder="1" applyAlignment="1">
      <alignment horizontal="center"/>
    </xf>
    <xf numFmtId="0" fontId="0" fillId="0" borderId="49" xfId="0" applyBorder="1"/>
    <xf numFmtId="0" fontId="0" fillId="0" borderId="50" xfId="0" applyBorder="1"/>
    <xf numFmtId="0" fontId="2" fillId="0" borderId="27" xfId="0" applyFont="1" applyBorder="1" applyAlignment="1">
      <alignment horizontal="center"/>
    </xf>
    <xf numFmtId="0" fontId="2" fillId="0" borderId="10" xfId="0" applyFont="1" applyBorder="1" applyAlignment="1">
      <alignment horizontal="center"/>
    </xf>
    <xf numFmtId="0" fontId="0" fillId="0" borderId="27" xfId="0" applyBorder="1" applyAlignment="1">
      <alignment horizontal="center" vertical="center"/>
    </xf>
    <xf numFmtId="0" fontId="0" fillId="0" borderId="9" xfId="0" applyBorder="1"/>
    <xf numFmtId="0" fontId="0" fillId="0" borderId="27" xfId="0" applyBorder="1" applyAlignment="1">
      <alignment horizontal="center" wrapText="1"/>
    </xf>
    <xf numFmtId="0" fontId="0" fillId="15" borderId="0" xfId="0" applyFill="1"/>
    <xf numFmtId="0" fontId="0" fillId="15" borderId="27" xfId="0" applyFill="1" applyBorder="1"/>
    <xf numFmtId="10" fontId="0" fillId="15" borderId="27" xfId="0" applyNumberFormat="1" applyFill="1" applyBorder="1"/>
    <xf numFmtId="0" fontId="21" fillId="14" borderId="51" xfId="0" applyFont="1" applyFill="1" applyBorder="1"/>
    <xf numFmtId="0" fontId="21" fillId="14" borderId="52" xfId="0" applyFont="1" applyFill="1" applyBorder="1"/>
    <xf numFmtId="0" fontId="21" fillId="14" borderId="53" xfId="0" applyFont="1" applyFill="1" applyBorder="1"/>
    <xf numFmtId="0" fontId="21" fillId="14" borderId="54" xfId="0" applyFont="1" applyFill="1" applyBorder="1"/>
    <xf numFmtId="0" fontId="0" fillId="15" borderId="55" xfId="0" applyFill="1" applyBorder="1"/>
    <xf numFmtId="10" fontId="0" fillId="15" borderId="55" xfId="0" applyNumberFormat="1" applyFill="1" applyBorder="1"/>
    <xf numFmtId="0" fontId="21" fillId="14" borderId="56" xfId="0" applyFont="1" applyFill="1" applyBorder="1"/>
    <xf numFmtId="10" fontId="0" fillId="15" borderId="57" xfId="0" applyNumberFormat="1" applyFill="1" applyBorder="1"/>
    <xf numFmtId="10" fontId="0" fillId="15" borderId="58" xfId="0" applyNumberFormat="1" applyFill="1" applyBorder="1"/>
    <xf numFmtId="0" fontId="21" fillId="16" borderId="51" xfId="0" applyFont="1" applyFill="1" applyBorder="1"/>
    <xf numFmtId="0" fontId="21" fillId="16" borderId="53" xfId="0" applyFont="1" applyFill="1" applyBorder="1"/>
    <xf numFmtId="0" fontId="21" fillId="16" borderId="54" xfId="0" applyFont="1" applyFill="1" applyBorder="1"/>
    <xf numFmtId="0" fontId="21" fillId="16" borderId="56" xfId="0" applyFont="1" applyFill="1" applyBorder="1"/>
    <xf numFmtId="0" fontId="0" fillId="17" borderId="0" xfId="0" applyFill="1"/>
    <xf numFmtId="10" fontId="0" fillId="17" borderId="27" xfId="0" applyNumberFormat="1" applyFill="1" applyBorder="1"/>
    <xf numFmtId="0" fontId="0" fillId="15" borderId="54" xfId="0" applyFill="1" applyBorder="1"/>
    <xf numFmtId="0" fontId="0" fillId="17" borderId="54" xfId="0" applyFill="1" applyBorder="1"/>
    <xf numFmtId="10" fontId="0" fillId="17" borderId="55" xfId="0" applyNumberFormat="1" applyFill="1" applyBorder="1"/>
    <xf numFmtId="0" fontId="0" fillId="17" borderId="56" xfId="0" applyFill="1" applyBorder="1"/>
    <xf numFmtId="10" fontId="0" fillId="17" borderId="57" xfId="0" applyNumberFormat="1" applyFill="1" applyBorder="1"/>
    <xf numFmtId="10" fontId="0" fillId="17" borderId="58" xfId="0" applyNumberFormat="1" applyFill="1" applyBorder="1"/>
  </cellXfs>
  <cellStyles count="7">
    <cellStyle name="Accent1" xfId="6" builtinId="29"/>
    <cellStyle name="Calculation" xfId="4" builtinId="22"/>
    <cellStyle name="Explanatory Text" xfId="5" builtinId="53"/>
    <cellStyle name="Hyperlink" xfId="1" builtinId="8"/>
    <cellStyle name="Normal" xfId="0" builtinId="0"/>
    <cellStyle name="Output" xfId="3" builtinId="21"/>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en-US" sz="1600" b="1"/>
              <a:t>Annalised Returns vs. Annualised</a:t>
            </a:r>
            <a:r>
              <a:rPr lang="en-US" sz="1600" b="1" baseline="0"/>
              <a:t> SD</a:t>
            </a:r>
            <a:endParaRPr lang="en-US" sz="1600" b="1"/>
          </a:p>
        </c:rich>
      </c:tx>
      <c:overlay val="0"/>
      <c:spPr>
        <a:noFill/>
        <a:ln>
          <a:noFill/>
          <a:prstDash val="solid"/>
        </a:ln>
      </c:spPr>
    </c:title>
    <c:autoTitleDeleted val="0"/>
    <c:plotArea>
      <c:layout>
        <c:manualLayout>
          <c:layoutTarget val="inner"/>
          <c:xMode val="edge"/>
          <c:yMode val="edge"/>
          <c:x val="9.5298051504988907E-2"/>
          <c:y val="0.12887651357054419"/>
          <c:w val="0.86665662842021562"/>
          <c:h val="0.70574107552884136"/>
        </c:manualLayout>
      </c:layout>
      <c:scatterChart>
        <c:scatterStyle val="lineMarker"/>
        <c:varyColors val="0"/>
        <c:ser>
          <c:idx val="0"/>
          <c:order val="0"/>
          <c:tx>
            <c:strRef>
              <c:f>'Returns-VOL'!$D$215</c:f>
              <c:strCache>
                <c:ptCount val="1"/>
                <c:pt idx="0">
                  <c:v>Annalised Returns</c:v>
                </c:pt>
              </c:strCache>
            </c:strRef>
          </c:tx>
          <c:spPr>
            <a:ln w="19050" cap="rnd">
              <a:noFill/>
              <a:prstDash val="solid"/>
              <a:round/>
            </a:ln>
          </c:spPr>
          <c:marker>
            <c:symbol val="circle"/>
            <c:size val="5"/>
            <c:spPr>
              <a:solidFill>
                <a:srgbClr val="0070C0"/>
              </a:solidFill>
              <a:ln w="3175">
                <a:solidFill>
                  <a:schemeClr val="accent1"/>
                </a:solidFill>
                <a:prstDash val="solid"/>
              </a:ln>
            </c:spPr>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E01-3247-9071-7BDAE327805A}"/>
                </c:ext>
              </c:extLst>
            </c:dLbl>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it-VI"/>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'Returns-VOL'!$C$216:$C$228</c:f>
              <c:numCache>
                <c:formatCode>0.00%</c:formatCode>
                <c:ptCount val="13"/>
                <c:pt idx="0">
                  <c:v>0.30807708800318551</c:v>
                </c:pt>
                <c:pt idx="1">
                  <c:v>0.32472828010926053</c:v>
                </c:pt>
                <c:pt idx="2">
                  <c:v>0.26405431457143441</c:v>
                </c:pt>
                <c:pt idx="3">
                  <c:v>0.15986201894949539</c:v>
                </c:pt>
                <c:pt idx="4">
                  <c:v>0.24892432345745741</c:v>
                </c:pt>
                <c:pt idx="5">
                  <c:v>0.25607976061492022</c:v>
                </c:pt>
                <c:pt idx="6">
                  <c:v>0.18902533034393659</c:v>
                </c:pt>
                <c:pt idx="7">
                  <c:v>0.38545621101508049</c:v>
                </c:pt>
                <c:pt idx="8">
                  <c:v>0.1912656649221656</c:v>
                </c:pt>
                <c:pt idx="9">
                  <c:v>0.22372408620221271</c:v>
                </c:pt>
                <c:pt idx="10">
                  <c:v>0.22560151844040691</c:v>
                </c:pt>
                <c:pt idx="11">
                  <c:v>0.20758408162150591</c:v>
                </c:pt>
                <c:pt idx="12">
                  <c:v>0.16525137066172171</c:v>
                </c:pt>
              </c:numCache>
            </c:numRef>
          </c:xVal>
          <c:yVal>
            <c:numRef>
              <c:f>'Returns-VOL'!$D$216:$D$228</c:f>
              <c:numCache>
                <c:formatCode>0.00%</c:formatCode>
                <c:ptCount val="13"/>
                <c:pt idx="0">
                  <c:v>0.2202383077723912</c:v>
                </c:pt>
                <c:pt idx="1">
                  <c:v>0.12962459121653819</c:v>
                </c:pt>
                <c:pt idx="2">
                  <c:v>0.14118030411387539</c:v>
                </c:pt>
                <c:pt idx="3">
                  <c:v>7.6733314313049042E-2</c:v>
                </c:pt>
                <c:pt idx="4">
                  <c:v>7.8497477019912706E-2</c:v>
                </c:pt>
                <c:pt idx="5">
                  <c:v>0.22331505838284371</c:v>
                </c:pt>
                <c:pt idx="6">
                  <c:v>6.9856210560942517E-2</c:v>
                </c:pt>
                <c:pt idx="7">
                  <c:v>0.1007146309718341</c:v>
                </c:pt>
                <c:pt idx="8">
                  <c:v>9.9532473967231749E-2</c:v>
                </c:pt>
                <c:pt idx="9">
                  <c:v>0.16062517966914211</c:v>
                </c:pt>
                <c:pt idx="10">
                  <c:v>0.1078523847643416</c:v>
                </c:pt>
                <c:pt idx="11">
                  <c:v>0.13813721138433091</c:v>
                </c:pt>
                <c:pt idx="12">
                  <c:v>0.12885892867803619</c:v>
                </c:pt>
              </c:numCache>
            </c:numRef>
          </c:yVal>
          <c:smooth val="0"/>
          <c:extLst>
            <c:ext xmlns:c16="http://schemas.microsoft.com/office/drawing/2014/chart" uri="{C3380CC4-5D6E-409C-BE32-E72D297353CC}">
              <c16:uniqueId val="{00000001-BE01-3247-9071-7BDAE327805A}"/>
            </c:ext>
          </c:extLst>
        </c:ser>
        <c:dLbls>
          <c:showLegendKey val="0"/>
          <c:showVal val="0"/>
          <c:showCatName val="0"/>
          <c:showSerName val="0"/>
          <c:showPercent val="0"/>
          <c:showBubbleSize val="0"/>
        </c:dLbls>
        <c:axId val="860330032"/>
        <c:axId val="859328240"/>
      </c:scatterChart>
      <c:valAx>
        <c:axId val="860330032"/>
        <c:scaling>
          <c:orientation val="minMax"/>
          <c:min val="0"/>
        </c:scaling>
        <c:delete val="0"/>
        <c:axPos val="b"/>
        <c:majorGridlines>
          <c:spPr>
            <a:ln w="9525" cap="flat" cmpd="sng" algn="ctr">
              <a:solidFill>
                <a:schemeClr val="tx1">
                  <a:lumMod val="15000"/>
                  <a:lumOff val="85000"/>
                </a:schemeClr>
              </a:solidFill>
              <a:prstDash val="solid"/>
              <a:round/>
            </a:ln>
          </c:spPr>
        </c:majorGridlines>
        <c:title>
          <c:tx>
            <c:rich>
              <a:bodyPr rot="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it-IT" sz="1500"/>
                  <a:t>Annualised</a:t>
                </a:r>
                <a:r>
                  <a:rPr lang="it-IT" sz="1500" baseline="0"/>
                  <a:t> SD</a:t>
                </a:r>
                <a:endParaRPr lang="it-IT" sz="1500"/>
              </a:p>
            </c:rich>
          </c:tx>
          <c:overlay val="0"/>
          <c:spPr>
            <a:noFill/>
            <a:ln>
              <a:noFill/>
              <a:prstDash val="solid"/>
            </a:ln>
          </c:spPr>
        </c:title>
        <c:numFmt formatCode="0%" sourceLinked="0"/>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endParaRPr lang="it-VI"/>
          </a:p>
        </c:txPr>
        <c:crossAx val="859328240"/>
        <c:crossesAt val="0"/>
        <c:crossBetween val="midCat"/>
      </c:valAx>
      <c:valAx>
        <c:axId val="859328240"/>
        <c:scaling>
          <c:orientation val="minMax"/>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500" b="0" i="0" strike="noStrike" kern="1200" baseline="0">
                    <a:solidFill>
                      <a:schemeClr val="tx1">
                        <a:lumMod val="65000"/>
                        <a:lumOff val="35000"/>
                      </a:schemeClr>
                    </a:solidFill>
                    <a:latin typeface="+mn-lt"/>
                    <a:ea typeface="+mn-ea"/>
                    <a:cs typeface="+mn-cs"/>
                  </a:defRPr>
                </a:pPr>
                <a:r>
                  <a:rPr lang="it-IT" sz="1500"/>
                  <a:t>Annalised Returns</a:t>
                </a:r>
              </a:p>
            </c:rich>
          </c:tx>
          <c:overlay val="0"/>
          <c:spPr>
            <a:noFill/>
            <a:ln>
              <a:noFill/>
              <a:prstDash val="solid"/>
            </a:ln>
          </c:spPr>
        </c:title>
        <c:numFmt formatCode="0%" sourceLinked="0"/>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endParaRPr lang="it-VI"/>
          </a:p>
        </c:txPr>
        <c:crossAx val="860330032"/>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The efficient frontier (without</a:t>
            </a:r>
            <a:r>
              <a:rPr lang="en-US" baseline="0"/>
              <a:t> shortsales)</a:t>
            </a:r>
            <a:endParaRPr lang="en-US"/>
          </a:p>
        </c:rich>
      </c:tx>
      <c:overlay val="0"/>
      <c:spPr>
        <a:noFill/>
        <a:ln w="12700">
          <a:solidFill>
            <a:schemeClr val="accent1"/>
          </a:solidFill>
          <a:prstDash val="solid"/>
        </a:ln>
      </c:spPr>
    </c:title>
    <c:autoTitleDeleted val="0"/>
    <c:plotArea>
      <c:layout/>
      <c:scatterChart>
        <c:scatterStyle val="smoothMarker"/>
        <c:varyColors val="0"/>
        <c:ser>
          <c:idx val="0"/>
          <c:order val="0"/>
          <c:spPr>
            <a:ln w="9525" cap="rnd">
              <a:solidFill>
                <a:schemeClr val="accent1"/>
              </a:solidFill>
              <a:prstDash val="solid"/>
              <a:round/>
            </a:ln>
          </c:spPr>
          <c:marker>
            <c:symbol val="circle"/>
            <c:size val="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9525" cap="rnd">
                <a:solidFill>
                  <a:schemeClr val="accent1"/>
                </a:solidFill>
                <a:prstDash val="solid"/>
                <a:round/>
              </a:ln>
            </c:spPr>
          </c:marker>
          <c:xVal>
            <c:numRef>
              <c:f>'Efficient Frontier'!$C$42:$H$42</c:f>
              <c:numCache>
                <c:formatCode>0.00%</c:formatCode>
                <c:ptCount val="6"/>
                <c:pt idx="0">
                  <c:v>0.1238455404499544</c:v>
                </c:pt>
                <c:pt idx="1">
                  <c:v>0.12919836496151091</c:v>
                </c:pt>
                <c:pt idx="2">
                  <c:v>0.14344330678339309</c:v>
                </c:pt>
                <c:pt idx="3">
                  <c:v>0.16435340018324249</c:v>
                </c:pt>
                <c:pt idx="4">
                  <c:v>0.1967030807807913</c:v>
                </c:pt>
                <c:pt idx="5">
                  <c:v>0.25607976259405568</c:v>
                </c:pt>
              </c:numCache>
            </c:numRef>
          </c:xVal>
          <c:yVal>
            <c:numRef>
              <c:f>'Efficient Frontier'!$C$40:$H$40</c:f>
              <c:numCache>
                <c:formatCode>0.00%</c:formatCode>
                <c:ptCount val="6"/>
                <c:pt idx="0">
                  <c:v>0.1050871796645447</c:v>
                </c:pt>
                <c:pt idx="1">
                  <c:v>0.13008717978351131</c:v>
                </c:pt>
                <c:pt idx="2">
                  <c:v>0.15508718068879249</c:v>
                </c:pt>
                <c:pt idx="3">
                  <c:v>0.1800871812376906</c:v>
                </c:pt>
                <c:pt idx="4">
                  <c:v>0.20508718966454459</c:v>
                </c:pt>
                <c:pt idx="5">
                  <c:v>0.22331505841361121</c:v>
                </c:pt>
              </c:numCache>
            </c:numRef>
          </c:yVal>
          <c:smooth val="1"/>
          <c:extLst>
            <c:ext xmlns:c16="http://schemas.microsoft.com/office/drawing/2014/chart" uri="{C3380CC4-5D6E-409C-BE32-E72D297353CC}">
              <c16:uniqueId val="{00000006-41EB-DB4F-8910-CBF95C582331}"/>
            </c:ext>
          </c:extLst>
        </c:ser>
        <c:ser>
          <c:idx val="1"/>
          <c:order val="1"/>
          <c:tx>
            <c:v>Equal Weights Portfolio</c:v>
          </c:tx>
          <c:spPr>
            <a:ln w="9525" cap="rnd">
              <a:solidFill>
                <a:schemeClr val="accent2"/>
              </a:solidFill>
              <a:prstDash val="solid"/>
              <a:round/>
            </a:ln>
          </c:spPr>
          <c:marker>
            <c:symbol val="circle"/>
            <c:size val="6"/>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9525" cap="rnd">
                <a:solidFill>
                  <a:schemeClr val="accent2"/>
                </a:solidFill>
                <a:prstDash val="solid"/>
                <a:round/>
              </a:ln>
            </c:spPr>
          </c:marker>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75000"/>
                      </a:schemeClr>
                    </a:solidFill>
                    <a:latin typeface="+mn-lt"/>
                    <a:ea typeface="+mn-ea"/>
                    <a:cs typeface="+mn-cs"/>
                  </a:defRPr>
                </a:pPr>
                <a:endParaRPr lang="en-F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'Efficient Frontier'!$C$21</c:f>
              <c:numCache>
                <c:formatCode>0.00%</c:formatCode>
                <c:ptCount val="1"/>
                <c:pt idx="0">
                  <c:v>0.16525137066172174</c:v>
                </c:pt>
              </c:numCache>
            </c:numRef>
          </c:xVal>
          <c:yVal>
            <c:numRef>
              <c:f>'Efficient Frontier'!$C$19</c:f>
              <c:numCache>
                <c:formatCode>0.00%</c:formatCode>
                <c:ptCount val="1"/>
                <c:pt idx="0">
                  <c:v>0.12885892867803608</c:v>
                </c:pt>
              </c:numCache>
            </c:numRef>
          </c:yVal>
          <c:smooth val="1"/>
          <c:extLst>
            <c:ext xmlns:c16="http://schemas.microsoft.com/office/drawing/2014/chart" uri="{C3380CC4-5D6E-409C-BE32-E72D297353CC}">
              <c16:uniqueId val="{00000007-41EB-DB4F-8910-CBF95C582331}"/>
            </c:ext>
          </c:extLst>
        </c:ser>
        <c:dLbls>
          <c:showLegendKey val="0"/>
          <c:showVal val="0"/>
          <c:showCatName val="0"/>
          <c:showSerName val="0"/>
          <c:showPercent val="0"/>
          <c:showBubbleSize val="0"/>
        </c:dLbls>
        <c:axId val="717723599"/>
        <c:axId val="1310263616"/>
      </c:scatterChart>
      <c:valAx>
        <c:axId val="717723599"/>
        <c:scaling>
          <c:orientation val="minMax"/>
        </c:scaling>
        <c:delete val="0"/>
        <c:axPos val="b"/>
        <c:majorGridlines>
          <c:spPr>
            <a:ln w="9525" cap="flat" cmpd="sng" algn="ctr">
              <a:solidFill>
                <a:schemeClr val="lt1">
                  <a:alpha val="10000"/>
                  <a:lumMod val="95000"/>
                </a:schemeClr>
              </a:solidFill>
              <a:prstDash val="solid"/>
              <a:round/>
            </a:ln>
          </c:spPr>
        </c:majorGridlines>
        <c:title>
          <c:tx>
            <c:rich>
              <a:bodyPr rot="0" spcFirstLastPara="1" vertOverflow="ellipsis" vert="horz" wrap="square" anchor="ctr" anchorCtr="1"/>
              <a:lstStyle/>
              <a:p>
                <a:pPr>
                  <a:defRPr sz="900" b="1" i="0" strike="noStrike" kern="1200" cap="all" baseline="0">
                    <a:solidFill>
                      <a:schemeClr val="lt1">
                        <a:lumMod val="75000"/>
                      </a:schemeClr>
                    </a:solidFill>
                    <a:latin typeface="+mn-lt"/>
                    <a:ea typeface="+mn-ea"/>
                    <a:cs typeface="+mn-cs"/>
                  </a:defRPr>
                </a:pPr>
                <a:r>
                  <a:rPr lang="en-US"/>
                  <a:t>Standard</a:t>
                </a:r>
                <a:r>
                  <a:rPr lang="en-US" baseline="0"/>
                  <a:t> Deviation</a:t>
                </a:r>
                <a:endParaRPr lang="en-US"/>
              </a:p>
            </c:rich>
          </c:tx>
          <c:overlay val="0"/>
          <c:spPr>
            <a:noFill/>
            <a:ln>
              <a:noFill/>
              <a:prstDash val="solid"/>
            </a:ln>
          </c:spPr>
        </c:title>
        <c:numFmt formatCode="0.00%" sourceLinked="1"/>
        <c:majorTickMark val="none"/>
        <c:minorTickMark val="none"/>
        <c:tickLblPos val="nextTo"/>
        <c:spPr>
          <a:noFill/>
          <a:ln w="9525" cap="flat" cmpd="sng" algn="ctr">
            <a:solidFill>
              <a:schemeClr val="lt1">
                <a:lumMod val="50000"/>
              </a:schemeClr>
            </a:solidFill>
            <a:prstDash val="solid"/>
          </a:ln>
        </c:spPr>
        <c:txPr>
          <a:bodyPr rot="-60000000" spcFirstLastPara="1" vertOverflow="ellipsis" vert="horz" wrap="square" anchor="ctr" anchorCtr="1"/>
          <a:lstStyle/>
          <a:p>
            <a:pPr>
              <a:defRPr sz="900" b="0" i="0" strike="noStrike" kern="1200" baseline="0">
                <a:solidFill>
                  <a:schemeClr val="lt1">
                    <a:lumMod val="75000"/>
                  </a:schemeClr>
                </a:solidFill>
                <a:latin typeface="+mn-lt"/>
                <a:ea typeface="+mn-ea"/>
                <a:cs typeface="+mn-cs"/>
              </a:defRPr>
            </a:pPr>
            <a:endParaRPr lang="it-VI"/>
          </a:p>
        </c:txPr>
        <c:crossAx val="1310263616"/>
        <c:crosses val="autoZero"/>
        <c:crossBetween val="midCat"/>
      </c:valAx>
      <c:valAx>
        <c:axId val="1310263616"/>
        <c:scaling>
          <c:orientation val="minMax"/>
        </c:scaling>
        <c:delete val="0"/>
        <c:axPos val="l"/>
        <c:majorGridlines>
          <c:spPr>
            <a:ln w="9525" cap="flat" cmpd="sng" algn="ctr">
              <a:solidFill>
                <a:schemeClr val="lt1">
                  <a:alpha val="10000"/>
                  <a:lumMod val="95000"/>
                </a:schemeClr>
              </a:solidFill>
              <a:prstDash val="solid"/>
              <a:round/>
            </a:ln>
          </c:spPr>
        </c:majorGridlines>
        <c:title>
          <c:tx>
            <c:rich>
              <a:bodyPr rot="-5400000" spcFirstLastPara="1" vertOverflow="ellipsis" vert="horz" wrap="square" anchor="ctr" anchorCtr="1"/>
              <a:lstStyle/>
              <a:p>
                <a:pPr>
                  <a:defRPr sz="900" b="1" i="0" strike="noStrike" kern="1200" cap="all" baseline="0">
                    <a:solidFill>
                      <a:schemeClr val="lt1">
                        <a:lumMod val="75000"/>
                      </a:schemeClr>
                    </a:solidFill>
                    <a:latin typeface="+mn-lt"/>
                    <a:ea typeface="+mn-ea"/>
                    <a:cs typeface="+mn-cs"/>
                  </a:defRPr>
                </a:pPr>
                <a:r>
                  <a:rPr lang="en-US"/>
                  <a:t> Return</a:t>
                </a:r>
              </a:p>
            </c:rich>
          </c:tx>
          <c:overlay val="0"/>
          <c:spPr>
            <a:noFill/>
            <a:ln>
              <a:noFill/>
              <a:prstDash val="solid"/>
            </a:ln>
          </c:spPr>
        </c:title>
        <c:numFmt formatCode="0.00%" sourceLinked="1"/>
        <c:majorTickMark val="none"/>
        <c:minorTickMark val="none"/>
        <c:tickLblPos val="nextTo"/>
        <c:spPr>
          <a:noFill/>
          <a:ln w="9525" cap="flat" cmpd="sng" algn="ctr">
            <a:solidFill>
              <a:schemeClr val="lt1">
                <a:lumMod val="50000"/>
              </a:schemeClr>
            </a:solidFill>
            <a:prstDash val="solid"/>
          </a:ln>
        </c:spPr>
        <c:txPr>
          <a:bodyPr rot="-60000000" spcFirstLastPara="1" vertOverflow="ellipsis" vert="horz" wrap="square" anchor="ctr" anchorCtr="1"/>
          <a:lstStyle/>
          <a:p>
            <a:pPr>
              <a:defRPr sz="900" b="0" i="0" strike="noStrike" kern="1200" baseline="0">
                <a:solidFill>
                  <a:schemeClr val="lt1">
                    <a:lumMod val="75000"/>
                  </a:schemeClr>
                </a:solidFill>
                <a:latin typeface="+mn-lt"/>
                <a:ea typeface="+mn-ea"/>
                <a:cs typeface="+mn-cs"/>
              </a:defRPr>
            </a:pPr>
            <a:endParaRPr lang="it-VI"/>
          </a:p>
        </c:txPr>
        <c:crossAx val="717723599"/>
        <c:crosses val="autoZero"/>
        <c:crossBetween val="midCat"/>
      </c:valAx>
    </c:plotArea>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The efficient frontier with short sales allowed</a:t>
            </a:r>
          </a:p>
        </c:rich>
      </c:tx>
      <c:overlay val="0"/>
      <c:spPr>
        <a:noFill/>
        <a:ln>
          <a:noFill/>
          <a:prstDash val="solid"/>
        </a:ln>
      </c:spPr>
    </c:title>
    <c:autoTitleDeleted val="0"/>
    <c:plotArea>
      <c:layout/>
      <c:scatterChart>
        <c:scatterStyle val="smoothMarker"/>
        <c:varyColors val="0"/>
        <c:ser>
          <c:idx val="0"/>
          <c:order val="0"/>
          <c:spPr>
            <a:ln w="9525" cap="rnd">
              <a:solidFill>
                <a:schemeClr val="accent1"/>
              </a:solidFill>
              <a:prstDash val="solid"/>
              <a:round/>
            </a:ln>
          </c:spPr>
          <c:marker>
            <c:symbol val="circle"/>
            <c:size val="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9525" cap="rnd">
                <a:solidFill>
                  <a:schemeClr val="accent1"/>
                </a:solidFill>
                <a:prstDash val="solid"/>
                <a:round/>
              </a:ln>
            </c:spPr>
          </c:marker>
          <c:xVal>
            <c:numRef>
              <c:f>'Efficient Frontier'!$C$62:$H$62</c:f>
              <c:numCache>
                <c:formatCode>0.0000</c:formatCode>
                <c:ptCount val="6"/>
                <c:pt idx="0">
                  <c:v>0.11534738735459156</c:v>
                </c:pt>
                <c:pt idx="1">
                  <c:v>0.12930483830376444</c:v>
                </c:pt>
                <c:pt idx="2">
                  <c:v>0.11534738745107555</c:v>
                </c:pt>
                <c:pt idx="3">
                  <c:v>0.16421671400469712</c:v>
                </c:pt>
                <c:pt idx="4">
                  <c:v>0.26067471584518292</c:v>
                </c:pt>
                <c:pt idx="5">
                  <c:v>0.36913081070991394</c:v>
                </c:pt>
              </c:numCache>
            </c:numRef>
          </c:xVal>
          <c:yVal>
            <c:numRef>
              <c:f>'Efficient Frontier'!$C$60:$H$60</c:f>
              <c:numCache>
                <c:formatCode>0.0000</c:formatCode>
                <c:ptCount val="6"/>
                <c:pt idx="0">
                  <c:v>9.9995954949592E-2</c:v>
                </c:pt>
                <c:pt idx="1">
                  <c:v>4.9999998366681321E-2</c:v>
                </c:pt>
                <c:pt idx="2">
                  <c:v>0.1000000000001082</c:v>
                </c:pt>
                <c:pt idx="3">
                  <c:v>0.20000000274939114</c:v>
                </c:pt>
                <c:pt idx="4">
                  <c:v>0.30000000601648169</c:v>
                </c:pt>
                <c:pt idx="5">
                  <c:v>0.40000000928341806</c:v>
                </c:pt>
              </c:numCache>
            </c:numRef>
          </c:yVal>
          <c:smooth val="1"/>
          <c:extLst>
            <c:ext xmlns:c16="http://schemas.microsoft.com/office/drawing/2014/chart" uri="{C3380CC4-5D6E-409C-BE32-E72D297353CC}">
              <c16:uniqueId val="{00000006-F332-6D48-A05C-FAC169407B70}"/>
            </c:ext>
          </c:extLst>
        </c:ser>
        <c:dLbls>
          <c:showLegendKey val="0"/>
          <c:showVal val="0"/>
          <c:showCatName val="0"/>
          <c:showSerName val="0"/>
          <c:showPercent val="0"/>
          <c:showBubbleSize val="0"/>
        </c:dLbls>
        <c:axId val="1841085440"/>
        <c:axId val="1070688047"/>
      </c:scatterChart>
      <c:valAx>
        <c:axId val="1841085440"/>
        <c:scaling>
          <c:orientation val="minMax"/>
        </c:scaling>
        <c:delete val="0"/>
        <c:axPos val="b"/>
        <c:majorGridlines>
          <c:spPr>
            <a:ln w="9525" cap="flat" cmpd="sng" algn="ctr">
              <a:solidFill>
                <a:schemeClr val="lt1">
                  <a:alpha val="10000"/>
                  <a:lumMod val="95000"/>
                </a:schemeClr>
              </a:solidFill>
              <a:prstDash val="solid"/>
              <a:round/>
            </a:ln>
          </c:spPr>
        </c:majorGridlines>
        <c:numFmt formatCode="0.0000" sourceLinked="1"/>
        <c:majorTickMark val="none"/>
        <c:minorTickMark val="none"/>
        <c:tickLblPos val="nextTo"/>
        <c:spPr>
          <a:noFill/>
          <a:ln w="9525" cap="flat" cmpd="sng" algn="ctr">
            <a:solidFill>
              <a:schemeClr val="lt1">
                <a:lumMod val="50000"/>
              </a:schemeClr>
            </a:solidFill>
            <a:prstDash val="solid"/>
          </a:ln>
        </c:spPr>
        <c:txPr>
          <a:bodyPr rot="-60000000" spcFirstLastPara="1" vertOverflow="ellipsis" vert="horz" wrap="square" anchor="ctr" anchorCtr="1"/>
          <a:lstStyle/>
          <a:p>
            <a:pPr>
              <a:defRPr sz="900" b="0" i="0" strike="noStrike" kern="1200" baseline="0">
                <a:solidFill>
                  <a:schemeClr val="lt1">
                    <a:lumMod val="75000"/>
                  </a:schemeClr>
                </a:solidFill>
                <a:latin typeface="+mn-lt"/>
                <a:ea typeface="+mn-ea"/>
                <a:cs typeface="+mn-cs"/>
              </a:defRPr>
            </a:pPr>
            <a:endParaRPr lang="it-VI"/>
          </a:p>
        </c:txPr>
        <c:crossAx val="1070688047"/>
        <c:crosses val="autoZero"/>
        <c:crossBetween val="midCat"/>
      </c:valAx>
      <c:valAx>
        <c:axId val="1070688047"/>
        <c:scaling>
          <c:orientation val="minMax"/>
        </c:scaling>
        <c:delete val="0"/>
        <c:axPos val="l"/>
        <c:majorGridlines>
          <c:spPr>
            <a:ln w="9525" cap="flat" cmpd="sng" algn="ctr">
              <a:solidFill>
                <a:schemeClr val="lt1">
                  <a:alpha val="10000"/>
                  <a:lumMod val="95000"/>
                </a:schemeClr>
              </a:solidFill>
              <a:prstDash val="solid"/>
              <a:round/>
            </a:ln>
          </c:spPr>
        </c:majorGridlines>
        <c:numFmt formatCode="0.0000" sourceLinked="1"/>
        <c:majorTickMark val="none"/>
        <c:minorTickMark val="none"/>
        <c:tickLblPos val="nextTo"/>
        <c:spPr>
          <a:noFill/>
          <a:ln w="9525" cap="flat" cmpd="sng" algn="ctr">
            <a:solidFill>
              <a:schemeClr val="lt1">
                <a:lumMod val="50000"/>
              </a:schemeClr>
            </a:solidFill>
            <a:prstDash val="solid"/>
          </a:ln>
        </c:spPr>
        <c:txPr>
          <a:bodyPr rot="-60000000" spcFirstLastPara="1" vertOverflow="ellipsis" vert="horz" wrap="square" anchor="ctr" anchorCtr="1"/>
          <a:lstStyle/>
          <a:p>
            <a:pPr>
              <a:defRPr sz="900" b="0" i="0" strike="noStrike" kern="1200" baseline="0">
                <a:solidFill>
                  <a:schemeClr val="lt1">
                    <a:lumMod val="75000"/>
                  </a:schemeClr>
                </a:solidFill>
                <a:latin typeface="+mn-lt"/>
                <a:ea typeface="+mn-ea"/>
                <a:cs typeface="+mn-cs"/>
              </a:defRPr>
            </a:pPr>
            <a:endParaRPr lang="it-VI"/>
          </a:p>
        </c:txPr>
        <c:crossAx val="1841085440"/>
        <c:crosses val="autoZero"/>
        <c:crossBetween val="midCat"/>
      </c:valAx>
    </c:plotArea>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Comparison of the efficient frontier with short sales or without</a:t>
            </a:r>
          </a:p>
        </c:rich>
      </c:tx>
      <c:overlay val="0"/>
      <c:spPr>
        <a:noFill/>
        <a:ln>
          <a:noFill/>
          <a:prstDash val="solid"/>
        </a:ln>
      </c:spPr>
    </c:title>
    <c:autoTitleDeleted val="0"/>
    <c:plotArea>
      <c:layout/>
      <c:scatterChart>
        <c:scatterStyle val="smoothMarker"/>
        <c:varyColors val="0"/>
        <c:ser>
          <c:idx val="0"/>
          <c:order val="0"/>
          <c:tx>
            <c:strRef>
              <c:f>'Efficient Frontier'!$A$44</c:f>
              <c:strCache>
                <c:ptCount val="1"/>
                <c:pt idx="0">
                  <c:v>Short Sales allowed</c:v>
                </c:pt>
              </c:strCache>
            </c:strRef>
          </c:tx>
          <c:spPr>
            <a:ln w="9525" cap="rnd">
              <a:solidFill>
                <a:schemeClr val="accent1"/>
              </a:solidFill>
              <a:prstDash val="solid"/>
              <a:round/>
            </a:ln>
          </c:spPr>
          <c:marker>
            <c:symbol val="circle"/>
            <c:size val="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9525" cap="rnd">
                <a:solidFill>
                  <a:schemeClr val="accent1"/>
                </a:solidFill>
                <a:prstDash val="solid"/>
                <a:round/>
              </a:ln>
            </c:spPr>
          </c:marker>
          <c:xVal>
            <c:numRef>
              <c:f>'Efficient Frontier'!$C$62:$H$62</c:f>
              <c:numCache>
                <c:formatCode>0.0000</c:formatCode>
                <c:ptCount val="6"/>
                <c:pt idx="0">
                  <c:v>0.11534738735459156</c:v>
                </c:pt>
                <c:pt idx="1">
                  <c:v>0.12930483830376444</c:v>
                </c:pt>
                <c:pt idx="2">
                  <c:v>0.11534738745107555</c:v>
                </c:pt>
                <c:pt idx="3">
                  <c:v>0.16421671400469712</c:v>
                </c:pt>
                <c:pt idx="4">
                  <c:v>0.26067471584518292</c:v>
                </c:pt>
                <c:pt idx="5">
                  <c:v>0.36913081070991394</c:v>
                </c:pt>
              </c:numCache>
            </c:numRef>
          </c:xVal>
          <c:yVal>
            <c:numRef>
              <c:f>'Efficient Frontier'!$C$60:$H$60</c:f>
              <c:numCache>
                <c:formatCode>0.0000</c:formatCode>
                <c:ptCount val="6"/>
                <c:pt idx="0">
                  <c:v>9.9995954949592E-2</c:v>
                </c:pt>
                <c:pt idx="1">
                  <c:v>4.9999998366681321E-2</c:v>
                </c:pt>
                <c:pt idx="2">
                  <c:v>0.1000000000001082</c:v>
                </c:pt>
                <c:pt idx="3">
                  <c:v>0.20000000274939114</c:v>
                </c:pt>
                <c:pt idx="4">
                  <c:v>0.30000000601648169</c:v>
                </c:pt>
                <c:pt idx="5">
                  <c:v>0.40000000928341806</c:v>
                </c:pt>
              </c:numCache>
            </c:numRef>
          </c:yVal>
          <c:smooth val="1"/>
          <c:extLst>
            <c:ext xmlns:c16="http://schemas.microsoft.com/office/drawing/2014/chart" uri="{C3380CC4-5D6E-409C-BE32-E72D297353CC}">
              <c16:uniqueId val="{00000006-462A-EC4F-8006-ED3D90955A91}"/>
            </c:ext>
          </c:extLst>
        </c:ser>
        <c:ser>
          <c:idx val="1"/>
          <c:order val="1"/>
          <c:tx>
            <c:strRef>
              <c:f>'Efficient Frontier'!$A$24</c:f>
              <c:strCache>
                <c:ptCount val="1"/>
                <c:pt idx="0">
                  <c:v>Short Sales not allowed</c:v>
                </c:pt>
              </c:strCache>
            </c:strRef>
          </c:tx>
          <c:spPr>
            <a:ln w="9525" cap="rnd">
              <a:solidFill>
                <a:schemeClr val="accent2"/>
              </a:solidFill>
              <a:prstDash val="solid"/>
              <a:round/>
            </a:ln>
          </c:spPr>
          <c:marker>
            <c:symbol val="circle"/>
            <c:size val="6"/>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9525" cap="rnd">
                <a:solidFill>
                  <a:schemeClr val="accent2"/>
                </a:solidFill>
                <a:prstDash val="solid"/>
                <a:round/>
              </a:ln>
            </c:spPr>
          </c:marker>
          <c:xVal>
            <c:numRef>
              <c:f>'Efficient Frontier'!$C$42:$H$42</c:f>
              <c:numCache>
                <c:formatCode>0.00%</c:formatCode>
                <c:ptCount val="6"/>
                <c:pt idx="0">
                  <c:v>0.1238455404499544</c:v>
                </c:pt>
                <c:pt idx="1">
                  <c:v>0.12919836496151091</c:v>
                </c:pt>
                <c:pt idx="2">
                  <c:v>0.14344330678339309</c:v>
                </c:pt>
                <c:pt idx="3">
                  <c:v>0.16435340018324249</c:v>
                </c:pt>
                <c:pt idx="4">
                  <c:v>0.1967030807807913</c:v>
                </c:pt>
                <c:pt idx="5">
                  <c:v>0.25607976259405568</c:v>
                </c:pt>
              </c:numCache>
            </c:numRef>
          </c:xVal>
          <c:yVal>
            <c:numRef>
              <c:f>'Efficient Frontier'!$C$40:$H$40</c:f>
              <c:numCache>
                <c:formatCode>0.00%</c:formatCode>
                <c:ptCount val="6"/>
                <c:pt idx="0">
                  <c:v>0.1050871796645447</c:v>
                </c:pt>
                <c:pt idx="1">
                  <c:v>0.13008717978351131</c:v>
                </c:pt>
                <c:pt idx="2">
                  <c:v>0.15508718068879249</c:v>
                </c:pt>
                <c:pt idx="3">
                  <c:v>0.1800871812376906</c:v>
                </c:pt>
                <c:pt idx="4">
                  <c:v>0.20508718966454459</c:v>
                </c:pt>
                <c:pt idx="5">
                  <c:v>0.22331505841361121</c:v>
                </c:pt>
              </c:numCache>
            </c:numRef>
          </c:yVal>
          <c:smooth val="1"/>
          <c:extLst>
            <c:ext xmlns:c16="http://schemas.microsoft.com/office/drawing/2014/chart" uri="{C3380CC4-5D6E-409C-BE32-E72D297353CC}">
              <c16:uniqueId val="{0000000D-462A-EC4F-8006-ED3D90955A91}"/>
            </c:ext>
          </c:extLst>
        </c:ser>
        <c:dLbls>
          <c:showLegendKey val="0"/>
          <c:showVal val="0"/>
          <c:showCatName val="0"/>
          <c:showSerName val="0"/>
          <c:showPercent val="0"/>
          <c:showBubbleSize val="0"/>
        </c:dLbls>
        <c:axId val="1841085440"/>
        <c:axId val="1070688047"/>
      </c:scatterChart>
      <c:valAx>
        <c:axId val="1841085440"/>
        <c:scaling>
          <c:orientation val="minMax"/>
        </c:scaling>
        <c:delete val="0"/>
        <c:axPos val="b"/>
        <c:majorGridlines>
          <c:spPr>
            <a:ln w="9525" cap="flat" cmpd="sng" algn="ctr">
              <a:solidFill>
                <a:schemeClr val="lt1">
                  <a:alpha val="10000"/>
                  <a:lumMod val="95000"/>
                </a:schemeClr>
              </a:solidFill>
              <a:prstDash val="solid"/>
              <a:round/>
            </a:ln>
          </c:spPr>
        </c:majorGridlines>
        <c:numFmt formatCode="0.0000" sourceLinked="1"/>
        <c:majorTickMark val="none"/>
        <c:minorTickMark val="none"/>
        <c:tickLblPos val="nextTo"/>
        <c:spPr>
          <a:noFill/>
          <a:ln w="9525" cap="flat" cmpd="sng" algn="ctr">
            <a:solidFill>
              <a:schemeClr val="lt1">
                <a:lumMod val="50000"/>
              </a:schemeClr>
            </a:solidFill>
            <a:prstDash val="solid"/>
          </a:ln>
        </c:spPr>
        <c:txPr>
          <a:bodyPr rot="-60000000" spcFirstLastPara="1" vertOverflow="ellipsis" vert="horz" wrap="square" anchor="ctr" anchorCtr="1"/>
          <a:lstStyle/>
          <a:p>
            <a:pPr>
              <a:defRPr sz="900" b="0" i="0" strike="noStrike" kern="1200" baseline="0">
                <a:solidFill>
                  <a:schemeClr val="lt1">
                    <a:lumMod val="75000"/>
                  </a:schemeClr>
                </a:solidFill>
                <a:latin typeface="+mn-lt"/>
                <a:ea typeface="+mn-ea"/>
                <a:cs typeface="+mn-cs"/>
              </a:defRPr>
            </a:pPr>
            <a:endParaRPr lang="it-VI"/>
          </a:p>
        </c:txPr>
        <c:crossAx val="1070688047"/>
        <c:crosses val="autoZero"/>
        <c:crossBetween val="midCat"/>
      </c:valAx>
      <c:valAx>
        <c:axId val="1070688047"/>
        <c:scaling>
          <c:orientation val="minMax"/>
        </c:scaling>
        <c:delete val="0"/>
        <c:axPos val="l"/>
        <c:majorGridlines>
          <c:spPr>
            <a:ln w="9525" cap="flat" cmpd="sng" algn="ctr">
              <a:solidFill>
                <a:schemeClr val="lt1">
                  <a:alpha val="10000"/>
                  <a:lumMod val="95000"/>
                </a:schemeClr>
              </a:solidFill>
              <a:prstDash val="solid"/>
              <a:round/>
            </a:ln>
          </c:spPr>
        </c:majorGridlines>
        <c:numFmt formatCode="0.0000" sourceLinked="1"/>
        <c:majorTickMark val="none"/>
        <c:minorTickMark val="none"/>
        <c:tickLblPos val="nextTo"/>
        <c:spPr>
          <a:noFill/>
          <a:ln w="9525" cap="flat" cmpd="sng" algn="ctr">
            <a:solidFill>
              <a:schemeClr val="lt1">
                <a:lumMod val="50000"/>
              </a:schemeClr>
            </a:solidFill>
            <a:prstDash val="solid"/>
          </a:ln>
        </c:spPr>
        <c:txPr>
          <a:bodyPr rot="-60000000" spcFirstLastPara="1" vertOverflow="ellipsis" vert="horz" wrap="square" anchor="ctr" anchorCtr="1"/>
          <a:lstStyle/>
          <a:p>
            <a:pPr>
              <a:defRPr sz="900" b="0" i="0" strike="noStrike" kern="1200" baseline="0">
                <a:solidFill>
                  <a:schemeClr val="lt1">
                    <a:lumMod val="75000"/>
                  </a:schemeClr>
                </a:solidFill>
                <a:latin typeface="+mn-lt"/>
                <a:ea typeface="+mn-ea"/>
                <a:cs typeface="+mn-cs"/>
              </a:defRPr>
            </a:pPr>
            <a:endParaRPr lang="it-VI"/>
          </a:p>
        </c:txPr>
        <c:crossAx val="1841085440"/>
        <c:crosses val="autoZero"/>
        <c:crossBetween val="midCat"/>
      </c:valAx>
    </c:plotArea>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The efficient frontier with risk-free security with short sales allowed</a:t>
            </a:r>
          </a:p>
        </c:rich>
      </c:tx>
      <c:overlay val="0"/>
      <c:spPr>
        <a:noFill/>
        <a:ln>
          <a:noFill/>
          <a:prstDash val="solid"/>
        </a:ln>
      </c:spPr>
    </c:title>
    <c:autoTitleDeleted val="0"/>
    <c:plotArea>
      <c:layout/>
      <c:scatterChart>
        <c:scatterStyle val="smoothMarker"/>
        <c:varyColors val="0"/>
        <c:ser>
          <c:idx val="0"/>
          <c:order val="0"/>
          <c:tx>
            <c:v>B4</c:v>
          </c:tx>
          <c:spPr>
            <a:ln w="9525" cap="rnd">
              <a:solidFill>
                <a:schemeClr val="accent1"/>
              </a:solidFill>
              <a:prstDash val="solid"/>
              <a:round/>
            </a:ln>
          </c:spPr>
          <c:marker>
            <c:symbol val="circle"/>
            <c:size val="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9525" cap="rnd">
                <a:solidFill>
                  <a:schemeClr val="accent1"/>
                </a:solidFill>
                <a:prstDash val="solid"/>
                <a:round/>
              </a:ln>
            </c:spPr>
          </c:marker>
          <c:xVal>
            <c:numRef>
              <c:f>'Efficient Frontier'!$C$62:$H$62</c:f>
              <c:numCache>
                <c:formatCode>0.0000</c:formatCode>
                <c:ptCount val="6"/>
                <c:pt idx="0">
                  <c:v>0.11534738735459156</c:v>
                </c:pt>
                <c:pt idx="1">
                  <c:v>0.12930483830376444</c:v>
                </c:pt>
                <c:pt idx="2">
                  <c:v>0.11534738745107555</c:v>
                </c:pt>
                <c:pt idx="3">
                  <c:v>0.16421671400469712</c:v>
                </c:pt>
                <c:pt idx="4">
                  <c:v>0.26067471584518292</c:v>
                </c:pt>
                <c:pt idx="5">
                  <c:v>0.36913081070991394</c:v>
                </c:pt>
              </c:numCache>
            </c:numRef>
          </c:xVal>
          <c:yVal>
            <c:numRef>
              <c:f>'Efficient Frontier'!$C$60:$H$60</c:f>
              <c:numCache>
                <c:formatCode>0.0000</c:formatCode>
                <c:ptCount val="6"/>
                <c:pt idx="0">
                  <c:v>9.9995954949592E-2</c:v>
                </c:pt>
                <c:pt idx="1">
                  <c:v>4.9999998366681321E-2</c:v>
                </c:pt>
                <c:pt idx="2">
                  <c:v>0.1000000000001082</c:v>
                </c:pt>
                <c:pt idx="3">
                  <c:v>0.20000000274939114</c:v>
                </c:pt>
                <c:pt idx="4">
                  <c:v>0.30000000601648169</c:v>
                </c:pt>
                <c:pt idx="5">
                  <c:v>0.40000000928341806</c:v>
                </c:pt>
              </c:numCache>
            </c:numRef>
          </c:yVal>
          <c:smooth val="1"/>
          <c:extLst>
            <c:ext xmlns:c16="http://schemas.microsoft.com/office/drawing/2014/chart" uri="{C3380CC4-5D6E-409C-BE32-E72D297353CC}">
              <c16:uniqueId val="{00000006-3F38-AA47-A4F2-5CAF61FE4295}"/>
            </c:ext>
          </c:extLst>
        </c:ser>
        <c:ser>
          <c:idx val="1"/>
          <c:order val="1"/>
          <c:tx>
            <c:v>B5</c:v>
          </c:tx>
          <c:spPr>
            <a:ln w="9525" cap="rnd">
              <a:solidFill>
                <a:schemeClr val="accent2"/>
              </a:solidFill>
              <a:prstDash val="solid"/>
              <a:round/>
            </a:ln>
          </c:spPr>
          <c:marker>
            <c:symbol val="circle"/>
            <c:size val="6"/>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9525" cap="rnd">
                <a:solidFill>
                  <a:schemeClr val="accent2"/>
                </a:solidFill>
                <a:prstDash val="solid"/>
                <a:round/>
              </a:ln>
            </c:spPr>
          </c:marker>
          <c:xVal>
            <c:numRef>
              <c:f>'B.5-B.6-B.7'!$C$24:$H$24</c:f>
              <c:numCache>
                <c:formatCode>0.00%</c:formatCode>
                <c:ptCount val="6"/>
                <c:pt idx="0">
                  <c:v>3.5074192621100801E-7</c:v>
                </c:pt>
                <c:pt idx="1">
                  <c:v>1.5904010054573484E-2</c:v>
                </c:pt>
                <c:pt idx="2">
                  <c:v>6.4391848159408599E-2</c:v>
                </c:pt>
                <c:pt idx="3">
                  <c:v>0.16136752340797123</c:v>
                </c:pt>
                <c:pt idx="4">
                  <c:v>0.25834320562920932</c:v>
                </c:pt>
                <c:pt idx="5">
                  <c:v>0.35531887461739375</c:v>
                </c:pt>
              </c:numCache>
            </c:numRef>
          </c:xVal>
          <c:yVal>
            <c:numRef>
              <c:f>'B.5-B.6-B.7'!$C$22:$H$22</c:f>
              <c:numCache>
                <c:formatCode>0.00%</c:formatCode>
                <c:ptCount val="6"/>
                <c:pt idx="0">
                  <c:v>3.359989140365182E-2</c:v>
                </c:pt>
                <c:pt idx="1">
                  <c:v>4.9999999313935034E-2</c:v>
                </c:pt>
                <c:pt idx="2">
                  <c:v>9.9999999436753001E-2</c:v>
                </c:pt>
                <c:pt idx="3">
                  <c:v>0.19999999982289507</c:v>
                </c:pt>
                <c:pt idx="4">
                  <c:v>0.30000000718870373</c:v>
                </c:pt>
                <c:pt idx="5">
                  <c:v>0.40000000073413577</c:v>
                </c:pt>
              </c:numCache>
            </c:numRef>
          </c:yVal>
          <c:smooth val="1"/>
          <c:extLst>
            <c:ext xmlns:c16="http://schemas.microsoft.com/office/drawing/2014/chart" uri="{C3380CC4-5D6E-409C-BE32-E72D297353CC}">
              <c16:uniqueId val="{00000007-3F38-AA47-A4F2-5CAF61FE4295}"/>
            </c:ext>
          </c:extLst>
        </c:ser>
        <c:dLbls>
          <c:showLegendKey val="0"/>
          <c:showVal val="0"/>
          <c:showCatName val="0"/>
          <c:showSerName val="0"/>
          <c:showPercent val="0"/>
          <c:showBubbleSize val="0"/>
        </c:dLbls>
        <c:axId val="1841085440"/>
        <c:axId val="1070688047"/>
      </c:scatterChart>
      <c:valAx>
        <c:axId val="1841085440"/>
        <c:scaling>
          <c:orientation val="minMax"/>
        </c:scaling>
        <c:delete val="0"/>
        <c:axPos val="b"/>
        <c:majorGridlines>
          <c:spPr>
            <a:ln w="9525" cap="flat" cmpd="sng" algn="ctr">
              <a:solidFill>
                <a:schemeClr val="lt1">
                  <a:alpha val="10000"/>
                  <a:lumMod val="95000"/>
                </a:schemeClr>
              </a:solidFill>
              <a:prstDash val="solid"/>
              <a:round/>
            </a:ln>
          </c:spPr>
        </c:majorGridlines>
        <c:numFmt formatCode="0.0000" sourceLinked="1"/>
        <c:majorTickMark val="none"/>
        <c:minorTickMark val="none"/>
        <c:tickLblPos val="nextTo"/>
        <c:spPr>
          <a:noFill/>
          <a:ln w="9525" cap="flat" cmpd="sng" algn="ctr">
            <a:solidFill>
              <a:schemeClr val="lt1">
                <a:lumMod val="50000"/>
              </a:schemeClr>
            </a:solidFill>
            <a:prstDash val="solid"/>
          </a:ln>
        </c:spPr>
        <c:txPr>
          <a:bodyPr rot="-60000000" spcFirstLastPara="1" vertOverflow="ellipsis" vert="horz" wrap="square" anchor="ctr" anchorCtr="1"/>
          <a:lstStyle/>
          <a:p>
            <a:pPr>
              <a:defRPr sz="900" b="0" i="0" strike="noStrike" kern="1200" baseline="0">
                <a:solidFill>
                  <a:schemeClr val="lt1">
                    <a:lumMod val="75000"/>
                  </a:schemeClr>
                </a:solidFill>
                <a:latin typeface="+mn-lt"/>
                <a:ea typeface="+mn-ea"/>
                <a:cs typeface="+mn-cs"/>
              </a:defRPr>
            </a:pPr>
            <a:endParaRPr lang="it-VI"/>
          </a:p>
        </c:txPr>
        <c:crossAx val="1070688047"/>
        <c:crosses val="autoZero"/>
        <c:crossBetween val="midCat"/>
      </c:valAx>
      <c:valAx>
        <c:axId val="1070688047"/>
        <c:scaling>
          <c:orientation val="minMax"/>
        </c:scaling>
        <c:delete val="0"/>
        <c:axPos val="l"/>
        <c:majorGridlines>
          <c:spPr>
            <a:ln w="9525" cap="flat" cmpd="sng" algn="ctr">
              <a:solidFill>
                <a:schemeClr val="lt1">
                  <a:alpha val="10000"/>
                  <a:lumMod val="95000"/>
                </a:schemeClr>
              </a:solidFill>
              <a:prstDash val="solid"/>
              <a:round/>
            </a:ln>
          </c:spPr>
        </c:majorGridlines>
        <c:numFmt formatCode="0.0000" sourceLinked="1"/>
        <c:majorTickMark val="none"/>
        <c:minorTickMark val="none"/>
        <c:tickLblPos val="nextTo"/>
        <c:spPr>
          <a:noFill/>
          <a:ln w="9525" cap="flat" cmpd="sng" algn="ctr">
            <a:solidFill>
              <a:schemeClr val="lt1">
                <a:lumMod val="50000"/>
              </a:schemeClr>
            </a:solidFill>
            <a:prstDash val="solid"/>
          </a:ln>
        </c:spPr>
        <c:txPr>
          <a:bodyPr rot="-60000000" spcFirstLastPara="1" vertOverflow="ellipsis" vert="horz" wrap="square" anchor="ctr" anchorCtr="1"/>
          <a:lstStyle/>
          <a:p>
            <a:pPr>
              <a:defRPr sz="900" b="0" i="0" strike="noStrike" kern="1200" baseline="0">
                <a:solidFill>
                  <a:schemeClr val="lt1">
                    <a:lumMod val="75000"/>
                  </a:schemeClr>
                </a:solidFill>
                <a:latin typeface="+mn-lt"/>
                <a:ea typeface="+mn-ea"/>
                <a:cs typeface="+mn-cs"/>
              </a:defRPr>
            </a:pPr>
            <a:endParaRPr lang="it-VI"/>
          </a:p>
        </c:txPr>
        <c:crossAx val="1841085440"/>
        <c:crosses val="autoZero"/>
        <c:crossBetween val="midCat"/>
      </c:valAx>
    </c:plotArea>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The efficient frontier with risk-free security with short sales allowed</a:t>
            </a:r>
          </a:p>
        </c:rich>
      </c:tx>
      <c:overlay val="0"/>
      <c:spPr>
        <a:noFill/>
        <a:ln>
          <a:noFill/>
          <a:prstDash val="solid"/>
        </a:ln>
      </c:spPr>
    </c:title>
    <c:autoTitleDeleted val="0"/>
    <c:plotArea>
      <c:layout/>
      <c:scatterChart>
        <c:scatterStyle val="smoothMarker"/>
        <c:varyColors val="0"/>
        <c:ser>
          <c:idx val="0"/>
          <c:order val="0"/>
          <c:tx>
            <c:v>B4</c:v>
          </c:tx>
          <c:spPr>
            <a:ln w="9525" cap="rnd">
              <a:solidFill>
                <a:schemeClr val="accent1"/>
              </a:solidFill>
              <a:prstDash val="solid"/>
              <a:round/>
            </a:ln>
          </c:spPr>
          <c:marker>
            <c:symbol val="circle"/>
            <c:size val="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9525" cap="rnd">
                <a:solidFill>
                  <a:schemeClr val="accent1"/>
                </a:solidFill>
                <a:prstDash val="solid"/>
                <a:round/>
              </a:ln>
            </c:spPr>
          </c:marker>
          <c:xVal>
            <c:numRef>
              <c:f>'Efficient Frontier'!$C$62:$H$62</c:f>
              <c:numCache>
                <c:formatCode>0.0000</c:formatCode>
                <c:ptCount val="6"/>
                <c:pt idx="0">
                  <c:v>0.11534738735459156</c:v>
                </c:pt>
                <c:pt idx="1">
                  <c:v>0.12930483830376444</c:v>
                </c:pt>
                <c:pt idx="2">
                  <c:v>0.11534738745107555</c:v>
                </c:pt>
                <c:pt idx="3">
                  <c:v>0.16421671400469712</c:v>
                </c:pt>
                <c:pt idx="4">
                  <c:v>0.26067471584518292</c:v>
                </c:pt>
                <c:pt idx="5">
                  <c:v>0.36913081070991394</c:v>
                </c:pt>
              </c:numCache>
            </c:numRef>
          </c:xVal>
          <c:yVal>
            <c:numRef>
              <c:f>'Efficient Frontier'!$C$60:$H$60</c:f>
              <c:numCache>
                <c:formatCode>0.0000</c:formatCode>
                <c:ptCount val="6"/>
                <c:pt idx="0">
                  <c:v>9.9995954949592E-2</c:v>
                </c:pt>
                <c:pt idx="1">
                  <c:v>4.9999998366681321E-2</c:v>
                </c:pt>
                <c:pt idx="2">
                  <c:v>0.1000000000001082</c:v>
                </c:pt>
                <c:pt idx="3">
                  <c:v>0.20000000274939114</c:v>
                </c:pt>
                <c:pt idx="4">
                  <c:v>0.30000000601648169</c:v>
                </c:pt>
                <c:pt idx="5">
                  <c:v>0.40000000928341806</c:v>
                </c:pt>
              </c:numCache>
            </c:numRef>
          </c:yVal>
          <c:smooth val="1"/>
          <c:extLst>
            <c:ext xmlns:c16="http://schemas.microsoft.com/office/drawing/2014/chart" uri="{C3380CC4-5D6E-409C-BE32-E72D297353CC}">
              <c16:uniqueId val="{00000006-2895-4640-9061-EFF96D14495E}"/>
            </c:ext>
          </c:extLst>
        </c:ser>
        <c:ser>
          <c:idx val="1"/>
          <c:order val="1"/>
          <c:tx>
            <c:v>B5</c:v>
          </c:tx>
          <c:spPr>
            <a:ln w="9525" cap="rnd">
              <a:solidFill>
                <a:schemeClr val="accent2"/>
              </a:solidFill>
              <a:prstDash val="solid"/>
              <a:round/>
            </a:ln>
          </c:spPr>
          <c:marker>
            <c:symbol val="circle"/>
            <c:size val="6"/>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9525" cap="rnd">
                <a:solidFill>
                  <a:schemeClr val="accent2"/>
                </a:solidFill>
                <a:prstDash val="solid"/>
                <a:round/>
              </a:ln>
            </c:spPr>
          </c:marker>
          <c:xVal>
            <c:numRef>
              <c:f>'B.5-B.6-B.7'!$C$24:$H$24</c:f>
              <c:numCache>
                <c:formatCode>0.00%</c:formatCode>
                <c:ptCount val="6"/>
                <c:pt idx="0">
                  <c:v>3.5074192621100801E-7</c:v>
                </c:pt>
                <c:pt idx="1">
                  <c:v>1.5904010054573484E-2</c:v>
                </c:pt>
                <c:pt idx="2">
                  <c:v>6.4391848159408599E-2</c:v>
                </c:pt>
                <c:pt idx="3">
                  <c:v>0.16136752340797123</c:v>
                </c:pt>
                <c:pt idx="4">
                  <c:v>0.25834320562920932</c:v>
                </c:pt>
                <c:pt idx="5">
                  <c:v>0.35531887461739375</c:v>
                </c:pt>
              </c:numCache>
            </c:numRef>
          </c:xVal>
          <c:yVal>
            <c:numRef>
              <c:f>'B.5-B.6-B.7'!$C$22:$H$22</c:f>
              <c:numCache>
                <c:formatCode>0.00%</c:formatCode>
                <c:ptCount val="6"/>
                <c:pt idx="0">
                  <c:v>3.359989140365182E-2</c:v>
                </c:pt>
                <c:pt idx="1">
                  <c:v>4.9999999313935034E-2</c:v>
                </c:pt>
                <c:pt idx="2">
                  <c:v>9.9999999436753001E-2</c:v>
                </c:pt>
                <c:pt idx="3">
                  <c:v>0.19999999982289507</c:v>
                </c:pt>
                <c:pt idx="4">
                  <c:v>0.30000000718870373</c:v>
                </c:pt>
                <c:pt idx="5">
                  <c:v>0.40000000073413577</c:v>
                </c:pt>
              </c:numCache>
            </c:numRef>
          </c:yVal>
          <c:smooth val="1"/>
          <c:extLst>
            <c:ext xmlns:c16="http://schemas.microsoft.com/office/drawing/2014/chart" uri="{C3380CC4-5D6E-409C-BE32-E72D297353CC}">
              <c16:uniqueId val="{00000007-2895-4640-9061-EFF96D14495E}"/>
            </c:ext>
          </c:extLst>
        </c:ser>
        <c:ser>
          <c:idx val="2"/>
          <c:order val="2"/>
          <c:tx>
            <c:v>Portfolio with same volatility as equally weighted</c:v>
          </c:tx>
          <c:spPr>
            <a:ln w="9525" cap="rnd">
              <a:solidFill>
                <a:schemeClr val="accent3"/>
              </a:solidFill>
              <a:prstDash val="solid"/>
              <a:round/>
            </a:ln>
          </c:spPr>
          <c:marker>
            <c:symbol val="circle"/>
            <c:size val="6"/>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9525" cap="rnd">
                <a:solidFill>
                  <a:schemeClr val="accent3"/>
                </a:solidFill>
                <a:prstDash val="solid"/>
                <a:round/>
              </a:ln>
            </c:spPr>
          </c:marker>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75000"/>
                      </a:schemeClr>
                    </a:solidFill>
                    <a:latin typeface="+mn-lt"/>
                    <a:ea typeface="+mn-ea"/>
                    <a:cs typeface="+mn-cs"/>
                  </a:defRPr>
                </a:pPr>
                <a:endParaRPr lang="it-VI"/>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'B.5-B.6-B.7'!$C$62</c:f>
              <c:numCache>
                <c:formatCode>0.00%</c:formatCode>
                <c:ptCount val="1"/>
                <c:pt idx="0">
                  <c:v>0.16525137066172177</c:v>
                </c:pt>
              </c:numCache>
            </c:numRef>
          </c:xVal>
          <c:yVal>
            <c:numRef>
              <c:f>'B.5-B.6-B.7'!$C$60</c:f>
              <c:numCache>
                <c:formatCode>0.00%</c:formatCode>
                <c:ptCount val="1"/>
                <c:pt idx="0">
                  <c:v>0.20400497058885647</c:v>
                </c:pt>
              </c:numCache>
            </c:numRef>
          </c:yVal>
          <c:smooth val="1"/>
          <c:extLst>
            <c:ext xmlns:c16="http://schemas.microsoft.com/office/drawing/2014/chart" uri="{C3380CC4-5D6E-409C-BE32-E72D297353CC}">
              <c16:uniqueId val="{00000008-2895-4640-9061-EFF96D14495E}"/>
            </c:ext>
          </c:extLst>
        </c:ser>
        <c:dLbls>
          <c:showLegendKey val="0"/>
          <c:showVal val="0"/>
          <c:showCatName val="0"/>
          <c:showSerName val="0"/>
          <c:showPercent val="0"/>
          <c:showBubbleSize val="0"/>
        </c:dLbls>
        <c:axId val="1841085440"/>
        <c:axId val="1070688047"/>
      </c:scatterChart>
      <c:valAx>
        <c:axId val="1841085440"/>
        <c:scaling>
          <c:orientation val="minMax"/>
        </c:scaling>
        <c:delete val="0"/>
        <c:axPos val="b"/>
        <c:majorGridlines>
          <c:spPr>
            <a:ln w="9525" cap="flat" cmpd="sng" algn="ctr">
              <a:solidFill>
                <a:schemeClr val="lt1">
                  <a:alpha val="10000"/>
                  <a:lumMod val="95000"/>
                </a:schemeClr>
              </a:solidFill>
              <a:prstDash val="solid"/>
              <a:round/>
            </a:ln>
          </c:spPr>
        </c:majorGridlines>
        <c:numFmt formatCode="0.0000" sourceLinked="1"/>
        <c:majorTickMark val="none"/>
        <c:minorTickMark val="none"/>
        <c:tickLblPos val="nextTo"/>
        <c:spPr>
          <a:noFill/>
          <a:ln w="9525" cap="flat" cmpd="sng" algn="ctr">
            <a:solidFill>
              <a:schemeClr val="lt1">
                <a:lumMod val="50000"/>
              </a:schemeClr>
            </a:solidFill>
            <a:prstDash val="solid"/>
          </a:ln>
        </c:spPr>
        <c:txPr>
          <a:bodyPr rot="-60000000" spcFirstLastPara="1" vertOverflow="ellipsis" vert="horz" wrap="square" anchor="ctr" anchorCtr="1"/>
          <a:lstStyle/>
          <a:p>
            <a:pPr>
              <a:defRPr sz="900" b="0" i="0" strike="noStrike" kern="1200" baseline="0">
                <a:solidFill>
                  <a:schemeClr val="lt1">
                    <a:lumMod val="75000"/>
                  </a:schemeClr>
                </a:solidFill>
                <a:latin typeface="+mn-lt"/>
                <a:ea typeface="+mn-ea"/>
                <a:cs typeface="+mn-cs"/>
              </a:defRPr>
            </a:pPr>
            <a:endParaRPr lang="it-VI"/>
          </a:p>
        </c:txPr>
        <c:crossAx val="1070688047"/>
        <c:crosses val="autoZero"/>
        <c:crossBetween val="midCat"/>
      </c:valAx>
      <c:valAx>
        <c:axId val="1070688047"/>
        <c:scaling>
          <c:orientation val="minMax"/>
        </c:scaling>
        <c:delete val="0"/>
        <c:axPos val="l"/>
        <c:majorGridlines>
          <c:spPr>
            <a:ln w="9525" cap="flat" cmpd="sng" algn="ctr">
              <a:solidFill>
                <a:schemeClr val="lt1">
                  <a:alpha val="10000"/>
                  <a:lumMod val="95000"/>
                </a:schemeClr>
              </a:solidFill>
              <a:prstDash val="solid"/>
              <a:round/>
            </a:ln>
          </c:spPr>
        </c:majorGridlines>
        <c:numFmt formatCode="0.0000" sourceLinked="1"/>
        <c:majorTickMark val="none"/>
        <c:minorTickMark val="none"/>
        <c:tickLblPos val="nextTo"/>
        <c:spPr>
          <a:noFill/>
          <a:ln w="9525" cap="flat" cmpd="sng" algn="ctr">
            <a:solidFill>
              <a:schemeClr val="lt1">
                <a:lumMod val="50000"/>
              </a:schemeClr>
            </a:solidFill>
            <a:prstDash val="solid"/>
          </a:ln>
        </c:spPr>
        <c:txPr>
          <a:bodyPr rot="-60000000" spcFirstLastPara="1" vertOverflow="ellipsis" vert="horz" wrap="square" anchor="ctr" anchorCtr="1"/>
          <a:lstStyle/>
          <a:p>
            <a:pPr>
              <a:defRPr sz="900" b="0" i="0" strike="noStrike" kern="1200" baseline="0">
                <a:solidFill>
                  <a:schemeClr val="lt1">
                    <a:lumMod val="75000"/>
                  </a:schemeClr>
                </a:solidFill>
                <a:latin typeface="+mn-lt"/>
                <a:ea typeface="+mn-ea"/>
                <a:cs typeface="+mn-cs"/>
              </a:defRPr>
            </a:pPr>
            <a:endParaRPr lang="it-VI"/>
          </a:p>
        </c:txPr>
        <c:crossAx val="1841085440"/>
        <c:crosses val="autoZero"/>
        <c:crossBetween val="midCat"/>
      </c:valAx>
    </c:plotArea>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400" b="1" i="0" strike="noStrike" kern="1200" baseline="0">
                <a:solidFill>
                  <a:schemeClr val="lt1">
                    <a:lumMod val="85000"/>
                  </a:schemeClr>
                </a:solidFill>
                <a:latin typeface="+mn-lt"/>
                <a:ea typeface="+mn-ea"/>
                <a:cs typeface="+mn-cs"/>
              </a:defRPr>
            </a:pPr>
            <a:r>
              <a:rPr lang="fr-FR"/>
              <a:t>Relationship between ESG Scores and Alphas</a:t>
            </a:r>
          </a:p>
        </c:rich>
      </c:tx>
      <c:layout>
        <c:manualLayout>
          <c:xMode val="edge"/>
          <c:yMode val="edge"/>
          <c:x val="0.15496522309711289"/>
          <c:y val="1.388888888888889E-2"/>
        </c:manualLayout>
      </c:layout>
      <c:overlay val="0"/>
      <c:spPr>
        <a:noFill/>
        <a:ln>
          <a:noFill/>
          <a:prstDash val="solid"/>
        </a:ln>
      </c:spPr>
    </c:title>
    <c:autoTitleDeleted val="0"/>
    <c:plotArea>
      <c:layout/>
      <c:scatterChart>
        <c:scatterStyle val="lineMarker"/>
        <c:varyColors val="0"/>
        <c:ser>
          <c:idx val="0"/>
          <c:order val="0"/>
          <c:spPr>
            <a:ln w="25400" cap="rnd">
              <a:noFill/>
              <a:prstDash val="solid"/>
            </a:ln>
          </c:spPr>
          <c:marker>
            <c:symbol val="circle"/>
            <c:size val="3"/>
            <c:spPr>
              <a:solidFill>
                <a:schemeClr val="accent1">
                  <a:lumMod val="60000"/>
                  <a:lumOff val="40000"/>
                </a:schemeClr>
              </a:solidFill>
              <a:ln>
                <a:noFill/>
                <a:prstDash val="solid"/>
              </a:ln>
            </c:spPr>
          </c:marker>
          <c:xVal>
            <c:numRef>
              <c:f>'C.1-C.2-C.3'!$AL$21:$AL$32</c:f>
              <c:numCache>
                <c:formatCode>General</c:formatCode>
                <c:ptCount val="12"/>
                <c:pt idx="0">
                  <c:v>17.600000000000001</c:v>
                </c:pt>
                <c:pt idx="1">
                  <c:v>12.3</c:v>
                </c:pt>
                <c:pt idx="2">
                  <c:v>6.7</c:v>
                </c:pt>
                <c:pt idx="3">
                  <c:v>12.5</c:v>
                </c:pt>
                <c:pt idx="4">
                  <c:v>22.8</c:v>
                </c:pt>
                <c:pt idx="5">
                  <c:v>12.4</c:v>
                </c:pt>
                <c:pt idx="6">
                  <c:v>17.399999999999999</c:v>
                </c:pt>
                <c:pt idx="7">
                  <c:v>18.899999999999999</c:v>
                </c:pt>
                <c:pt idx="8">
                  <c:v>13.2</c:v>
                </c:pt>
                <c:pt idx="9">
                  <c:v>7.1</c:v>
                </c:pt>
                <c:pt idx="10">
                  <c:v>25</c:v>
                </c:pt>
                <c:pt idx="11">
                  <c:v>23.8</c:v>
                </c:pt>
              </c:numCache>
            </c:numRef>
          </c:xVal>
          <c:yVal>
            <c:numRef>
              <c:f>'C.1-C.2-C.3'!$AM$21:$AM$32</c:f>
              <c:numCache>
                <c:formatCode>0.00%</c:formatCode>
                <c:ptCount val="12"/>
                <c:pt idx="0">
                  <c:v>1.0869309083643501E-2</c:v>
                </c:pt>
                <c:pt idx="1">
                  <c:v>2.383410060619946E-3</c:v>
                </c:pt>
                <c:pt idx="2">
                  <c:v>5.5035071515828309E-3</c:v>
                </c:pt>
                <c:pt idx="3">
                  <c:v>3.3736568960174322E-3</c:v>
                </c:pt>
                <c:pt idx="4">
                  <c:v>2.0524165192532841E-3</c:v>
                </c:pt>
                <c:pt idx="5">
                  <c:v>1.499441775905217E-2</c:v>
                </c:pt>
                <c:pt idx="6">
                  <c:v>2.3792025360106499E-3</c:v>
                </c:pt>
                <c:pt idx="7">
                  <c:v>-5.663962301545155E-4</c:v>
                </c:pt>
                <c:pt idx="8">
                  <c:v>4.8460002799073348E-3</c:v>
                </c:pt>
                <c:pt idx="9">
                  <c:v>7.8150404630950299E-3</c:v>
                </c:pt>
                <c:pt idx="10">
                  <c:v>3.7759044292022688E-3</c:v>
                </c:pt>
                <c:pt idx="11">
                  <c:v>6.1939729599998269E-3</c:v>
                </c:pt>
              </c:numCache>
            </c:numRef>
          </c:yVal>
          <c:smooth val="0"/>
          <c:extLst>
            <c:ext xmlns:c16="http://schemas.microsoft.com/office/drawing/2014/chart" uri="{C3380CC4-5D6E-409C-BE32-E72D297353CC}">
              <c16:uniqueId val="{0000000C-328B-F14F-9B5F-7CE269BE373E}"/>
            </c:ext>
          </c:extLst>
        </c:ser>
        <c:dLbls>
          <c:showLegendKey val="0"/>
          <c:showVal val="0"/>
          <c:showCatName val="0"/>
          <c:showSerName val="0"/>
          <c:showPercent val="0"/>
          <c:showBubbleSize val="0"/>
        </c:dLbls>
        <c:axId val="1850024752"/>
        <c:axId val="1850020432"/>
      </c:scatterChart>
      <c:valAx>
        <c:axId val="1850024752"/>
        <c:scaling>
          <c:orientation val="minMax"/>
        </c:scaling>
        <c:delete val="0"/>
        <c:axPos val="b"/>
        <c:majorGridlines>
          <c:spPr>
            <a:ln w="9525" cap="flat" cmpd="sng" algn="ctr">
              <a:solidFill>
                <a:schemeClr val="dk1">
                  <a:alpha val="75000"/>
                  <a:lumMod val="65000"/>
                  <a:lumOff val="35000"/>
                </a:schemeClr>
              </a:solidFill>
              <a:prstDash val="solid"/>
              <a:round/>
            </a:ln>
          </c:spPr>
        </c:majorGridlines>
        <c:title>
          <c:tx>
            <c:rich>
              <a:bodyPr rot="0" spcFirstLastPara="1" vertOverflow="ellipsis" vert="horz" wrap="square" anchor="ctr" anchorCtr="1"/>
              <a:lstStyle/>
              <a:p>
                <a:pPr>
                  <a:defRPr sz="900" b="1" i="0" strike="noStrike" kern="1200" baseline="0">
                    <a:solidFill>
                      <a:schemeClr val="lt1">
                        <a:lumMod val="75000"/>
                      </a:schemeClr>
                    </a:solidFill>
                    <a:latin typeface="+mn-lt"/>
                    <a:ea typeface="+mn-ea"/>
                    <a:cs typeface="+mn-cs"/>
                  </a:defRPr>
                </a:pPr>
                <a:r>
                  <a:rPr lang="fr-FR"/>
                  <a:t>ESG Scores</a:t>
                </a:r>
              </a:p>
            </c:rich>
          </c:tx>
          <c:overlay val="0"/>
          <c:spPr>
            <a:noFill/>
            <a:ln>
              <a:noFill/>
              <a:prstDash val="solid"/>
            </a:ln>
          </c:spPr>
        </c:title>
        <c:numFmt formatCode="General" sourceLinked="1"/>
        <c:majorTickMark val="none"/>
        <c:minorTickMark val="none"/>
        <c:tickLblPos val="nextTo"/>
        <c:spPr>
          <a:noFill/>
          <a:ln w="9525" cap="flat" cmpd="sng" algn="ctr">
            <a:noFill/>
            <a:prstDash val="solid"/>
            <a:round/>
          </a:ln>
        </c:spPr>
        <c:txPr>
          <a:bodyPr rot="-60000000" spcFirstLastPara="1" vertOverflow="ellipsis" vert="horz" wrap="square" anchor="ctr" anchorCtr="1"/>
          <a:lstStyle/>
          <a:p>
            <a:pPr>
              <a:defRPr sz="900" b="0" i="0" strike="noStrike" kern="1200" baseline="0">
                <a:solidFill>
                  <a:schemeClr val="lt1">
                    <a:lumMod val="75000"/>
                  </a:schemeClr>
                </a:solidFill>
                <a:latin typeface="+mn-lt"/>
                <a:ea typeface="+mn-ea"/>
                <a:cs typeface="+mn-cs"/>
              </a:defRPr>
            </a:pPr>
            <a:endParaRPr lang="fr-FR"/>
          </a:p>
        </c:txPr>
        <c:crossAx val="1850020432"/>
        <c:crosses val="autoZero"/>
        <c:crossBetween val="midCat"/>
      </c:valAx>
      <c:valAx>
        <c:axId val="1850020432"/>
        <c:scaling>
          <c:orientation val="minMax"/>
        </c:scaling>
        <c:delete val="0"/>
        <c:axPos val="l"/>
        <c:majorGridlines>
          <c:spPr>
            <a:ln w="9525" cap="flat" cmpd="sng" algn="ctr">
              <a:solidFill>
                <a:schemeClr val="dk1">
                  <a:alpha val="75000"/>
                  <a:lumMod val="65000"/>
                  <a:lumOff val="35000"/>
                </a:schemeClr>
              </a:solidFill>
              <a:prstDash val="solid"/>
              <a:round/>
            </a:ln>
          </c:spPr>
        </c:majorGridlines>
        <c:title>
          <c:tx>
            <c:rich>
              <a:bodyPr rot="-5400000" spcFirstLastPara="1" vertOverflow="ellipsis" vert="horz" wrap="square" anchor="ctr" anchorCtr="1"/>
              <a:lstStyle/>
              <a:p>
                <a:pPr>
                  <a:defRPr sz="900" b="1" i="0" strike="noStrike" kern="1200" baseline="0">
                    <a:solidFill>
                      <a:schemeClr val="lt1">
                        <a:lumMod val="75000"/>
                      </a:schemeClr>
                    </a:solidFill>
                    <a:latin typeface="+mn-lt"/>
                    <a:ea typeface="+mn-ea"/>
                    <a:cs typeface="+mn-cs"/>
                  </a:defRPr>
                </a:pPr>
                <a:r>
                  <a:rPr lang="fr-FR"/>
                  <a:t>Alphas</a:t>
                </a:r>
              </a:p>
            </c:rich>
          </c:tx>
          <c:overlay val="0"/>
          <c:spPr>
            <a:noFill/>
            <a:ln>
              <a:noFill/>
              <a:prstDash val="solid"/>
            </a:ln>
          </c:spPr>
        </c:title>
        <c:numFmt formatCode="0.00%" sourceLinked="1"/>
        <c:majorTickMark val="none"/>
        <c:minorTickMark val="none"/>
        <c:tickLblPos val="nextTo"/>
        <c:spPr>
          <a:noFill/>
          <a:ln w="9525" cap="flat" cmpd="sng" algn="ctr">
            <a:solidFill>
              <a:schemeClr val="lt1">
                <a:lumMod val="50000"/>
              </a:schemeClr>
            </a:solidFill>
            <a:prstDash val="solid"/>
            <a:round/>
          </a:ln>
        </c:spPr>
        <c:txPr>
          <a:bodyPr rot="-60000000" spcFirstLastPara="1" vertOverflow="ellipsis" vert="horz" wrap="square" anchor="ctr" anchorCtr="1"/>
          <a:lstStyle/>
          <a:p>
            <a:pPr>
              <a:defRPr sz="900" b="0" i="0" strike="noStrike" kern="1200" baseline="0">
                <a:solidFill>
                  <a:schemeClr val="lt1">
                    <a:lumMod val="75000"/>
                  </a:schemeClr>
                </a:solidFill>
                <a:latin typeface="+mn-lt"/>
                <a:ea typeface="+mn-ea"/>
                <a:cs typeface="+mn-cs"/>
              </a:defRPr>
            </a:pPr>
            <a:endParaRPr lang="fr-FR"/>
          </a:p>
        </c:txPr>
        <c:crossAx val="1850024752"/>
        <c:crosses val="autoZero"/>
        <c:crossBetween val="midCat"/>
      </c:valAx>
    </c:plotArea>
    <c:plotVisOnly val="1"/>
    <c:dispBlanksAs val="gap"/>
    <c:showDLblsOverMax val="1"/>
  </c:chart>
  <c:spPr>
    <a:solidFill>
      <a:schemeClr val="dk1">
        <a:lumMod val="75000"/>
        <a:lumOff val="25000"/>
      </a:schemeClr>
    </a:solidFill>
    <a:ln w="9525" cap="flat" cmpd="sng" algn="ctr">
      <a:solidFill>
        <a:schemeClr val="dk1">
          <a:lumMod val="15000"/>
          <a:lumOff val="85000"/>
        </a:schemeClr>
      </a:solidFill>
      <a:prstDash val="solid"/>
      <a:roun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Risk / Return</a:t>
            </a:r>
          </a:p>
        </c:rich>
      </c:tx>
      <c:overlay val="0"/>
    </c:title>
    <c:autoTitleDeleted val="0"/>
    <c:plotArea>
      <c:layout/>
      <c:scatterChart>
        <c:scatterStyle val="lineMarker"/>
        <c:varyColors val="0"/>
        <c:ser>
          <c:idx val="0"/>
          <c:order val="0"/>
          <c:spPr>
            <a:ln w="19050">
              <a:noFill/>
            </a:ln>
          </c:spPr>
          <c:xVal>
            <c:numRef>
              <c:f>'returns vol VBA'!$C$22:$C$33</c:f>
              <c:numCache>
                <c:formatCode>0.00%</c:formatCode>
                <c:ptCount val="12"/>
                <c:pt idx="0">
                  <c:v>0.30807708800318545</c:v>
                </c:pt>
                <c:pt idx="1">
                  <c:v>0.32472828010926047</c:v>
                </c:pt>
                <c:pt idx="2">
                  <c:v>0.26405431457143436</c:v>
                </c:pt>
                <c:pt idx="3">
                  <c:v>0.15986201894949545</c:v>
                </c:pt>
                <c:pt idx="4">
                  <c:v>0.24892432345745738</c:v>
                </c:pt>
                <c:pt idx="5">
                  <c:v>0.25607976061492016</c:v>
                </c:pt>
                <c:pt idx="6">
                  <c:v>0.18902533034393665</c:v>
                </c:pt>
                <c:pt idx="7">
                  <c:v>0.38545621101508054</c:v>
                </c:pt>
                <c:pt idx="8">
                  <c:v>0.19126566492216562</c:v>
                </c:pt>
                <c:pt idx="9">
                  <c:v>0.22372408620221274</c:v>
                </c:pt>
                <c:pt idx="10">
                  <c:v>0.22560151844040685</c:v>
                </c:pt>
                <c:pt idx="11">
                  <c:v>0.20758408162150591</c:v>
                </c:pt>
              </c:numCache>
            </c:numRef>
          </c:xVal>
          <c:yVal>
            <c:numRef>
              <c:f>'returns vol VBA'!$D$22:$D$33</c:f>
              <c:numCache>
                <c:formatCode>0.00%</c:formatCode>
                <c:ptCount val="12"/>
                <c:pt idx="0">
                  <c:v>0.2202383077723912</c:v>
                </c:pt>
                <c:pt idx="1">
                  <c:v>0.12962459121653822</c:v>
                </c:pt>
                <c:pt idx="2">
                  <c:v>0.14118030411387539</c:v>
                </c:pt>
                <c:pt idx="3">
                  <c:v>7.6733314313049042E-2</c:v>
                </c:pt>
                <c:pt idx="4">
                  <c:v>7.8497477019912706E-2</c:v>
                </c:pt>
                <c:pt idx="5">
                  <c:v>0.22331505838284366</c:v>
                </c:pt>
                <c:pt idx="6">
                  <c:v>6.9856210560942517E-2</c:v>
                </c:pt>
                <c:pt idx="7">
                  <c:v>0.10071463097183411</c:v>
                </c:pt>
                <c:pt idx="8">
                  <c:v>9.9532473967231749E-2</c:v>
                </c:pt>
                <c:pt idx="9">
                  <c:v>0.16062517966914205</c:v>
                </c:pt>
                <c:pt idx="10">
                  <c:v>0.10785238476434159</c:v>
                </c:pt>
                <c:pt idx="11">
                  <c:v>0.13813721138433094</c:v>
                </c:pt>
              </c:numCache>
            </c:numRef>
          </c:yVal>
          <c:smooth val="0"/>
          <c:extLst>
            <c:ext xmlns:c16="http://schemas.microsoft.com/office/drawing/2014/chart" uri="{C3380CC4-5D6E-409C-BE32-E72D297353CC}">
              <c16:uniqueId val="{00000004-4B15-C04F-BC12-36DD6E498636}"/>
            </c:ext>
          </c:extLst>
        </c:ser>
        <c:ser>
          <c:idx val="1"/>
          <c:order val="1"/>
          <c:tx>
            <c:v>Portfolio</c:v>
          </c:tx>
          <c:spPr>
            <a:ln w="19050">
              <a:noFill/>
            </a:ln>
          </c:spPr>
          <c:marker>
            <c:symbol val="diamond"/>
            <c:size val="10"/>
            <c:spPr>
              <a:solidFill>
                <a:srgbClr val="FF0000"/>
              </a:solidFill>
              <a:ln>
                <a:solidFill>
                  <a:srgbClr val="FF0000"/>
                </a:solidFill>
                <a:prstDash val="solid"/>
              </a:ln>
            </c:spPr>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1"/>
              <c:pt idx="0">
                <c:v>0.16525137066172171</c:v>
              </c:pt>
            </c:numLit>
          </c:xVal>
          <c:yVal>
            <c:numLit>
              <c:formatCode>General</c:formatCode>
              <c:ptCount val="1"/>
              <c:pt idx="0">
                <c:v>0.12885892867803606</c:v>
              </c:pt>
            </c:numLit>
          </c:yVal>
          <c:smooth val="0"/>
          <c:extLst>
            <c:ext xmlns:c16="http://schemas.microsoft.com/office/drawing/2014/chart" uri="{C3380CC4-5D6E-409C-BE32-E72D297353CC}">
              <c16:uniqueId val="{00000005-4B15-C04F-BC12-36DD6E498636}"/>
            </c:ext>
          </c:extLst>
        </c:ser>
        <c:dLbls>
          <c:showLegendKey val="0"/>
          <c:showVal val="0"/>
          <c:showCatName val="0"/>
          <c:showSerName val="0"/>
          <c:showPercent val="0"/>
          <c:showBubbleSize val="0"/>
        </c:dLbls>
        <c:axId val="1925877807"/>
        <c:axId val="1984579823"/>
      </c:scatterChart>
      <c:valAx>
        <c:axId val="1925877807"/>
        <c:scaling>
          <c:orientation val="minMax"/>
        </c:scaling>
        <c:delete val="0"/>
        <c:axPos val="b"/>
        <c:title>
          <c:tx>
            <c:rich>
              <a:bodyPr/>
              <a:lstStyle/>
              <a:p>
                <a:pPr>
                  <a:defRPr/>
                </a:pPr>
                <a:r>
                  <a:rPr lang="en-US"/>
                  <a:t>Annualised SD</a:t>
                </a:r>
              </a:p>
            </c:rich>
          </c:tx>
          <c:overlay val="0"/>
        </c:title>
        <c:numFmt formatCode="0.00%" sourceLinked="1"/>
        <c:majorTickMark val="out"/>
        <c:minorTickMark val="none"/>
        <c:tickLblPos val="nextTo"/>
        <c:crossAx val="1984579823"/>
        <c:crosses val="autoZero"/>
        <c:crossBetween val="midCat"/>
      </c:valAx>
      <c:valAx>
        <c:axId val="1984579823"/>
        <c:scaling>
          <c:orientation val="minMax"/>
        </c:scaling>
        <c:delete val="0"/>
        <c:axPos val="l"/>
        <c:majorGridlines/>
        <c:title>
          <c:tx>
            <c:rich>
              <a:bodyPr/>
              <a:lstStyle/>
              <a:p>
                <a:pPr>
                  <a:defRPr/>
                </a:pPr>
                <a:r>
                  <a:rPr lang="en-US"/>
                  <a:t>Annualised Return</a:t>
                </a:r>
              </a:p>
            </c:rich>
          </c:tx>
          <c:overlay val="0"/>
        </c:title>
        <c:numFmt formatCode="0.00%" sourceLinked="1"/>
        <c:majorTickMark val="out"/>
        <c:minorTickMark val="none"/>
        <c:tickLblPos val="nextTo"/>
        <c:crossAx val="1925877807"/>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609600</xdr:colOff>
      <xdr:row>214</xdr:row>
      <xdr:rowOff>25400</xdr:rowOff>
    </xdr:from>
    <xdr:to>
      <xdr:col>10</xdr:col>
      <xdr:colOff>495300</xdr:colOff>
      <xdr:row>236</xdr:row>
      <xdr:rowOff>127000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523874</xdr:colOff>
      <xdr:row>25</xdr:row>
      <xdr:rowOff>81586</xdr:rowOff>
    </xdr:from>
    <xdr:to>
      <xdr:col>13</xdr:col>
      <xdr:colOff>357188</xdr:colOff>
      <xdr:row>42</xdr:row>
      <xdr:rowOff>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476249</xdr:colOff>
      <xdr:row>44</xdr:row>
      <xdr:rowOff>31750</xdr:rowOff>
    </xdr:from>
    <xdr:to>
      <xdr:col>16</xdr:col>
      <xdr:colOff>1371600</xdr:colOff>
      <xdr:row>61</xdr:row>
      <xdr:rowOff>33867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437806</xdr:colOff>
      <xdr:row>62</xdr:row>
      <xdr:rowOff>87397</xdr:rowOff>
    </xdr:from>
    <xdr:to>
      <xdr:col>16</xdr:col>
      <xdr:colOff>1310968</xdr:colOff>
      <xdr:row>82</xdr:row>
      <xdr:rowOff>40968</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541618</xdr:colOff>
      <xdr:row>3</xdr:row>
      <xdr:rowOff>0</xdr:rowOff>
    </xdr:from>
    <xdr:to>
      <xdr:col>17</xdr:col>
      <xdr:colOff>17557</xdr:colOff>
      <xdr:row>21</xdr:row>
      <xdr:rowOff>2117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432843</xdr:colOff>
      <xdr:row>46</xdr:row>
      <xdr:rowOff>3804</xdr:rowOff>
    </xdr:from>
    <xdr:to>
      <xdr:col>16</xdr:col>
      <xdr:colOff>528294</xdr:colOff>
      <xdr:row>63</xdr:row>
      <xdr:rowOff>5921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39</xdr:col>
      <xdr:colOff>263524</xdr:colOff>
      <xdr:row>18</xdr:row>
      <xdr:rowOff>177800</xdr:rowOff>
    </xdr:from>
    <xdr:to>
      <xdr:col>45</xdr:col>
      <xdr:colOff>63499</xdr:colOff>
      <xdr:row>32</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317500</xdr:colOff>
      <xdr:row>19</xdr:row>
      <xdr:rowOff>114300</xdr:rowOff>
    </xdr:from>
    <xdr:to>
      <xdr:col>10</xdr:col>
      <xdr:colOff>317500</xdr:colOff>
      <xdr:row>32</xdr:row>
      <xdr:rowOff>165100</xdr:rowOff>
    </xdr:to>
    <xdr:graphicFrame macro="">
      <xdr:nvGraphicFramePr>
        <xdr:cNvPr id="5" name="Chart 4">
          <a:extLst>
            <a:ext uri="{FF2B5EF4-FFF2-40B4-BE49-F238E27FC236}">
              <a16:creationId xmlns:a16="http://schemas.microsoft.com/office/drawing/2014/main" id="{65D074C9-8929-5590-37CD-3BDEC237E8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F1:T196"/>
  <sheetViews>
    <sheetView zoomScale="68" workbookViewId="0">
      <selection activeCell="G30" sqref="G30"/>
    </sheetView>
  </sheetViews>
  <sheetFormatPr baseColWidth="10" defaultColWidth="11.5" defaultRowHeight="15" x14ac:dyDescent="0.2"/>
  <cols>
    <col min="6" max="6" width="20.1640625" customWidth="1"/>
    <col min="18" max="18" width="20.1640625" customWidth="1"/>
    <col min="19" max="19" width="12.6640625" bestFit="1" customWidth="1"/>
    <col min="20" max="20" width="29.6640625" bestFit="1" customWidth="1"/>
  </cols>
  <sheetData>
    <row r="1" spans="6:20" ht="15" customHeight="1" x14ac:dyDescent="0.2">
      <c r="G1" s="14" t="s">
        <v>3</v>
      </c>
      <c r="H1" s="14"/>
      <c r="I1" s="14"/>
      <c r="J1" s="14"/>
      <c r="K1" s="14"/>
      <c r="L1" s="14"/>
      <c r="M1" s="14"/>
      <c r="N1" s="14"/>
      <c r="O1" s="14"/>
      <c r="P1" s="14"/>
      <c r="Q1" s="14"/>
      <c r="R1" s="15"/>
      <c r="S1" s="122" t="s">
        <v>41</v>
      </c>
      <c r="T1" s="128" t="s">
        <v>42</v>
      </c>
    </row>
    <row r="2" spans="6:20" ht="16" customHeight="1" thickBot="1" x14ac:dyDescent="0.25">
      <c r="F2" s="3" t="s">
        <v>5</v>
      </c>
      <c r="G2" s="6">
        <v>1</v>
      </c>
      <c r="H2" s="1">
        <v>2</v>
      </c>
      <c r="I2" s="1">
        <v>3</v>
      </c>
      <c r="J2" s="1">
        <v>4</v>
      </c>
      <c r="K2" s="1">
        <v>5</v>
      </c>
      <c r="L2" s="1">
        <v>6</v>
      </c>
      <c r="M2" s="1">
        <v>7</v>
      </c>
      <c r="N2" s="1">
        <v>8</v>
      </c>
      <c r="O2" s="1">
        <v>9</v>
      </c>
      <c r="P2" s="1">
        <v>10</v>
      </c>
      <c r="Q2" s="1">
        <v>11</v>
      </c>
      <c r="R2" s="2">
        <v>12</v>
      </c>
      <c r="S2" s="123"/>
      <c r="T2" s="129"/>
    </row>
    <row r="3" spans="6:20" ht="33" customHeight="1" thickBot="1" x14ac:dyDescent="0.25">
      <c r="F3" s="4" t="s">
        <v>8</v>
      </c>
      <c r="G3" s="11" t="s">
        <v>9</v>
      </c>
      <c r="H3" s="11" t="s">
        <v>10</v>
      </c>
      <c r="I3" s="11" t="s">
        <v>11</v>
      </c>
      <c r="J3" s="11" t="s">
        <v>12</v>
      </c>
      <c r="K3" s="11" t="s">
        <v>13</v>
      </c>
      <c r="L3" s="11" t="s">
        <v>14</v>
      </c>
      <c r="M3" s="11" t="s">
        <v>15</v>
      </c>
      <c r="N3" s="11" t="s">
        <v>16</v>
      </c>
      <c r="O3" s="11" t="s">
        <v>17</v>
      </c>
      <c r="P3" s="11" t="s">
        <v>18</v>
      </c>
      <c r="Q3" s="11" t="s">
        <v>19</v>
      </c>
      <c r="R3" s="11" t="s">
        <v>20</v>
      </c>
      <c r="S3" s="7" t="s">
        <v>43</v>
      </c>
      <c r="T3" s="8" t="s">
        <v>44</v>
      </c>
    </row>
    <row r="4" spans="6:20" x14ac:dyDescent="0.2">
      <c r="F4" s="5" t="s">
        <v>21</v>
      </c>
      <c r="G4" s="11" t="s">
        <v>22</v>
      </c>
      <c r="H4" s="11" t="s">
        <v>23</v>
      </c>
      <c r="I4" s="11" t="s">
        <v>24</v>
      </c>
      <c r="J4" s="11" t="s">
        <v>25</v>
      </c>
      <c r="K4" s="11" t="s">
        <v>26</v>
      </c>
      <c r="L4" s="11" t="s">
        <v>27</v>
      </c>
      <c r="M4" s="11" t="s">
        <v>28</v>
      </c>
      <c r="N4" s="11" t="s">
        <v>29</v>
      </c>
      <c r="O4" s="11" t="s">
        <v>30</v>
      </c>
      <c r="P4" s="11" t="s">
        <v>31</v>
      </c>
      <c r="Q4" s="11" t="s">
        <v>32</v>
      </c>
      <c r="R4" s="11" t="s">
        <v>33</v>
      </c>
      <c r="S4" s="124"/>
      <c r="T4" s="125"/>
    </row>
    <row r="5" spans="6:20" x14ac:dyDescent="0.2">
      <c r="F5" s="5" t="s">
        <v>45</v>
      </c>
      <c r="G5" s="12"/>
      <c r="H5" s="12"/>
      <c r="I5" s="12"/>
      <c r="J5" s="12"/>
      <c r="K5" s="12"/>
      <c r="L5" s="12"/>
      <c r="M5" s="12"/>
      <c r="N5" s="12"/>
      <c r="O5" s="12"/>
      <c r="P5" s="12"/>
      <c r="Q5" s="12"/>
      <c r="R5" s="13"/>
      <c r="S5" s="126"/>
      <c r="T5" s="127"/>
    </row>
    <row r="6" spans="6:20" x14ac:dyDescent="0.2">
      <c r="F6" s="3" t="s">
        <v>46</v>
      </c>
      <c r="G6" s="9"/>
      <c r="H6" s="9"/>
      <c r="I6" s="9"/>
      <c r="J6" s="9"/>
      <c r="K6" s="9"/>
      <c r="L6" s="9"/>
      <c r="M6" s="9"/>
      <c r="N6" s="9"/>
      <c r="O6" s="9"/>
      <c r="P6" s="9"/>
      <c r="Q6" s="9"/>
      <c r="R6" s="10"/>
      <c r="S6" s="126"/>
      <c r="T6" s="127"/>
    </row>
    <row r="7" spans="6:20" x14ac:dyDescent="0.2">
      <c r="F7" s="17" t="s">
        <v>47</v>
      </c>
      <c r="G7" s="98">
        <v>5.3556299299999999E-2</v>
      </c>
      <c r="H7" s="98">
        <v>5.6714491499999999E-2</v>
      </c>
      <c r="I7" s="98">
        <v>0.1031175696</v>
      </c>
      <c r="J7" s="98">
        <v>3.4665954300000003E-2</v>
      </c>
      <c r="K7" s="98">
        <v>7.4688174999999996E-2</v>
      </c>
      <c r="L7" s="98">
        <v>0.171329115</v>
      </c>
      <c r="M7" s="98">
        <v>-7.1324318000000001E-3</v>
      </c>
      <c r="N7" s="98">
        <v>0.177323487</v>
      </c>
      <c r="O7" s="98">
        <v>7.96332602E-2</v>
      </c>
      <c r="P7" s="98">
        <v>0.11136323970000001</v>
      </c>
      <c r="Q7" s="98">
        <v>2.53598729E-2</v>
      </c>
      <c r="R7" s="99">
        <v>6.1949132599999998E-2</v>
      </c>
      <c r="S7" s="100">
        <v>6.4280546800000005E-2</v>
      </c>
      <c r="T7" s="81">
        <v>2.0000000000000001E-4</v>
      </c>
    </row>
    <row r="8" spans="6:20" x14ac:dyDescent="0.2">
      <c r="F8" s="18" t="s">
        <v>48</v>
      </c>
      <c r="G8" s="101">
        <v>3.2249119999999999E-2</v>
      </c>
      <c r="H8" s="101">
        <v>7.2840730999999999E-3</v>
      </c>
      <c r="I8" s="101">
        <v>-3.9403689000000004E-3</v>
      </c>
      <c r="J8" s="101">
        <v>3.6466851100000003E-2</v>
      </c>
      <c r="K8" s="101">
        <v>9.21554391E-2</v>
      </c>
      <c r="L8" s="101">
        <v>-8.9851010999999995E-2</v>
      </c>
      <c r="M8" s="101">
        <v>4.0163444999999999E-2</v>
      </c>
      <c r="N8" s="101">
        <v>5.7756130199999998E-2</v>
      </c>
      <c r="O8" s="101">
        <v>2.6700692000000002E-2</v>
      </c>
      <c r="P8" s="101">
        <v>9.6656334299999994E-2</v>
      </c>
      <c r="Q8" s="101">
        <v>3.2799336800000002E-2</v>
      </c>
      <c r="R8" s="102">
        <v>4.3785962400000003E-2</v>
      </c>
      <c r="S8" s="103">
        <v>3.1847735699999997E-2</v>
      </c>
      <c r="T8" s="82">
        <v>2.0000000000000001E-4</v>
      </c>
    </row>
    <row r="9" spans="6:20" x14ac:dyDescent="0.2">
      <c r="F9" s="18" t="s">
        <v>49</v>
      </c>
      <c r="G9" s="101">
        <v>-8.6047352499999993E-2</v>
      </c>
      <c r="H9" s="101">
        <v>-0.13225512980000001</v>
      </c>
      <c r="I9" s="101">
        <v>-0.1136269572</v>
      </c>
      <c r="J9" s="101">
        <v>-7.6962326999999997E-3</v>
      </c>
      <c r="K9" s="101">
        <v>-0.10913562409999999</v>
      </c>
      <c r="L9" s="101">
        <v>-4.2308765900000003E-2</v>
      </c>
      <c r="M9" s="101">
        <v>-1.44404058E-2</v>
      </c>
      <c r="N9" s="101">
        <v>1.13965462E-2</v>
      </c>
      <c r="O9" s="101">
        <v>-7.1741587800000006E-2</v>
      </c>
      <c r="P9" s="101">
        <v>6.0294155600000003E-2</v>
      </c>
      <c r="Q9" s="101">
        <v>-4.4307580499999999E-2</v>
      </c>
      <c r="R9" s="102">
        <v>-2.81395485E-2</v>
      </c>
      <c r="S9" s="103">
        <v>-5.8187050599999998E-2</v>
      </c>
      <c r="T9" s="82">
        <v>2.0000000000000001E-4</v>
      </c>
    </row>
    <row r="10" spans="6:20" x14ac:dyDescent="0.2">
      <c r="F10" s="18" t="s">
        <v>50</v>
      </c>
      <c r="G10" s="101">
        <v>1.04290118E-2</v>
      </c>
      <c r="H10" s="101">
        <v>4.407904E-2</v>
      </c>
      <c r="I10" s="101">
        <v>7.5100007199999999E-2</v>
      </c>
      <c r="J10" s="101">
        <v>4.1994355300000001E-2</v>
      </c>
      <c r="K10" s="101">
        <v>8.1987596900000001E-2</v>
      </c>
      <c r="L10" s="101">
        <v>7.3630316299999998E-2</v>
      </c>
      <c r="M10" s="101">
        <v>0.1336529071</v>
      </c>
      <c r="N10" s="101">
        <v>7.7266011800000006E-2</v>
      </c>
      <c r="O10" s="101">
        <v>2.7264830800000001E-2</v>
      </c>
      <c r="P10" s="101">
        <v>3.55985526E-2</v>
      </c>
      <c r="Q10" s="101">
        <v>9.3091619299999998E-2</v>
      </c>
      <c r="R10" s="102">
        <v>9.0616432600000005E-2</v>
      </c>
      <c r="S10" s="103">
        <v>5.3827259600000003E-2</v>
      </c>
      <c r="T10" s="82">
        <v>2.0000000000000001E-4</v>
      </c>
    </row>
    <row r="11" spans="6:20" x14ac:dyDescent="0.2">
      <c r="F11" s="18" t="s">
        <v>51</v>
      </c>
      <c r="G11" s="101">
        <v>0.20699560450000001</v>
      </c>
      <c r="H11" s="101">
        <v>0.14681779480000001</v>
      </c>
      <c r="I11" s="101">
        <v>5.3678862100000002E-2</v>
      </c>
      <c r="J11" s="101">
        <v>-6.4440793800000007E-2</v>
      </c>
      <c r="K11" s="101">
        <v>7.9143204199999997E-2</v>
      </c>
      <c r="L11" s="101">
        <v>-5.9649093E-2</v>
      </c>
      <c r="M11" s="101">
        <v>-1.0375321200000001E-2</v>
      </c>
      <c r="N11" s="101">
        <v>9.8505591899999995E-2</v>
      </c>
      <c r="O11" s="101">
        <v>4.2319520300000003E-2</v>
      </c>
      <c r="P11" s="101">
        <v>1.6964224600000001E-2</v>
      </c>
      <c r="Q11" s="101">
        <v>7.7301156499999996E-2</v>
      </c>
      <c r="R11" s="102">
        <v>5.30487683E-2</v>
      </c>
      <c r="S11" s="103">
        <v>5.2754684699999999E-2</v>
      </c>
      <c r="T11" s="82">
        <v>2.0000000000000001E-4</v>
      </c>
    </row>
    <row r="12" spans="6:20" x14ac:dyDescent="0.2">
      <c r="F12" s="18" t="s">
        <v>52</v>
      </c>
      <c r="G12" s="101">
        <v>-4.2757597999999999E-3</v>
      </c>
      <c r="H12" s="101">
        <v>3.62639077E-2</v>
      </c>
      <c r="I12" s="101">
        <v>0.15038713610000001</v>
      </c>
      <c r="J12" s="101">
        <v>3.2734829399999998E-2</v>
      </c>
      <c r="K12" s="101">
        <v>1.38050893E-2</v>
      </c>
      <c r="L12" s="101">
        <v>7.02170087E-2</v>
      </c>
      <c r="M12" s="101">
        <v>-4.0499743099999999E-2</v>
      </c>
      <c r="N12" s="101">
        <v>-7.0524261800000002E-2</v>
      </c>
      <c r="O12" s="101">
        <v>2.5063470999999999E-3</v>
      </c>
      <c r="P12" s="101">
        <v>5.2678191100000001E-2</v>
      </c>
      <c r="Q12" s="101">
        <v>3.96813544E-2</v>
      </c>
      <c r="R12" s="102">
        <v>3.1571286099999998E-2</v>
      </c>
      <c r="S12" s="103">
        <v>2.6176531699999998E-2</v>
      </c>
      <c r="T12" s="82">
        <v>2.0000000000000001E-4</v>
      </c>
    </row>
    <row r="13" spans="6:20" x14ac:dyDescent="0.2">
      <c r="F13" s="18" t="s">
        <v>53</v>
      </c>
      <c r="G13" s="101">
        <v>-2.0038116799999998E-2</v>
      </c>
      <c r="H13" s="101">
        <v>-8.7840262700000005E-2</v>
      </c>
      <c r="I13" s="101">
        <v>-3.2002863499999999E-2</v>
      </c>
      <c r="J13" s="101">
        <v>1.46380256E-2</v>
      </c>
      <c r="K13" s="101">
        <v>-2.12766504E-2</v>
      </c>
      <c r="L13" s="101">
        <v>-1.2752899599999999E-2</v>
      </c>
      <c r="M13" s="101">
        <v>-1.3620592500000001E-2</v>
      </c>
      <c r="N13" s="101">
        <v>-0.1216933117</v>
      </c>
      <c r="O13" s="101">
        <v>-1.0500195E-2</v>
      </c>
      <c r="P13" s="101">
        <v>5.8380254000000003E-3</v>
      </c>
      <c r="Q13" s="101">
        <v>-3.27625031E-2</v>
      </c>
      <c r="R13" s="102">
        <v>1.0889641E-2</v>
      </c>
      <c r="S13" s="103">
        <v>-2.9479281100000001E-2</v>
      </c>
      <c r="T13" s="82">
        <v>2.0000000000000001E-4</v>
      </c>
    </row>
    <row r="14" spans="6:20" x14ac:dyDescent="0.2">
      <c r="F14" s="18" t="s">
        <v>54</v>
      </c>
      <c r="G14" s="101">
        <v>1.7039858200000001E-2</v>
      </c>
      <c r="H14" s="101">
        <v>3.5264582500000002E-2</v>
      </c>
      <c r="I14" s="101">
        <v>-1.7079699E-3</v>
      </c>
      <c r="J14" s="101">
        <v>7.28930047E-2</v>
      </c>
      <c r="K14" s="101">
        <v>-3.9130387500000002E-2</v>
      </c>
      <c r="L14" s="101">
        <v>2.26243151E-2</v>
      </c>
      <c r="M14" s="101">
        <v>2.9742037299999999E-2</v>
      </c>
      <c r="N14" s="101">
        <v>5.4601644099999999E-2</v>
      </c>
      <c r="O14" s="101">
        <v>7.9333380300000006E-2</v>
      </c>
      <c r="P14" s="101">
        <v>-1.0779321099999999E-2</v>
      </c>
      <c r="Q14" s="101">
        <v>6.1693017000000001E-3</v>
      </c>
      <c r="R14" s="102">
        <v>2.2791431399999999E-2</v>
      </c>
      <c r="S14" s="103">
        <v>2.9514835699999999E-2</v>
      </c>
      <c r="T14" s="82">
        <v>2.0000000000000001E-4</v>
      </c>
    </row>
    <row r="15" spans="6:20" x14ac:dyDescent="0.2">
      <c r="F15" s="18" t="s">
        <v>55</v>
      </c>
      <c r="G15" s="101">
        <v>9.5260997200000003E-2</v>
      </c>
      <c r="H15" s="101">
        <v>1.4785441599999999E-2</v>
      </c>
      <c r="I15" s="101">
        <v>-3.03067887E-2</v>
      </c>
      <c r="J15" s="101">
        <v>3.0229381E-2</v>
      </c>
      <c r="K15" s="101">
        <v>-7.4751018599999997E-2</v>
      </c>
      <c r="L15" s="101">
        <v>0.1308469273</v>
      </c>
      <c r="M15" s="101">
        <v>3.3745905E-2</v>
      </c>
      <c r="N15" s="101">
        <v>-4.1808643399999998E-2</v>
      </c>
      <c r="O15" s="101">
        <v>3.0337077300000001E-2</v>
      </c>
      <c r="P15" s="101">
        <v>-1.3357335200000001E-2</v>
      </c>
      <c r="Q15" s="101">
        <v>-7.3808579799999996E-2</v>
      </c>
      <c r="R15" s="102">
        <v>-5.8757460999999999E-3</v>
      </c>
      <c r="S15" s="103">
        <v>-2.4344273199999999E-2</v>
      </c>
      <c r="T15" s="82">
        <v>2.0000000000000001E-4</v>
      </c>
    </row>
    <row r="16" spans="6:20" x14ac:dyDescent="0.2">
      <c r="F16" s="18" t="s">
        <v>56</v>
      </c>
      <c r="G16" s="101">
        <v>8.7411352999999994E-3</v>
      </c>
      <c r="H16" s="101">
        <v>2.1206303499999999E-2</v>
      </c>
      <c r="I16" s="101">
        <v>1.8273644799999999E-2</v>
      </c>
      <c r="J16" s="101">
        <v>3.6992803900000003E-2</v>
      </c>
      <c r="K16" s="101">
        <v>1.16531858E-2</v>
      </c>
      <c r="L16" s="101">
        <v>0.13974317829999999</v>
      </c>
      <c r="M16" s="101">
        <v>-3.1076265700000001E-2</v>
      </c>
      <c r="N16" s="101">
        <v>4.4839009800000003E-2</v>
      </c>
      <c r="O16" s="101">
        <v>5.4759340500000003E-2</v>
      </c>
      <c r="P16" s="101">
        <v>5.2356162999999999E-3</v>
      </c>
      <c r="Q16" s="101">
        <v>2.469609E-2</v>
      </c>
      <c r="R16" s="102">
        <v>-1.4832234999999999E-2</v>
      </c>
      <c r="S16" s="103">
        <v>-6.1717871999999998E-3</v>
      </c>
      <c r="T16" s="82">
        <v>2.0000000000000001E-4</v>
      </c>
    </row>
    <row r="17" spans="6:20" x14ac:dyDescent="0.2">
      <c r="F17" s="18" t="s">
        <v>57</v>
      </c>
      <c r="G17" s="101">
        <v>5.8706737299999999E-2</v>
      </c>
      <c r="H17" s="101">
        <v>-0.1458762317</v>
      </c>
      <c r="I17" s="101">
        <v>-0.1266092254</v>
      </c>
      <c r="J17" s="101">
        <v>-3.2070047599999998E-2</v>
      </c>
      <c r="K17" s="101">
        <v>-9.5304240100000007E-2</v>
      </c>
      <c r="L17" s="101">
        <v>0.1842349774</v>
      </c>
      <c r="M17" s="101">
        <v>1.6919375600000001E-2</v>
      </c>
      <c r="N17" s="101">
        <v>-8.8540970499999996E-2</v>
      </c>
      <c r="O17" s="101">
        <v>-2.07430592E-2</v>
      </c>
      <c r="P17" s="101">
        <v>-0.1219619981</v>
      </c>
      <c r="Q17" s="101">
        <v>-5.2658584799999998E-2</v>
      </c>
      <c r="R17" s="102">
        <v>-5.7606178700000003E-2</v>
      </c>
      <c r="S17" s="103">
        <v>-7.7705581699999998E-2</v>
      </c>
      <c r="T17" s="82">
        <v>2.0000000000000001E-4</v>
      </c>
    </row>
    <row r="18" spans="6:20" x14ac:dyDescent="0.2">
      <c r="F18" s="18" t="s">
        <v>58</v>
      </c>
      <c r="G18" s="101">
        <v>-8.5124057899999994E-2</v>
      </c>
      <c r="H18" s="101">
        <v>-0.2110415014</v>
      </c>
      <c r="I18" s="101">
        <v>-0.17469096410000001</v>
      </c>
      <c r="J18" s="101">
        <v>-5.6224746300000003E-2</v>
      </c>
      <c r="K18" s="101">
        <v>-3.7669746499999997E-2</v>
      </c>
      <c r="L18" s="101">
        <v>0.1218852582</v>
      </c>
      <c r="M18" s="101">
        <v>-8.6773872500000002E-2</v>
      </c>
      <c r="N18" s="101">
        <v>-0.2385615156</v>
      </c>
      <c r="O18" s="101">
        <v>-7.7730826899999994E-2</v>
      </c>
      <c r="P18" s="101">
        <v>-8.2056335300000005E-2</v>
      </c>
      <c r="Q18" s="101">
        <v>-0.1012437778</v>
      </c>
      <c r="R18" s="102">
        <v>-0.10772456919999999</v>
      </c>
      <c r="S18" s="103">
        <v>-0.11326873379999999</v>
      </c>
      <c r="T18" s="82">
        <v>2.0000000000000001E-4</v>
      </c>
    </row>
    <row r="19" spans="6:20" x14ac:dyDescent="0.2">
      <c r="F19" s="18" t="s">
        <v>59</v>
      </c>
      <c r="G19" s="101">
        <v>-4.2231184800000002E-2</v>
      </c>
      <c r="H19" s="101">
        <v>-0.16225277639999999</v>
      </c>
      <c r="I19" s="101">
        <v>-0.1150863484</v>
      </c>
      <c r="J19" s="101">
        <v>-1.7021354400000001E-2</v>
      </c>
      <c r="K19" s="101">
        <v>2.1392737799999999E-2</v>
      </c>
      <c r="L19" s="101">
        <v>-0.16398272320000001</v>
      </c>
      <c r="M19" s="101">
        <v>-5.8719890699999999E-2</v>
      </c>
      <c r="N19" s="101">
        <v>-0.1164759886</v>
      </c>
      <c r="O19" s="101">
        <v>-1.43798022E-2</v>
      </c>
      <c r="P19" s="101">
        <v>-0.12611730299999999</v>
      </c>
      <c r="Q19" s="101">
        <v>-2.1204769700000001E-2</v>
      </c>
      <c r="R19" s="102">
        <v>-0.1033052211</v>
      </c>
      <c r="S19" s="103">
        <v>-8.4378353899999994E-2</v>
      </c>
      <c r="T19" s="82">
        <v>2.0000000000000001E-4</v>
      </c>
    </row>
    <row r="20" spans="6:20" x14ac:dyDescent="0.2">
      <c r="F20" s="18" t="s">
        <v>60</v>
      </c>
      <c r="G20" s="101">
        <v>7.7811701E-3</v>
      </c>
      <c r="H20" s="101">
        <v>9.3178000799999994E-2</v>
      </c>
      <c r="I20" s="101">
        <v>0.10416263670000001</v>
      </c>
      <c r="J20" s="101">
        <v>8.8744516999999995E-2</v>
      </c>
      <c r="K20" s="101">
        <v>-8.5784246800000005E-2</v>
      </c>
      <c r="L20" s="101">
        <v>8.8554255200000001E-2</v>
      </c>
      <c r="M20" s="101">
        <v>0.14737394519999999</v>
      </c>
      <c r="N20" s="101">
        <v>0.21439987390000001</v>
      </c>
      <c r="O20" s="101">
        <v>5.2887546700000003E-2</v>
      </c>
      <c r="P20" s="101">
        <v>5.1269659099999997E-2</v>
      </c>
      <c r="Q20" s="101">
        <v>0.15785166349999999</v>
      </c>
      <c r="R20" s="102">
        <v>0.1011721369</v>
      </c>
      <c r="S20" s="103">
        <v>8.74861267E-2</v>
      </c>
      <c r="T20" s="82">
        <v>2.0000000000000001E-4</v>
      </c>
    </row>
    <row r="21" spans="6:20" x14ac:dyDescent="0.2">
      <c r="F21" s="18" t="s">
        <v>61</v>
      </c>
      <c r="G21" s="101">
        <v>3.86056782E-2</v>
      </c>
      <c r="H21" s="101">
        <v>-0.1028918283</v>
      </c>
      <c r="I21" s="101">
        <v>1.3527996400000001E-2</v>
      </c>
      <c r="J21" s="101">
        <v>-2.4950441100000002E-2</v>
      </c>
      <c r="K21" s="101">
        <v>1.3161283100000001E-2</v>
      </c>
      <c r="L21" s="101">
        <v>-4.0065291699999998E-2</v>
      </c>
      <c r="M21" s="101">
        <v>3.7629576099999999E-2</v>
      </c>
      <c r="N21" s="101">
        <v>-8.8520214999999999E-2</v>
      </c>
      <c r="O21" s="101">
        <v>2.5019174999999999E-3</v>
      </c>
      <c r="P21" s="101">
        <v>-1.5240605900000001E-2</v>
      </c>
      <c r="Q21" s="101">
        <v>1.37513681E-2</v>
      </c>
      <c r="R21" s="102">
        <v>-7.2688969500000006E-2</v>
      </c>
      <c r="S21" s="103">
        <v>-2.72045393E-2</v>
      </c>
      <c r="T21" s="82">
        <v>2.0000000000000001E-4</v>
      </c>
    </row>
    <row r="22" spans="6:20" x14ac:dyDescent="0.2">
      <c r="F22" s="18" t="s">
        <v>62</v>
      </c>
      <c r="G22" s="101">
        <v>8.8082686399999999E-2</v>
      </c>
      <c r="H22" s="101">
        <v>2.98608424E-2</v>
      </c>
      <c r="I22" s="101">
        <v>-0.14059417539999999</v>
      </c>
      <c r="J22" s="101">
        <v>-9.6848552999999997E-3</v>
      </c>
      <c r="K22" s="101">
        <v>5.99404038E-2</v>
      </c>
      <c r="L22" s="101">
        <v>-2.3940580199999999E-2</v>
      </c>
      <c r="M22" s="101">
        <v>3.4960320500000003E-2</v>
      </c>
      <c r="N22" s="101">
        <v>-3.4234311900000002E-2</v>
      </c>
      <c r="O22" s="101">
        <v>8.9460734E-2</v>
      </c>
      <c r="P22" s="101">
        <v>-3.1428515400000002E-2</v>
      </c>
      <c r="Q22" s="101">
        <v>3.0389417799999999E-2</v>
      </c>
      <c r="R22" s="102">
        <v>1.9785235299999999E-2</v>
      </c>
      <c r="S22" s="103">
        <v>1.6451873999999999E-3</v>
      </c>
      <c r="T22" s="82">
        <v>2.0000000000000001E-4</v>
      </c>
    </row>
    <row r="23" spans="6:20" x14ac:dyDescent="0.2">
      <c r="F23" s="18" t="s">
        <v>63</v>
      </c>
      <c r="G23" s="101">
        <v>6.3354110000000005E-2</v>
      </c>
      <c r="H23" s="101">
        <v>6.6556779999999996E-2</v>
      </c>
      <c r="I23" s="101">
        <v>0.15593278050000001</v>
      </c>
      <c r="J23" s="101">
        <v>-2.8515493699999998E-2</v>
      </c>
      <c r="K23" s="101">
        <v>-1.7518868900000002E-2</v>
      </c>
      <c r="L23" s="101">
        <v>0.15346224789999999</v>
      </c>
      <c r="M23" s="101">
        <v>2.4141812299999999E-2</v>
      </c>
      <c r="N23" s="101">
        <v>0.2151118658</v>
      </c>
      <c r="O23" s="101">
        <v>-4.9341178000000003E-3</v>
      </c>
      <c r="P23" s="101">
        <v>0.1671582737</v>
      </c>
      <c r="Q23" s="101">
        <v>3.8980706499999997E-2</v>
      </c>
      <c r="R23" s="102">
        <v>6.81200099E-2</v>
      </c>
      <c r="S23" s="103">
        <v>4.39076994E-2</v>
      </c>
      <c r="T23" s="82">
        <v>2.0000000000000001E-4</v>
      </c>
    </row>
    <row r="24" spans="6:20" x14ac:dyDescent="0.2">
      <c r="F24" s="18" t="s">
        <v>64</v>
      </c>
      <c r="G24" s="101">
        <v>6.17211514E-2</v>
      </c>
      <c r="H24" s="101">
        <v>0.13175743249999999</v>
      </c>
      <c r="I24" s="101">
        <v>0.18487992289999999</v>
      </c>
      <c r="J24" s="101">
        <v>7.6189528000000006E-2</v>
      </c>
      <c r="K24" s="101">
        <v>-6.16866321E-2</v>
      </c>
      <c r="L24" s="101">
        <v>5.4008229900000003E-2</v>
      </c>
      <c r="M24" s="101">
        <v>5.8182249300000002E-2</v>
      </c>
      <c r="N24" s="101">
        <v>0.2203286911</v>
      </c>
      <c r="O24" s="101">
        <v>-1.7000139300000001E-2</v>
      </c>
      <c r="P24" s="101">
        <v>7.4347119500000003E-2</v>
      </c>
      <c r="Q24" s="101">
        <v>3.9227727499999997E-2</v>
      </c>
      <c r="R24" s="102">
        <v>0.102227939</v>
      </c>
      <c r="S24" s="103">
        <v>4.6656834100000003E-2</v>
      </c>
      <c r="T24" s="82">
        <v>2.0000000000000001E-4</v>
      </c>
    </row>
    <row r="25" spans="6:20" x14ac:dyDescent="0.2">
      <c r="F25" s="18" t="s">
        <v>65</v>
      </c>
      <c r="G25" s="101">
        <v>0.12616917380000001</v>
      </c>
      <c r="H25" s="101">
        <v>-2.89337242E-2</v>
      </c>
      <c r="I25" s="101">
        <v>1.48171378E-2</v>
      </c>
      <c r="J25" s="101">
        <v>2.9933135900000001E-2</v>
      </c>
      <c r="K25" s="101">
        <v>-5.1362706000000003E-3</v>
      </c>
      <c r="L25" s="101">
        <v>-9.2998035399999998E-2</v>
      </c>
      <c r="M25" s="101">
        <v>9.5286697000000007E-3</v>
      </c>
      <c r="N25" s="101">
        <v>-5.4100282E-3</v>
      </c>
      <c r="O25" s="101">
        <v>4.9000152900000003E-2</v>
      </c>
      <c r="P25" s="101">
        <v>-3.9600087300000003E-2</v>
      </c>
      <c r="Q25" s="101">
        <v>-8.9307125900000006E-2</v>
      </c>
      <c r="R25" s="102">
        <v>3.838186E-4</v>
      </c>
      <c r="S25" s="103">
        <v>-8.2955271999999997E-3</v>
      </c>
      <c r="T25" s="82">
        <v>2.0000000000000001E-4</v>
      </c>
    </row>
    <row r="26" spans="6:20" x14ac:dyDescent="0.2">
      <c r="F26" s="18" t="s">
        <v>66</v>
      </c>
      <c r="G26" s="101">
        <v>-2.8659775500000002E-2</v>
      </c>
      <c r="H26" s="101">
        <v>-0.14687279319999999</v>
      </c>
      <c r="I26" s="101">
        <v>-0.1212753895</v>
      </c>
      <c r="J26" s="101">
        <v>1.6252392500000001E-2</v>
      </c>
      <c r="K26" s="101">
        <v>-0.1022198596</v>
      </c>
      <c r="L26" s="101">
        <v>5.7787278999999997E-2</v>
      </c>
      <c r="M26" s="101">
        <v>1.276847E-4</v>
      </c>
      <c r="N26" s="101">
        <v>-0.131562395</v>
      </c>
      <c r="O26" s="101">
        <v>-9.7885716000000005E-3</v>
      </c>
      <c r="P26" s="101">
        <v>-5.2663911000000001E-2</v>
      </c>
      <c r="Q26" s="101">
        <v>-4.3933258099999997E-2</v>
      </c>
      <c r="R26" s="102">
        <v>-0.10485950080000001</v>
      </c>
      <c r="S26" s="103">
        <v>-6.1630174000000003E-2</v>
      </c>
      <c r="T26" s="82">
        <v>2.0000000000000001E-4</v>
      </c>
    </row>
    <row r="27" spans="6:20" x14ac:dyDescent="0.2">
      <c r="F27" s="18" t="s">
        <v>67</v>
      </c>
      <c r="G27" s="101">
        <v>-9.2372086199999995E-2</v>
      </c>
      <c r="H27" s="101">
        <v>-0.1523888098</v>
      </c>
      <c r="I27" s="101">
        <v>-7.5958003100000004E-2</v>
      </c>
      <c r="J27" s="101">
        <v>-2.3706716499999999E-2</v>
      </c>
      <c r="K27" s="101">
        <v>-4.6368111699999999E-2</v>
      </c>
      <c r="L27" s="101">
        <v>-2.11410468E-2</v>
      </c>
      <c r="M27" s="101">
        <v>7.5244470000000001E-3</v>
      </c>
      <c r="N27" s="101">
        <v>-1.2818786E-2</v>
      </c>
      <c r="O27" s="101">
        <v>-4.6132446399999999E-2</v>
      </c>
      <c r="P27" s="101">
        <v>-7.1966915399999998E-2</v>
      </c>
      <c r="Q27" s="101">
        <v>-3.6179554400000001E-2</v>
      </c>
      <c r="R27" s="102">
        <v>-7.6999902100000003E-2</v>
      </c>
      <c r="S27" s="103">
        <v>-6.0940623800000003E-2</v>
      </c>
      <c r="T27" s="82">
        <v>2.0000000000000001E-4</v>
      </c>
    </row>
    <row r="28" spans="6:20" x14ac:dyDescent="0.2">
      <c r="F28" s="18" t="s">
        <v>68</v>
      </c>
      <c r="G28" s="101">
        <v>3.2138820200000001E-2</v>
      </c>
      <c r="H28" s="101">
        <v>0.23563566250000001</v>
      </c>
      <c r="I28" s="101">
        <v>6.4220330699999995E-2</v>
      </c>
      <c r="J28" s="101">
        <v>-3.0776168100000001E-2</v>
      </c>
      <c r="K28" s="101">
        <v>0.17402174870000001</v>
      </c>
      <c r="L28" s="101">
        <v>-5.4638763999999999E-2</v>
      </c>
      <c r="M28" s="101">
        <v>6.6582563100000006E-2</v>
      </c>
      <c r="N28" s="101">
        <v>-3.6681045199999998E-2</v>
      </c>
      <c r="O28" s="101">
        <v>0.13838838210000001</v>
      </c>
      <c r="P28" s="101">
        <v>5.4993772199999999E-2</v>
      </c>
      <c r="Q28" s="101">
        <v>2.11417497E-2</v>
      </c>
      <c r="R28" s="102">
        <v>0.1826678819</v>
      </c>
      <c r="S28" s="103">
        <v>5.95423588E-2</v>
      </c>
      <c r="T28" s="82">
        <v>2.0000000000000001E-4</v>
      </c>
    </row>
    <row r="29" spans="6:20" x14ac:dyDescent="0.2">
      <c r="F29" s="18" t="s">
        <v>69</v>
      </c>
      <c r="G29" s="101">
        <v>6.5580978900000003E-2</v>
      </c>
      <c r="H29" s="101">
        <v>-5.4393718000000004E-3</v>
      </c>
      <c r="I29" s="101">
        <v>6.5966824699999996E-2</v>
      </c>
      <c r="J29" s="101">
        <v>9.4865978999999993E-3</v>
      </c>
      <c r="K29" s="101">
        <v>-3.03917005E-2</v>
      </c>
      <c r="L29" s="101">
        <v>-8.5036264700000003E-2</v>
      </c>
      <c r="M29" s="101">
        <v>3.8571146600000002E-2</v>
      </c>
      <c r="N29" s="101">
        <v>0.13199724330000001</v>
      </c>
      <c r="O29" s="101">
        <v>0.1126547515</v>
      </c>
      <c r="P29" s="101">
        <v>5.2595569000000002E-2</v>
      </c>
      <c r="Q29" s="101">
        <v>7.66166343E-2</v>
      </c>
      <c r="R29" s="102">
        <v>-6.0758679500000003E-2</v>
      </c>
      <c r="S29" s="103">
        <v>2.97217439E-2</v>
      </c>
      <c r="T29" s="82">
        <v>2.0000000000000001E-4</v>
      </c>
    </row>
    <row r="30" spans="6:20" x14ac:dyDescent="0.2">
      <c r="F30" s="18" t="s">
        <v>70</v>
      </c>
      <c r="G30" s="101">
        <v>3.62268294E-2</v>
      </c>
      <c r="H30" s="101">
        <v>0.1453432362</v>
      </c>
      <c r="I30" s="101">
        <v>-1.7977013699999999E-2</v>
      </c>
      <c r="J30" s="101">
        <v>1.4145963000000001E-3</v>
      </c>
      <c r="K30" s="101">
        <v>7.6436448000000004E-2</v>
      </c>
      <c r="L30" s="101">
        <v>3.2934833400000002E-2</v>
      </c>
      <c r="M30" s="101">
        <v>-1.25889939E-2</v>
      </c>
      <c r="N30" s="101">
        <v>4.4254281200000002E-2</v>
      </c>
      <c r="O30" s="101">
        <v>-2.1363055700000001E-2</v>
      </c>
      <c r="P30" s="101">
        <v>9.0810268299999997E-2</v>
      </c>
      <c r="Q30" s="101">
        <v>5.5843668300000003E-2</v>
      </c>
      <c r="R30" s="102">
        <v>1.1577548E-3</v>
      </c>
      <c r="S30" s="103">
        <v>3.6884173800000003E-2</v>
      </c>
      <c r="T30" s="82">
        <v>2.0000000000000001E-4</v>
      </c>
    </row>
    <row r="31" spans="6:20" x14ac:dyDescent="0.2">
      <c r="F31" s="18" t="s">
        <v>71</v>
      </c>
      <c r="G31" s="101">
        <v>-0.18651062830000001</v>
      </c>
      <c r="H31" s="101">
        <v>7.0178003700000005E-2</v>
      </c>
      <c r="I31" s="101">
        <v>0.1266038588</v>
      </c>
      <c r="J31" s="101">
        <v>-3.3097786800000001E-2</v>
      </c>
      <c r="K31" s="101">
        <v>-0.1111111593</v>
      </c>
      <c r="L31" s="101">
        <v>-8.7136871399999996E-2</v>
      </c>
      <c r="M31" s="101">
        <v>1.9143097500000001E-2</v>
      </c>
      <c r="N31" s="101">
        <v>-1.7355250799999999E-2</v>
      </c>
      <c r="O31" s="101">
        <v>1.99845773E-2</v>
      </c>
      <c r="P31" s="101">
        <v>-8.2752490400000003E-2</v>
      </c>
      <c r="Q31" s="101">
        <v>-2.7830662499999999E-2</v>
      </c>
      <c r="R31" s="102">
        <v>-4.1774991300000001E-2</v>
      </c>
      <c r="S31" s="103">
        <v>-1.7066746000000001E-2</v>
      </c>
      <c r="T31" s="82">
        <v>2.0000000000000001E-4</v>
      </c>
    </row>
    <row r="32" spans="6:20" x14ac:dyDescent="0.2">
      <c r="F32" s="18" t="s">
        <v>72</v>
      </c>
      <c r="G32" s="101">
        <v>0.11129145560000001</v>
      </c>
      <c r="H32" s="101">
        <v>4.9486052000000003E-2</v>
      </c>
      <c r="I32" s="101">
        <v>-1.50340903E-2</v>
      </c>
      <c r="J32" s="101">
        <v>-1.01229109E-2</v>
      </c>
      <c r="K32" s="101">
        <v>6.2849306499999993E-2</v>
      </c>
      <c r="L32" s="101">
        <v>7.6554628000000003E-3</v>
      </c>
      <c r="M32" s="101">
        <v>-4.90207E-2</v>
      </c>
      <c r="N32" s="101">
        <v>-5.5038281799999998E-2</v>
      </c>
      <c r="O32" s="101">
        <v>2.2155325999999999E-2</v>
      </c>
      <c r="P32" s="101">
        <v>4.7334772400000003E-2</v>
      </c>
      <c r="Q32" s="101">
        <v>1.9949229799999999E-2</v>
      </c>
      <c r="R32" s="102">
        <v>3.0170130900000001E-2</v>
      </c>
      <c r="S32" s="103">
        <v>2.2191935699999998E-2</v>
      </c>
      <c r="T32" s="82">
        <v>2.0000000000000001E-4</v>
      </c>
    </row>
    <row r="33" spans="6:20" x14ac:dyDescent="0.2">
      <c r="F33" s="18" t="s">
        <v>73</v>
      </c>
      <c r="G33" s="101">
        <v>-5.5454103300000002E-2</v>
      </c>
      <c r="H33" s="101">
        <v>0.1065448131</v>
      </c>
      <c r="I33" s="101">
        <v>3.7000589999999999E-3</v>
      </c>
      <c r="J33" s="101">
        <v>2.84658868E-2</v>
      </c>
      <c r="K33" s="101">
        <v>-2.3157025500000001E-2</v>
      </c>
      <c r="L33" s="101">
        <v>0.1282052333</v>
      </c>
      <c r="M33" s="101">
        <v>4.85366151E-2</v>
      </c>
      <c r="N33" s="101">
        <v>0.1143146511</v>
      </c>
      <c r="O33" s="101">
        <v>1.23857195E-2</v>
      </c>
      <c r="P33" s="101">
        <v>0.1203483043</v>
      </c>
      <c r="Q33" s="101">
        <v>-8.8869391999999992E-3</v>
      </c>
      <c r="R33" s="102">
        <v>-6.4429092000000002E-3</v>
      </c>
      <c r="S33" s="103">
        <v>3.7328646899999998E-2</v>
      </c>
      <c r="T33" s="82">
        <v>2.0000000000000001E-4</v>
      </c>
    </row>
    <row r="34" spans="6:20" x14ac:dyDescent="0.2">
      <c r="F34" s="18" t="s">
        <v>74</v>
      </c>
      <c r="G34" s="101">
        <v>0.1394360308</v>
      </c>
      <c r="H34" s="101">
        <v>-8.3827459999999999E-3</v>
      </c>
      <c r="I34" s="101">
        <v>9.5239211000000008E-3</v>
      </c>
      <c r="J34" s="101">
        <v>2.3167557799999999E-2</v>
      </c>
      <c r="K34" s="101">
        <v>-9.9450733200000002E-2</v>
      </c>
      <c r="L34" s="101">
        <v>-4.7558891800000003E-2</v>
      </c>
      <c r="M34" s="101">
        <v>1.47392341E-2</v>
      </c>
      <c r="N34" s="101">
        <v>5.7989861300000001E-2</v>
      </c>
      <c r="O34" s="101">
        <v>3.9761215000000003E-2</v>
      </c>
      <c r="P34" s="101">
        <v>1.46188382E-2</v>
      </c>
      <c r="Q34" s="101">
        <v>1.39047522E-2</v>
      </c>
      <c r="R34" s="102">
        <v>7.8073765099999998E-2</v>
      </c>
      <c r="S34" s="103">
        <v>2.3554524300000001E-2</v>
      </c>
      <c r="T34" s="82">
        <v>2.0000000000000001E-4</v>
      </c>
    </row>
    <row r="35" spans="6:20" x14ac:dyDescent="0.2">
      <c r="F35" s="18" t="s">
        <v>75</v>
      </c>
      <c r="G35" s="101">
        <v>0.1730506174</v>
      </c>
      <c r="H35" s="101">
        <v>8.5123831100000005E-2</v>
      </c>
      <c r="I35" s="101">
        <v>8.0492921100000003E-2</v>
      </c>
      <c r="J35" s="101">
        <v>2.27433989E-2</v>
      </c>
      <c r="K35" s="101">
        <v>-2.9855706499999999E-2</v>
      </c>
      <c r="L35" s="101">
        <v>5.8108343899999998E-2</v>
      </c>
      <c r="M35" s="101">
        <v>5.4437248299999998E-2</v>
      </c>
      <c r="N35" s="101">
        <v>9.1680074799999997E-2</v>
      </c>
      <c r="O35" s="101">
        <v>6.5834138E-3</v>
      </c>
      <c r="P35" s="101">
        <v>2.31624421E-2</v>
      </c>
      <c r="Q35" s="101">
        <v>3.9120578000000003E-2</v>
      </c>
      <c r="R35" s="102">
        <v>4.3520718E-2</v>
      </c>
      <c r="S35" s="103">
        <v>2.51382224E-2</v>
      </c>
      <c r="T35" s="82">
        <v>2.0000000000000001E-4</v>
      </c>
    </row>
    <row r="36" spans="6:20" x14ac:dyDescent="0.2">
      <c r="F36" s="18" t="s">
        <v>76</v>
      </c>
      <c r="G36" s="101">
        <v>0.13220650689999999</v>
      </c>
      <c r="H36" s="101">
        <v>-6.7193281399999999E-2</v>
      </c>
      <c r="I36" s="101">
        <v>6.1681483000000002E-2</v>
      </c>
      <c r="J36" s="101">
        <v>4.2123838900000002E-2</v>
      </c>
      <c r="K36" s="101">
        <v>-4.1694470400000003E-2</v>
      </c>
      <c r="L36" s="101">
        <v>6.57757551E-2</v>
      </c>
      <c r="M36" s="101">
        <v>7.7982712100000004E-2</v>
      </c>
      <c r="N36" s="101">
        <v>9.4562677999999997E-2</v>
      </c>
      <c r="O36" s="101">
        <v>1.0019582500000001E-2</v>
      </c>
      <c r="P36" s="101">
        <v>5.0267591E-2</v>
      </c>
      <c r="Q36" s="101">
        <v>-4.0946671699999999E-2</v>
      </c>
      <c r="R36" s="102">
        <v>-5.5296613799999998E-2</v>
      </c>
      <c r="S36" s="103">
        <v>-2.5719598999999998E-3</v>
      </c>
      <c r="T36" s="82">
        <v>2.0000000000000001E-4</v>
      </c>
    </row>
    <row r="37" spans="6:20" x14ac:dyDescent="0.2">
      <c r="F37" s="18" t="s">
        <v>77</v>
      </c>
      <c r="G37" s="101">
        <v>1.3272138899999999E-2</v>
      </c>
      <c r="H37" s="101">
        <v>-7.1105456900000003E-2</v>
      </c>
      <c r="I37" s="101">
        <v>-5.8230547600000002E-2</v>
      </c>
      <c r="J37" s="101">
        <v>2.0492143000000001E-2</v>
      </c>
      <c r="K37" s="101">
        <v>3.7293087900000001E-2</v>
      </c>
      <c r="L37" s="101">
        <v>6.7593760000000003E-2</v>
      </c>
      <c r="M37" s="101">
        <v>-2.19336358E-2</v>
      </c>
      <c r="N37" s="101">
        <v>5.3480523000000004E-3</v>
      </c>
      <c r="O37" s="101">
        <v>9.2174121799999995E-2</v>
      </c>
      <c r="P37" s="101">
        <v>-3.2586648000000003E-2</v>
      </c>
      <c r="Q37" s="101">
        <v>-2.4546434299999999E-2</v>
      </c>
      <c r="R37" s="102">
        <v>-8.6037404000000005E-3</v>
      </c>
      <c r="S37" s="103">
        <v>2.2615959999999998E-3</v>
      </c>
      <c r="T37" s="82">
        <v>2.0000000000000001E-4</v>
      </c>
    </row>
    <row r="38" spans="6:20" x14ac:dyDescent="0.2">
      <c r="F38" s="18" t="s">
        <v>78</v>
      </c>
      <c r="G38" s="101">
        <v>1.0201586800000001E-2</v>
      </c>
      <c r="H38" s="101">
        <v>5.6693419100000003E-2</v>
      </c>
      <c r="I38" s="101">
        <v>-1.6197095299999999E-2</v>
      </c>
      <c r="J38" s="101">
        <v>6.8718025700000004E-2</v>
      </c>
      <c r="K38" s="101">
        <v>8.5219806699999998E-2</v>
      </c>
      <c r="L38" s="101">
        <v>-5.4458316800000003E-2</v>
      </c>
      <c r="M38" s="101">
        <v>-3.3021524900000002E-2</v>
      </c>
      <c r="N38" s="101">
        <v>7.0486019799999994E-2</v>
      </c>
      <c r="O38" s="101">
        <v>4.9829614899999999E-2</v>
      </c>
      <c r="P38" s="101">
        <v>1.5789486500000002E-2</v>
      </c>
      <c r="Q38" s="101">
        <v>4.0164692600000003E-2</v>
      </c>
      <c r="R38" s="102">
        <v>4.0262117E-2</v>
      </c>
      <c r="S38" s="103">
        <v>3.3587771099999997E-2</v>
      </c>
      <c r="T38" s="82">
        <v>2.0000000000000001E-4</v>
      </c>
    </row>
    <row r="39" spans="6:20" x14ac:dyDescent="0.2">
      <c r="F39" s="18" t="s">
        <v>79</v>
      </c>
      <c r="G39" s="101">
        <v>0.1083402899</v>
      </c>
      <c r="H39" s="101">
        <v>7.1259399500000001E-2</v>
      </c>
      <c r="I39" s="101">
        <v>8.1460329799999995E-2</v>
      </c>
      <c r="J39" s="101">
        <v>-2.1892788100000001E-2</v>
      </c>
      <c r="K39" s="101">
        <v>6.9102447000000001E-3</v>
      </c>
      <c r="L39" s="101">
        <v>7.45801351E-2</v>
      </c>
      <c r="M39" s="101">
        <v>-1.39361994E-2</v>
      </c>
      <c r="N39" s="101">
        <v>0.1422017505</v>
      </c>
      <c r="O39" s="101">
        <v>-8.5314582999999992E-3</v>
      </c>
      <c r="P39" s="101">
        <v>5.9412676400000003E-2</v>
      </c>
      <c r="Q39" s="101">
        <v>8.2309420999999994E-3</v>
      </c>
      <c r="R39" s="102">
        <v>0.12537288529999999</v>
      </c>
      <c r="S39" s="103">
        <v>2.3812818499999999E-2</v>
      </c>
      <c r="T39" s="82">
        <v>2.0000000000000001E-4</v>
      </c>
    </row>
    <row r="40" spans="6:20" x14ac:dyDescent="0.2">
      <c r="F40" s="18" t="s">
        <v>80</v>
      </c>
      <c r="G40" s="101">
        <v>-6.3452360900000004E-2</v>
      </c>
      <c r="H40" s="101">
        <v>-4.3181006500000001E-2</v>
      </c>
      <c r="I40" s="101">
        <v>-1.11201323E-2</v>
      </c>
      <c r="J40" s="101">
        <v>4.22664409E-2</v>
      </c>
      <c r="K40" s="101">
        <v>-4.4761988500000002E-2</v>
      </c>
      <c r="L40" s="101">
        <v>-9.8837147900000005E-2</v>
      </c>
      <c r="M40" s="101">
        <v>-8.0914748300000006E-2</v>
      </c>
      <c r="N40" s="101">
        <v>-0.1058723646</v>
      </c>
      <c r="O40" s="101">
        <v>-2.8646226E-3</v>
      </c>
      <c r="P40" s="101">
        <v>-6.1134946400000001E-2</v>
      </c>
      <c r="Q40" s="101">
        <v>-2.79902148E-2</v>
      </c>
      <c r="R40" s="102">
        <v>-2.87190997E-2</v>
      </c>
      <c r="S40" s="103">
        <v>-5.3102543199999998E-2</v>
      </c>
      <c r="T40" s="82">
        <v>2.0000000000000001E-4</v>
      </c>
    </row>
    <row r="41" spans="6:20" x14ac:dyDescent="0.2">
      <c r="F41" s="18" t="s">
        <v>81</v>
      </c>
      <c r="G41" s="101">
        <v>9.3023140399999996E-2</v>
      </c>
      <c r="H41" s="101">
        <v>0.1586661915</v>
      </c>
      <c r="I41" s="101">
        <v>0.13170351059999999</v>
      </c>
      <c r="J41" s="101">
        <v>3.0176912899999998E-2</v>
      </c>
      <c r="K41" s="101">
        <v>4.81887353E-2</v>
      </c>
      <c r="L41" s="101">
        <v>3.3775223E-2</v>
      </c>
      <c r="M41" s="101">
        <v>5.0592834699999999E-2</v>
      </c>
      <c r="N41" s="101">
        <v>0.14448751839999999</v>
      </c>
      <c r="O41" s="101">
        <v>6.9080058999999999E-3</v>
      </c>
      <c r="P41" s="101">
        <v>7.3210250300000002E-2</v>
      </c>
      <c r="Q41" s="101">
        <v>8.6754923999999997E-2</v>
      </c>
      <c r="R41" s="102">
        <v>5.2781616000000003E-2</v>
      </c>
      <c r="S41" s="103">
        <v>6.7875406299999996E-2</v>
      </c>
      <c r="T41" s="82">
        <v>2.0000000000000001E-4</v>
      </c>
    </row>
    <row r="42" spans="6:20" x14ac:dyDescent="0.2">
      <c r="F42" s="18" t="s">
        <v>82</v>
      </c>
      <c r="G42" s="101">
        <v>-2.8517333400000001E-2</v>
      </c>
      <c r="H42" s="101">
        <v>-2.5084818299999999E-2</v>
      </c>
      <c r="I42" s="101">
        <v>7.0472247999999998E-3</v>
      </c>
      <c r="J42" s="101">
        <v>-5.1515068999999997E-2</v>
      </c>
      <c r="K42" s="101">
        <v>3.9949235899999998E-2</v>
      </c>
      <c r="L42" s="101">
        <v>-6.6560865999999996E-3</v>
      </c>
      <c r="M42" s="101">
        <v>-9.6469428000000006E-3</v>
      </c>
      <c r="N42" s="101">
        <v>-8.6023270299999996E-2</v>
      </c>
      <c r="O42" s="101">
        <v>-9.3301901800000003E-2</v>
      </c>
      <c r="P42" s="101">
        <v>-3.1934428299999998E-2</v>
      </c>
      <c r="Q42" s="101">
        <v>4.5261938199999997E-2</v>
      </c>
      <c r="R42" s="102">
        <v>-3.7447688899999998E-2</v>
      </c>
      <c r="S42" s="103">
        <v>-1.4754442E-2</v>
      </c>
      <c r="T42" s="82">
        <v>2.0000000000000001E-4</v>
      </c>
    </row>
    <row r="43" spans="6:20" x14ac:dyDescent="0.2">
      <c r="F43" s="18" t="s">
        <v>83</v>
      </c>
      <c r="G43" s="101">
        <v>8.0036657100000005E-2</v>
      </c>
      <c r="H43" s="101">
        <v>5.4518487599999998E-2</v>
      </c>
      <c r="I43" s="101">
        <v>6.1052415800000003E-2</v>
      </c>
      <c r="J43" s="101">
        <v>-1.24247883E-2</v>
      </c>
      <c r="K43" s="101">
        <v>0.1323171585</v>
      </c>
      <c r="L43" s="101">
        <v>4.8876784E-2</v>
      </c>
      <c r="M43" s="101">
        <v>4.4968207000000003E-2</v>
      </c>
      <c r="N43" s="101">
        <v>8.9682002299999994E-2</v>
      </c>
      <c r="O43" s="101">
        <v>3.1366294000000003E-2</v>
      </c>
      <c r="P43" s="101">
        <v>7.9620018299999998E-2</v>
      </c>
      <c r="Q43" s="101">
        <v>2.3380445999999999E-2</v>
      </c>
      <c r="R43" s="102">
        <v>9.9820994400000002E-2</v>
      </c>
      <c r="S43" s="103">
        <v>5.3297314700000001E-2</v>
      </c>
      <c r="T43" s="82">
        <v>2.0000000000000001E-4</v>
      </c>
    </row>
    <row r="44" spans="6:20" x14ac:dyDescent="0.2">
      <c r="F44" s="18" t="s">
        <v>84</v>
      </c>
      <c r="G44" s="101">
        <v>7.4636277000000001E-2</v>
      </c>
      <c r="H44" s="101">
        <v>9.0800121499999997E-2</v>
      </c>
      <c r="I44" s="101">
        <v>0.10188748929999999</v>
      </c>
      <c r="J44" s="101">
        <v>-1.8332040399999999E-2</v>
      </c>
      <c r="K44" s="101">
        <v>-1.2385497699999999E-2</v>
      </c>
      <c r="L44" s="101">
        <v>-5.7121508299999998E-2</v>
      </c>
      <c r="M44" s="101">
        <v>-3.5842689599999998E-2</v>
      </c>
      <c r="N44" s="101">
        <v>9.4688441299999995E-2</v>
      </c>
      <c r="O44" s="101">
        <v>4.7618766600000001E-2</v>
      </c>
      <c r="P44" s="101">
        <v>-7.3588252999999999E-3</v>
      </c>
      <c r="Q44" s="101">
        <v>7.0032654900000005E-2</v>
      </c>
      <c r="R44" s="102">
        <v>9.9487906500000001E-2</v>
      </c>
      <c r="S44" s="103">
        <v>3.7758528499999999E-2</v>
      </c>
      <c r="T44" s="82">
        <v>2.0000000000000001E-4</v>
      </c>
    </row>
    <row r="45" spans="6:20" x14ac:dyDescent="0.2">
      <c r="F45" s="18" t="s">
        <v>85</v>
      </c>
      <c r="G45" s="101">
        <v>3.26023535E-2</v>
      </c>
      <c r="H45" s="101">
        <v>1.3017907699999999E-2</v>
      </c>
      <c r="I45" s="101">
        <v>-9.2879995999999992E-3</v>
      </c>
      <c r="J45" s="101">
        <v>-2.0871603999999998E-2</v>
      </c>
      <c r="K45" s="101">
        <v>-6.9247488699999998E-2</v>
      </c>
      <c r="L45" s="101">
        <v>2.4312344199999999E-2</v>
      </c>
      <c r="M45" s="101">
        <v>-5.7288232699999997E-2</v>
      </c>
      <c r="N45" s="101">
        <v>1.2091303499999999E-2</v>
      </c>
      <c r="O45" s="101">
        <v>-8.9125352999999997E-3</v>
      </c>
      <c r="P45" s="101">
        <v>4.1900875000000001E-3</v>
      </c>
      <c r="Q45" s="101">
        <v>-1.48016226E-2</v>
      </c>
      <c r="R45" s="102">
        <v>1.6933943000000001E-3</v>
      </c>
      <c r="S45" s="103">
        <v>-1.0884408E-3</v>
      </c>
      <c r="T45" s="82">
        <v>2.0000000000000001E-4</v>
      </c>
    </row>
    <row r="46" spans="6:20" x14ac:dyDescent="0.2">
      <c r="F46" s="18" t="s">
        <v>86</v>
      </c>
      <c r="G46" s="101">
        <v>6.7929536999999998E-2</v>
      </c>
      <c r="H46" s="101">
        <v>2.5339563400000001E-2</v>
      </c>
      <c r="I46" s="101">
        <v>2.3541849100000001E-2</v>
      </c>
      <c r="J46" s="101">
        <v>-2.1690152800000001E-2</v>
      </c>
      <c r="K46" s="101">
        <v>4.8412469899999998E-2</v>
      </c>
      <c r="L46" s="101">
        <v>2.5292050699999999E-2</v>
      </c>
      <c r="M46" s="101">
        <v>2.1180933999999998E-3</v>
      </c>
      <c r="N46" s="101">
        <v>-0.1047634326</v>
      </c>
      <c r="O46" s="101">
        <v>-9.2497203E-3</v>
      </c>
      <c r="P46" s="101">
        <v>1.7493228699999998E-2</v>
      </c>
      <c r="Q46" s="101">
        <v>-1.4573470999999999E-3</v>
      </c>
      <c r="R46" s="102">
        <v>2.0317120800000001E-2</v>
      </c>
      <c r="S46" s="103">
        <v>1.7233950000000001E-4</v>
      </c>
      <c r="T46" s="82">
        <v>2.0000000000000001E-4</v>
      </c>
    </row>
    <row r="47" spans="6:20" x14ac:dyDescent="0.2">
      <c r="F47" s="18" t="s">
        <v>87</v>
      </c>
      <c r="G47" s="101">
        <v>-5.7337297799999999E-2</v>
      </c>
      <c r="H47" s="101">
        <v>1.41216413E-2</v>
      </c>
      <c r="I47" s="101">
        <v>2.9309812000000001E-2</v>
      </c>
      <c r="J47" s="101">
        <v>-6.3360295600000005E-2</v>
      </c>
      <c r="K47" s="101">
        <v>-4.1532691199999999E-2</v>
      </c>
      <c r="L47" s="101">
        <v>-0.1034157473</v>
      </c>
      <c r="M47" s="101">
        <v>-3.8280242800000003E-2</v>
      </c>
      <c r="N47" s="101">
        <v>0.107955523</v>
      </c>
      <c r="O47" s="101">
        <v>-5.6016458300000002E-2</v>
      </c>
      <c r="P47" s="101">
        <v>-5.5362757800000002E-2</v>
      </c>
      <c r="Q47" s="101">
        <v>-3.5487782799999999E-2</v>
      </c>
      <c r="R47" s="102">
        <v>1.7707264300000001E-2</v>
      </c>
      <c r="S47" s="103">
        <v>-3.03145927E-2</v>
      </c>
      <c r="T47" s="82">
        <v>2.0000000000000001E-4</v>
      </c>
    </row>
    <row r="48" spans="6:20" x14ac:dyDescent="0.2">
      <c r="F48" s="18" t="s">
        <v>88</v>
      </c>
      <c r="G48" s="101">
        <v>1.4826115900000001E-2</v>
      </c>
      <c r="H48" s="101">
        <v>3.49870719E-2</v>
      </c>
      <c r="I48" s="101">
        <v>0.1218115538</v>
      </c>
      <c r="J48" s="101">
        <v>4.4383427900000001E-2</v>
      </c>
      <c r="K48" s="101">
        <v>0.1345745035</v>
      </c>
      <c r="L48" s="101">
        <v>-1.1639842399999999E-2</v>
      </c>
      <c r="M48" s="101">
        <v>7.0944030399999997E-2</v>
      </c>
      <c r="N48" s="101">
        <v>0.11504012199999999</v>
      </c>
      <c r="O48" s="101">
        <v>3.4752797699999997E-2</v>
      </c>
      <c r="P48" s="101">
        <v>8.1148804300000002E-2</v>
      </c>
      <c r="Q48" s="101">
        <v>0.1107699192</v>
      </c>
      <c r="R48" s="102">
        <v>0.11458886710000001</v>
      </c>
      <c r="S48" s="103">
        <v>5.8179582600000002E-2</v>
      </c>
      <c r="T48" s="82">
        <v>2.0000000000000001E-4</v>
      </c>
    </row>
    <row r="49" spans="6:20" x14ac:dyDescent="0.2">
      <c r="F49" s="18" t="s">
        <v>89</v>
      </c>
      <c r="G49" s="101">
        <v>-2.62221994E-2</v>
      </c>
      <c r="H49" s="101">
        <v>-5.8358713399999998E-2</v>
      </c>
      <c r="I49" s="101">
        <v>-3.1376795700000001E-2</v>
      </c>
      <c r="J49" s="101">
        <v>2.9308298000000001E-3</v>
      </c>
      <c r="K49" s="101">
        <v>6.8316318400000006E-2</v>
      </c>
      <c r="L49" s="101">
        <v>4.1196717000000001E-2</v>
      </c>
      <c r="M49" s="101">
        <v>-9.2624414999999995E-3</v>
      </c>
      <c r="N49" s="101">
        <v>-2.3126951E-2</v>
      </c>
      <c r="O49" s="101">
        <v>4.6460737000000004E-3</v>
      </c>
      <c r="P49" s="101">
        <v>-6.1776084000000004E-3</v>
      </c>
      <c r="Q49" s="101">
        <v>1.2119922199999999E-2</v>
      </c>
      <c r="R49" s="102">
        <v>-4.0643696999999998E-3</v>
      </c>
      <c r="S49" s="103">
        <v>-3.7612924E-3</v>
      </c>
      <c r="T49" s="82">
        <v>2.0000000000000001E-4</v>
      </c>
    </row>
    <row r="50" spans="6:20" x14ac:dyDescent="0.2">
      <c r="F50" s="18" t="s">
        <v>90</v>
      </c>
      <c r="G50" s="101">
        <v>-4.8086207800000003E-2</v>
      </c>
      <c r="H50" s="101">
        <v>-3.3577432999999997E-2</v>
      </c>
      <c r="I50" s="101">
        <v>-7.3521453200000003E-2</v>
      </c>
      <c r="J50" s="101">
        <v>3.5651723400000002E-2</v>
      </c>
      <c r="K50" s="101">
        <v>-8.4844001200000005E-2</v>
      </c>
      <c r="L50" s="101">
        <v>4.7806270499999998E-2</v>
      </c>
      <c r="M50" s="101">
        <v>2.3787069800000001E-2</v>
      </c>
      <c r="N50" s="101">
        <v>-5.5286883E-3</v>
      </c>
      <c r="O50" s="101">
        <v>3.09197529E-2</v>
      </c>
      <c r="P50" s="101">
        <v>4.9728067700000003E-2</v>
      </c>
      <c r="Q50" s="101">
        <v>9.5096313700000004E-2</v>
      </c>
      <c r="R50" s="102">
        <v>7.9760770999999994E-3</v>
      </c>
      <c r="S50" s="103">
        <v>2.1835394899999999E-2</v>
      </c>
      <c r="T50" s="82">
        <v>2.0000000000000001E-4</v>
      </c>
    </row>
    <row r="51" spans="6:20" x14ac:dyDescent="0.2">
      <c r="F51" s="18" t="s">
        <v>91</v>
      </c>
      <c r="G51" s="101">
        <v>6.3043107700000003E-2</v>
      </c>
      <c r="H51" s="101">
        <v>-5.0637613300000002E-2</v>
      </c>
      <c r="I51" s="101">
        <v>4.7731351800000002E-2</v>
      </c>
      <c r="J51" s="101">
        <v>2.7652259500000002E-2</v>
      </c>
      <c r="K51" s="101">
        <v>0.1683855742</v>
      </c>
      <c r="L51" s="101">
        <v>2.7059128799999999E-2</v>
      </c>
      <c r="M51" s="101">
        <v>3.9763948399999999E-2</v>
      </c>
      <c r="N51" s="101">
        <v>-1.5538184300000001E-2</v>
      </c>
      <c r="O51" s="101">
        <v>5.3831113999999996E-3</v>
      </c>
      <c r="P51" s="101">
        <v>2.2649935E-2</v>
      </c>
      <c r="Q51" s="101">
        <v>0</v>
      </c>
      <c r="R51" s="102">
        <v>2.23049398E-2</v>
      </c>
      <c r="S51" s="103">
        <v>7.1711366E-3</v>
      </c>
      <c r="T51" s="82">
        <v>2.0000000000000001E-4</v>
      </c>
    </row>
    <row r="52" spans="6:20" x14ac:dyDescent="0.2">
      <c r="F52" s="18" t="s">
        <v>92</v>
      </c>
      <c r="G52" s="101">
        <v>-5.64364854E-2</v>
      </c>
      <c r="H52" s="101">
        <v>-6.9917395999999996E-3</v>
      </c>
      <c r="I52" s="101">
        <v>-1.5807162999999999E-3</v>
      </c>
      <c r="J52" s="101">
        <v>2.1200852499999999E-2</v>
      </c>
      <c r="K52" s="101">
        <v>-1.8550234200000001E-2</v>
      </c>
      <c r="L52" s="101">
        <v>3.6538510599999997E-2</v>
      </c>
      <c r="M52" s="101">
        <v>-2.5013766E-2</v>
      </c>
      <c r="N52" s="101">
        <v>-1.9204484899999999E-2</v>
      </c>
      <c r="O52" s="101">
        <v>2.5884498299999999E-2</v>
      </c>
      <c r="P52" s="101">
        <v>2.9072425700000001E-2</v>
      </c>
      <c r="Q52" s="101">
        <v>2.52521954E-2</v>
      </c>
      <c r="R52" s="102">
        <v>5.5249651000000002E-3</v>
      </c>
      <c r="S52" s="103">
        <v>-2.1402475099999999E-2</v>
      </c>
      <c r="T52" s="82">
        <v>2.0000000000000001E-4</v>
      </c>
    </row>
    <row r="53" spans="6:20" x14ac:dyDescent="0.2">
      <c r="F53" s="18" t="s">
        <v>93</v>
      </c>
      <c r="G53" s="101">
        <v>-0.1140171311</v>
      </c>
      <c r="H53" s="101">
        <v>-9.0830710000000005E-4</v>
      </c>
      <c r="I53" s="101">
        <v>4.08826807E-2</v>
      </c>
      <c r="J53" s="101">
        <v>-2.7656001E-3</v>
      </c>
      <c r="K53" s="101">
        <v>-4.2526629900000001E-2</v>
      </c>
      <c r="L53" s="101">
        <v>-3.8046362399999999E-2</v>
      </c>
      <c r="M53" s="101">
        <v>-4.5610265300000001E-2</v>
      </c>
      <c r="N53" s="101">
        <v>-5.5429312699999997E-2</v>
      </c>
      <c r="O53" s="101">
        <v>1.34055141E-2</v>
      </c>
      <c r="P53" s="101">
        <v>-8.0436403899999995E-2</v>
      </c>
      <c r="Q53" s="101">
        <v>-7.7933493699999995E-2</v>
      </c>
      <c r="R53" s="102">
        <v>-5.4578758300000002E-2</v>
      </c>
      <c r="S53" s="103">
        <v>-3.9951640400000002E-2</v>
      </c>
      <c r="T53" s="82">
        <v>2.0000000000000001E-4</v>
      </c>
    </row>
    <row r="54" spans="6:20" x14ac:dyDescent="0.2">
      <c r="F54" s="18" t="s">
        <v>94</v>
      </c>
      <c r="G54" s="101">
        <v>7.94511091E-2</v>
      </c>
      <c r="H54" s="101">
        <v>3.7979748899999999E-2</v>
      </c>
      <c r="I54" s="101">
        <v>-2.2127544000000001E-3</v>
      </c>
      <c r="J54" s="101">
        <v>-1.7563396700000001E-2</v>
      </c>
      <c r="K54" s="101">
        <v>-2.62336151E-2</v>
      </c>
      <c r="L54" s="101">
        <v>1.47257442E-2</v>
      </c>
      <c r="M54" s="101">
        <v>8.2203429999999994E-2</v>
      </c>
      <c r="N54" s="101">
        <v>-4.4733011900000001E-2</v>
      </c>
      <c r="O54" s="101">
        <v>6.2070683100000003E-2</v>
      </c>
      <c r="P54" s="101">
        <v>1.73995965E-2</v>
      </c>
      <c r="Q54" s="101">
        <v>4.3668012999999999E-2</v>
      </c>
      <c r="R54" s="102">
        <v>-3.6226235799999999E-2</v>
      </c>
      <c r="S54" s="103">
        <v>3.1770007099999997E-2</v>
      </c>
      <c r="T54" s="82">
        <v>2.0000000000000001E-4</v>
      </c>
    </row>
    <row r="55" spans="6:20" x14ac:dyDescent="0.2">
      <c r="F55" s="18" t="s">
        <v>95</v>
      </c>
      <c r="G55" s="101">
        <v>6.4416130599999996E-2</v>
      </c>
      <c r="H55" s="101">
        <v>2.2187499499999999E-2</v>
      </c>
      <c r="I55" s="101">
        <v>5.0268070200000001E-2</v>
      </c>
      <c r="J55" s="101">
        <v>-2.6343959000000002E-3</v>
      </c>
      <c r="K55" s="101">
        <v>5.9482417699999998E-2</v>
      </c>
      <c r="L55" s="101">
        <v>-9.5856522200000002E-2</v>
      </c>
      <c r="M55" s="101">
        <v>-1.1141021999999999E-3</v>
      </c>
      <c r="N55" s="101">
        <v>-3.74286889E-2</v>
      </c>
      <c r="O55" s="101">
        <v>7.2574825199999998E-2</v>
      </c>
      <c r="P55" s="101">
        <v>-5.4726287700000001E-2</v>
      </c>
      <c r="Q55" s="101">
        <v>2.5104829799999999E-2</v>
      </c>
      <c r="R55" s="102">
        <v>-7.5276447299999993E-2</v>
      </c>
      <c r="S55" s="103">
        <v>8.0346663999999995E-3</v>
      </c>
      <c r="T55" s="82">
        <v>2.0000000000000001E-4</v>
      </c>
    </row>
    <row r="56" spans="6:20" x14ac:dyDescent="0.2">
      <c r="F56" s="18" t="s">
        <v>96</v>
      </c>
      <c r="G56" s="101">
        <v>-4.45603101E-2</v>
      </c>
      <c r="H56" s="101">
        <v>-4.5315939499999999E-2</v>
      </c>
      <c r="I56" s="101">
        <v>-7.6896045499999996E-2</v>
      </c>
      <c r="J56" s="101">
        <v>2.30186748E-2</v>
      </c>
      <c r="K56" s="101">
        <v>-2.5428055099999999E-2</v>
      </c>
      <c r="L56" s="101">
        <v>4.3717217000000003E-2</v>
      </c>
      <c r="M56" s="101">
        <v>1.3275101900000001E-2</v>
      </c>
      <c r="N56" s="101">
        <v>3.2781228699999998E-2</v>
      </c>
      <c r="O56" s="101">
        <v>-0.1775346767</v>
      </c>
      <c r="P56" s="101">
        <v>3.4210402100000002E-2</v>
      </c>
      <c r="Q56" s="101">
        <v>-6.6975136599999999E-2</v>
      </c>
      <c r="R56" s="102">
        <v>-1.1520508400000001E-2</v>
      </c>
      <c r="S56" s="103">
        <v>-4.1472017100000001E-2</v>
      </c>
      <c r="T56" s="82">
        <v>2.0000000000000001E-4</v>
      </c>
    </row>
    <row r="57" spans="6:20" x14ac:dyDescent="0.2">
      <c r="F57" s="18" t="s">
        <v>97</v>
      </c>
      <c r="G57" s="101">
        <v>2.9306591699999999E-2</v>
      </c>
      <c r="H57" s="101">
        <v>2.8320708999999999E-2</v>
      </c>
      <c r="I57" s="101">
        <v>0.12333218310000001</v>
      </c>
      <c r="J57" s="101">
        <v>4.6661936000000001E-2</v>
      </c>
      <c r="K57" s="101">
        <v>5.2196615199999997E-2</v>
      </c>
      <c r="L57" s="101">
        <v>8.9639464799999999E-2</v>
      </c>
      <c r="M57" s="101">
        <v>4.9323054499999998E-2</v>
      </c>
      <c r="N57" s="101">
        <v>8.9312775999999997E-2</v>
      </c>
      <c r="O57" s="101">
        <v>5.7018985799999998E-2</v>
      </c>
      <c r="P57" s="101">
        <v>4.3256967899999998E-2</v>
      </c>
      <c r="Q57" s="101">
        <v>-5.1244266500000003E-2</v>
      </c>
      <c r="R57" s="102">
        <v>-4.39799487E-2</v>
      </c>
      <c r="S57" s="103">
        <v>3.7110086899999999E-2</v>
      </c>
      <c r="T57" s="82">
        <v>2.0000000000000001E-4</v>
      </c>
    </row>
    <row r="58" spans="6:20" x14ac:dyDescent="0.2">
      <c r="F58" s="18" t="s">
        <v>98</v>
      </c>
      <c r="G58" s="101">
        <v>-0.1560364139</v>
      </c>
      <c r="H58" s="101">
        <v>-4.46082332E-2</v>
      </c>
      <c r="I58" s="101">
        <v>9.3330375000000004E-3</v>
      </c>
      <c r="J58" s="101">
        <v>-4.0528516100000002E-2</v>
      </c>
      <c r="K58" s="101">
        <v>-1.9429825299999998E-2</v>
      </c>
      <c r="L58" s="101">
        <v>9.4893753499999997E-2</v>
      </c>
      <c r="M58" s="101">
        <v>-2.32551179E-2</v>
      </c>
      <c r="N58" s="101">
        <v>-6.1841339199999998E-2</v>
      </c>
      <c r="O58" s="101">
        <v>-2.82560031E-2</v>
      </c>
      <c r="P58" s="101">
        <v>-7.6067117500000003E-2</v>
      </c>
      <c r="Q58" s="101">
        <v>-5.4900964699999999E-2</v>
      </c>
      <c r="R58" s="102">
        <v>6.9914141099999993E-2</v>
      </c>
      <c r="S58" s="103">
        <v>-2.6748372699999998E-2</v>
      </c>
      <c r="T58" s="82">
        <v>2.0000000000000001E-4</v>
      </c>
    </row>
    <row r="59" spans="6:20" x14ac:dyDescent="0.2">
      <c r="F59" s="18" t="s">
        <v>99</v>
      </c>
      <c r="G59" s="101">
        <v>0.14147546259999999</v>
      </c>
      <c r="H59" s="101">
        <v>-5.0446586600000003E-2</v>
      </c>
      <c r="I59" s="101">
        <v>8.55748645E-2</v>
      </c>
      <c r="J59" s="101">
        <v>9.4030923099999997E-2</v>
      </c>
      <c r="K59" s="101">
        <v>1.51826922E-2</v>
      </c>
      <c r="L59" s="101">
        <v>1.9165343500000001E-2</v>
      </c>
      <c r="M59" s="101">
        <v>0.15543005130000001</v>
      </c>
      <c r="N59" s="101">
        <v>0.12687923349999999</v>
      </c>
      <c r="O59" s="101">
        <v>8.3796006699999995E-2</v>
      </c>
      <c r="P59" s="101">
        <v>0.1054281706</v>
      </c>
      <c r="Q59" s="101">
        <v>8.6192041699999999E-2</v>
      </c>
      <c r="R59" s="102">
        <v>2.92243282E-2</v>
      </c>
      <c r="S59" s="103">
        <v>7.7584693699999999E-2</v>
      </c>
      <c r="T59" s="82">
        <v>2.0000000000000001E-4</v>
      </c>
    </row>
    <row r="60" spans="6:20" x14ac:dyDescent="0.2">
      <c r="F60" s="18" t="s">
        <v>100</v>
      </c>
      <c r="G60" s="101">
        <v>0.17224576059999999</v>
      </c>
      <c r="H60" s="101">
        <v>0.1136288854</v>
      </c>
      <c r="I60" s="101">
        <v>0.11925058099999999</v>
      </c>
      <c r="J60" s="101">
        <v>4.6332121699999999E-2</v>
      </c>
      <c r="K60" s="101">
        <v>7.6045896999999999E-3</v>
      </c>
      <c r="L60" s="101">
        <v>-4.0272819299999998E-2</v>
      </c>
      <c r="M60" s="101">
        <v>-6.0975268000000001E-3</v>
      </c>
      <c r="N60" s="101">
        <v>0.25861315829999998</v>
      </c>
      <c r="O60" s="101">
        <v>6.9511990300000007E-2</v>
      </c>
      <c r="P60" s="101">
        <v>7.43285749E-2</v>
      </c>
      <c r="Q60" s="101">
        <v>6.0109763500000003E-2</v>
      </c>
      <c r="R60" s="102">
        <v>0.1319386474</v>
      </c>
      <c r="S60" s="103">
        <v>7.5415101400000004E-2</v>
      </c>
      <c r="T60" s="82">
        <v>2.0000000000000001E-4</v>
      </c>
    </row>
    <row r="61" spans="6:20" x14ac:dyDescent="0.2">
      <c r="F61" s="18" t="s">
        <v>101</v>
      </c>
      <c r="G61" s="101">
        <v>9.2354801799999997E-2</v>
      </c>
      <c r="H61" s="101">
        <v>8.60051441E-2</v>
      </c>
      <c r="I61" s="101">
        <v>5.6731624100000003E-2</v>
      </c>
      <c r="J61" s="101">
        <v>4.6525339000000002E-3</v>
      </c>
      <c r="K61" s="101">
        <v>-7.3962323400000002E-2</v>
      </c>
      <c r="L61" s="101">
        <v>0.13889356659999999</v>
      </c>
      <c r="M61" s="101">
        <v>3.9641608299999999E-2</v>
      </c>
      <c r="N61" s="101">
        <v>-1.25799959E-2</v>
      </c>
      <c r="O61" s="101">
        <v>4.8232579599999999E-2</v>
      </c>
      <c r="P61" s="101">
        <v>5.1401818E-3</v>
      </c>
      <c r="Q61" s="101">
        <v>-4.0634355800000001E-2</v>
      </c>
      <c r="R61" s="102">
        <v>3.9606071000000001E-3</v>
      </c>
      <c r="S61" s="103">
        <v>1.6593050299999999E-2</v>
      </c>
      <c r="T61" s="82">
        <v>2.0000000000000001E-4</v>
      </c>
    </row>
    <row r="62" spans="6:20" x14ac:dyDescent="0.2">
      <c r="F62" s="18" t="s">
        <v>102</v>
      </c>
      <c r="G62" s="101">
        <v>2.5810609200000001E-2</v>
      </c>
      <c r="H62" s="101">
        <v>-2.2978870000000002E-3</v>
      </c>
      <c r="I62" s="101">
        <v>4.0984740499999998E-2</v>
      </c>
      <c r="J62" s="101">
        <v>3.0182132600000001E-2</v>
      </c>
      <c r="K62" s="101">
        <v>-1.0866615099999999E-2</v>
      </c>
      <c r="L62" s="101">
        <v>3.1723912600000001E-2</v>
      </c>
      <c r="M62" s="101">
        <v>7.7166279000000001E-3</v>
      </c>
      <c r="N62" s="101">
        <v>0.1100624647</v>
      </c>
      <c r="O62" s="101">
        <v>-7.9407708999999996E-3</v>
      </c>
      <c r="P62" s="101">
        <v>-7.6157648600000002E-2</v>
      </c>
      <c r="Q62" s="101">
        <v>6.1349195099999997E-2</v>
      </c>
      <c r="R62" s="102">
        <v>2.9870433200000001E-2</v>
      </c>
      <c r="S62" s="103">
        <v>2.5528438999999998E-3</v>
      </c>
      <c r="T62" s="82">
        <v>2.0000000000000001E-4</v>
      </c>
    </row>
    <row r="63" spans="6:20" x14ac:dyDescent="0.2">
      <c r="F63" s="18" t="s">
        <v>103</v>
      </c>
      <c r="G63" s="101">
        <v>0</v>
      </c>
      <c r="H63" s="101">
        <v>-2.6754213799999999E-2</v>
      </c>
      <c r="I63" s="101">
        <v>-6.0379737999999997E-3</v>
      </c>
      <c r="J63" s="101">
        <v>-3.0692948099999999E-2</v>
      </c>
      <c r="K63" s="101">
        <v>3.7014148500000003E-2</v>
      </c>
      <c r="L63" s="101">
        <v>5.5184298800000003E-2</v>
      </c>
      <c r="M63" s="101">
        <v>1.39639454E-2</v>
      </c>
      <c r="N63" s="101">
        <v>4.5697124999999998E-3</v>
      </c>
      <c r="O63" s="101">
        <v>-2.2477897699999999E-2</v>
      </c>
      <c r="P63" s="101">
        <v>5.9439083400000002E-2</v>
      </c>
      <c r="Q63" s="101">
        <v>-5.1768604000000003E-2</v>
      </c>
      <c r="R63" s="102">
        <v>8.1982906999999994E-3</v>
      </c>
      <c r="S63" s="103">
        <v>-7.6488996999999996E-3</v>
      </c>
      <c r="T63" s="82">
        <v>2.0000000000000001E-4</v>
      </c>
    </row>
    <row r="64" spans="6:20" x14ac:dyDescent="0.2">
      <c r="F64" s="18" t="s">
        <v>104</v>
      </c>
      <c r="G64" s="101">
        <v>-6.1290164899999999E-2</v>
      </c>
      <c r="H64" s="101">
        <v>1.22479231E-2</v>
      </c>
      <c r="I64" s="101">
        <v>1.9562207200000001E-2</v>
      </c>
      <c r="J64" s="101">
        <v>-5.0322775799999997E-2</v>
      </c>
      <c r="K64" s="101">
        <v>-9.4421716500000002E-2</v>
      </c>
      <c r="L64" s="101">
        <v>-5.9187399000000002E-2</v>
      </c>
      <c r="M64" s="101">
        <v>-7.9520320199999994E-2</v>
      </c>
      <c r="N64" s="101">
        <v>8.7968546000000009E-3</v>
      </c>
      <c r="O64" s="101">
        <v>2.1724099899999998E-2</v>
      </c>
      <c r="P64" s="101">
        <v>-9.9592768600000006E-2</v>
      </c>
      <c r="Q64" s="101">
        <v>-5.23109483E-2</v>
      </c>
      <c r="R64" s="102">
        <v>-4.0680397200000003E-2</v>
      </c>
      <c r="S64" s="103">
        <v>-4.3469392400000001E-2</v>
      </c>
      <c r="T64" s="82">
        <v>2.0000000000000001E-4</v>
      </c>
    </row>
    <row r="65" spans="6:20" x14ac:dyDescent="0.2">
      <c r="F65" s="18" t="s">
        <v>105</v>
      </c>
      <c r="G65" s="101">
        <v>0.1318727307</v>
      </c>
      <c r="H65" s="101">
        <v>9.52909282E-2</v>
      </c>
      <c r="I65" s="101">
        <v>9.6761819799999996E-2</v>
      </c>
      <c r="J65" s="101">
        <v>6.3804293299999995E-2</v>
      </c>
      <c r="K65" s="101">
        <v>5.0781098300000001E-2</v>
      </c>
      <c r="L65" s="101">
        <v>7.8525894799999996E-2</v>
      </c>
      <c r="M65" s="101">
        <v>5.2606235699999997E-2</v>
      </c>
      <c r="N65" s="101">
        <v>-0.10319003290000001</v>
      </c>
      <c r="O65" s="101">
        <v>0.1102676338</v>
      </c>
      <c r="P65" s="101">
        <v>2.6804351300000001E-2</v>
      </c>
      <c r="Q65" s="101">
        <v>4.85830742E-2</v>
      </c>
      <c r="R65" s="102">
        <v>0.1256743582</v>
      </c>
      <c r="S65" s="103">
        <v>6.1043308400000003E-2</v>
      </c>
      <c r="T65" s="82">
        <v>2.0000000000000001E-4</v>
      </c>
    </row>
    <row r="66" spans="6:20" x14ac:dyDescent="0.2">
      <c r="F66" s="18" t="s">
        <v>106</v>
      </c>
      <c r="G66" s="101">
        <v>-0.100773974</v>
      </c>
      <c r="H66" s="101">
        <v>-5.1256056899999999E-2</v>
      </c>
      <c r="I66" s="101">
        <v>-7.9609427600000005E-2</v>
      </c>
      <c r="J66" s="101">
        <v>-0.10212366859999999</v>
      </c>
      <c r="K66" s="101">
        <v>-8.5787883499999995E-2</v>
      </c>
      <c r="L66" s="101">
        <v>-0.1066441853</v>
      </c>
      <c r="M66" s="101">
        <v>-0.13559613700000001</v>
      </c>
      <c r="N66" s="101">
        <v>-0.11566013579999999</v>
      </c>
      <c r="O66" s="101">
        <v>-0.10003084769999999</v>
      </c>
      <c r="P66" s="101">
        <v>-0.1141688091</v>
      </c>
      <c r="Q66" s="101">
        <v>-9.4730833299999997E-2</v>
      </c>
      <c r="R66" s="102">
        <v>-1.6952011900000001E-2</v>
      </c>
      <c r="S66" s="103">
        <v>-8.4535244600000004E-2</v>
      </c>
      <c r="T66" s="82">
        <v>2.0000000000000001E-4</v>
      </c>
    </row>
    <row r="67" spans="6:20" x14ac:dyDescent="0.2">
      <c r="F67" s="18" t="s">
        <v>107</v>
      </c>
      <c r="G67" s="101">
        <v>-8.91718705E-2</v>
      </c>
      <c r="H67" s="101">
        <v>-6.7709243099999997E-2</v>
      </c>
      <c r="I67" s="101">
        <v>-6.2406791999999999E-3</v>
      </c>
      <c r="J67" s="101">
        <v>1.85955023E-2</v>
      </c>
      <c r="K67" s="101">
        <v>-9.6653014499999995E-2</v>
      </c>
      <c r="L67" s="101">
        <v>2.6369822000000001E-2</v>
      </c>
      <c r="M67" s="101">
        <v>-3.5714527099999997E-2</v>
      </c>
      <c r="N67" s="101">
        <v>-0.13618558650000001</v>
      </c>
      <c r="O67" s="101">
        <v>-3.7200758299999998E-2</v>
      </c>
      <c r="P67" s="101">
        <v>-0.1121961606</v>
      </c>
      <c r="Q67" s="101">
        <v>-1.4826783499999999E-2</v>
      </c>
      <c r="R67" s="102">
        <v>-1.21929807E-2</v>
      </c>
      <c r="S67" s="103">
        <v>-4.2480608599999997E-2</v>
      </c>
      <c r="T67" s="82">
        <v>2.0000000000000001E-4</v>
      </c>
    </row>
    <row r="68" spans="6:20" x14ac:dyDescent="0.2">
      <c r="F68" s="18" t="s">
        <v>108</v>
      </c>
      <c r="G68" s="101">
        <v>0.19750500260000001</v>
      </c>
      <c r="H68" s="101">
        <v>5.3374013999999997E-2</v>
      </c>
      <c r="I68" s="101">
        <v>1.77091583E-2</v>
      </c>
      <c r="J68" s="101">
        <v>0.12389236939999999</v>
      </c>
      <c r="K68" s="101">
        <v>0.1049168853</v>
      </c>
      <c r="L68" s="101">
        <v>7.7999828899999998E-2</v>
      </c>
      <c r="M68" s="101">
        <v>0.188734023</v>
      </c>
      <c r="N68" s="101">
        <v>0.33953130819999999</v>
      </c>
      <c r="O68" s="101">
        <v>8.1988521100000003E-2</v>
      </c>
      <c r="P68" s="101">
        <v>0.1013799591</v>
      </c>
      <c r="Q68" s="101">
        <v>0.1149757765</v>
      </c>
      <c r="R68" s="102">
        <v>8.2348764500000005E-2</v>
      </c>
      <c r="S68" s="103">
        <v>9.9290980700000003E-2</v>
      </c>
      <c r="T68" s="82">
        <v>2.0000000000000001E-4</v>
      </c>
    </row>
    <row r="69" spans="6:20" x14ac:dyDescent="0.2">
      <c r="F69" s="18" t="s">
        <v>109</v>
      </c>
      <c r="G69" s="101">
        <v>8.0176914500000002E-2</v>
      </c>
      <c r="H69" s="101">
        <v>1.53818098E-2</v>
      </c>
      <c r="I69" s="101">
        <v>7.7625593300000004E-2</v>
      </c>
      <c r="J69" s="101">
        <v>4.60495156E-2</v>
      </c>
      <c r="K69" s="101">
        <v>6.8578628099999997E-2</v>
      </c>
      <c r="L69" s="101">
        <v>-4.88083001E-2</v>
      </c>
      <c r="M69" s="101">
        <v>4.6638968999999997E-3</v>
      </c>
      <c r="N69" s="101">
        <v>0.11407911110000001</v>
      </c>
      <c r="O69" s="101">
        <v>-8.1328223500000005E-2</v>
      </c>
      <c r="P69" s="101">
        <v>8.9324571500000005E-2</v>
      </c>
      <c r="Q69" s="101">
        <v>6.4673087399999996E-2</v>
      </c>
      <c r="R69" s="102">
        <v>2.9327366999999998E-3</v>
      </c>
      <c r="S69" s="103">
        <v>1.22384852E-2</v>
      </c>
      <c r="T69" s="82">
        <v>2.0000000000000001E-4</v>
      </c>
    </row>
    <row r="70" spans="6:20" x14ac:dyDescent="0.2">
      <c r="F70" s="18" t="s">
        <v>110</v>
      </c>
      <c r="G70" s="101">
        <v>-9.4097138100000005E-2</v>
      </c>
      <c r="H70" s="101">
        <v>-6.9149894099999998E-2</v>
      </c>
      <c r="I70" s="101">
        <v>-1.9697590000000001E-2</v>
      </c>
      <c r="J70" s="101">
        <v>-6.1058361200000001E-2</v>
      </c>
      <c r="K70" s="101">
        <v>-1.0006203599999999E-2</v>
      </c>
      <c r="L70" s="101">
        <v>-6.4516148600000003E-2</v>
      </c>
      <c r="M70" s="101">
        <v>-1.40932759E-2</v>
      </c>
      <c r="N70" s="101">
        <v>-3.0153962999999999E-2</v>
      </c>
      <c r="O70" s="101">
        <v>-6.8499729400000001E-2</v>
      </c>
      <c r="P70" s="101">
        <v>-0.1240000207</v>
      </c>
      <c r="Q70" s="101">
        <v>-0.1220212765</v>
      </c>
      <c r="R70" s="102">
        <v>-3.0372583700000001E-2</v>
      </c>
      <c r="S70" s="103">
        <v>-6.4656291899999996E-2</v>
      </c>
      <c r="T70" s="82">
        <v>2.0000000000000001E-4</v>
      </c>
    </row>
    <row r="71" spans="6:20" x14ac:dyDescent="0.2">
      <c r="F71" s="18" t="s">
        <v>111</v>
      </c>
      <c r="G71" s="101">
        <v>-6.7419385600000006E-2</v>
      </c>
      <c r="H71" s="101">
        <v>-0.1628375067</v>
      </c>
      <c r="I71" s="101">
        <v>-1.7757113200000001E-2</v>
      </c>
      <c r="J71" s="101">
        <v>1.8786074900000001E-2</v>
      </c>
      <c r="K71" s="101">
        <v>-9.9846779499999996E-2</v>
      </c>
      <c r="L71" s="101">
        <v>5.7739612000000003E-3</v>
      </c>
      <c r="M71" s="101">
        <v>2.6140802800000001E-2</v>
      </c>
      <c r="N71" s="101">
        <v>-0.15869592660000001</v>
      </c>
      <c r="O71" s="101">
        <v>-2.6081435100000001E-2</v>
      </c>
      <c r="P71" s="101">
        <v>-6.5639447000000004E-2</v>
      </c>
      <c r="Q71" s="101">
        <v>6.2505201999999999E-3</v>
      </c>
      <c r="R71" s="102">
        <v>5.5461756199999997E-2</v>
      </c>
      <c r="S71" s="103">
        <v>-4.7452488500000001E-2</v>
      </c>
      <c r="T71" s="82">
        <v>2.0000000000000001E-4</v>
      </c>
    </row>
    <row r="72" spans="6:20" x14ac:dyDescent="0.2">
      <c r="F72" s="18" t="s">
        <v>112</v>
      </c>
      <c r="G72" s="101">
        <v>3.3898282799999999E-2</v>
      </c>
      <c r="H72" s="101">
        <v>-1.6581025400000001E-2</v>
      </c>
      <c r="I72" s="101">
        <v>-8.7773504700000005E-2</v>
      </c>
      <c r="J72" s="101">
        <v>1.2293139E-2</v>
      </c>
      <c r="K72" s="101">
        <v>-2.7900589900000002E-2</v>
      </c>
      <c r="L72" s="101">
        <v>3.0295665000000002E-3</v>
      </c>
      <c r="M72" s="101">
        <v>-9.1153335799999999E-2</v>
      </c>
      <c r="N72" s="101">
        <v>7.9686919800000006E-2</v>
      </c>
      <c r="O72" s="101">
        <v>-4.3892727100000001E-2</v>
      </c>
      <c r="P72" s="101">
        <v>0.1152516592</v>
      </c>
      <c r="Q72" s="101">
        <v>1.11189423E-2</v>
      </c>
      <c r="R72" s="102">
        <v>2.24286699E-2</v>
      </c>
      <c r="S72" s="103">
        <v>-1.4369465099999999E-2</v>
      </c>
      <c r="T72" s="82">
        <v>2.0000000000000001E-4</v>
      </c>
    </row>
    <row r="73" spans="6:20" x14ac:dyDescent="0.2">
      <c r="F73" s="18" t="s">
        <v>113</v>
      </c>
      <c r="G73" s="101">
        <v>-2.3920945700000001E-2</v>
      </c>
      <c r="H73" s="101">
        <v>2.86046797E-2</v>
      </c>
      <c r="I73" s="101">
        <v>7.6662505800000003E-2</v>
      </c>
      <c r="J73" s="101">
        <v>-2.6778887899999999E-2</v>
      </c>
      <c r="K73" s="101">
        <v>-4.51523707E-2</v>
      </c>
      <c r="L73" s="101">
        <v>-1.14269062E-2</v>
      </c>
      <c r="M73" s="101">
        <v>-1.1212633E-3</v>
      </c>
      <c r="N73" s="101">
        <v>3.7794144000000002E-2</v>
      </c>
      <c r="O73" s="101">
        <v>-3.18348065E-2</v>
      </c>
      <c r="P73" s="101">
        <v>1.40587778E-2</v>
      </c>
      <c r="Q73" s="101">
        <v>-3.1782389799999998E-2</v>
      </c>
      <c r="R73" s="102">
        <v>2.5853995599999999E-2</v>
      </c>
      <c r="S73" s="103">
        <v>7.2378301000000003E-3</v>
      </c>
      <c r="T73" s="82">
        <v>2.0000000000000001E-4</v>
      </c>
    </row>
    <row r="74" spans="6:20" x14ac:dyDescent="0.2">
      <c r="F74" s="18" t="s">
        <v>114</v>
      </c>
      <c r="G74" s="101">
        <v>-6.4095897900000004E-2</v>
      </c>
      <c r="H74" s="101">
        <v>4.5444316399999997E-2</v>
      </c>
      <c r="I74" s="101">
        <v>-1.27149997E-2</v>
      </c>
      <c r="J74" s="101">
        <v>-2.1436404799999999E-2</v>
      </c>
      <c r="K74" s="101">
        <v>5.57185522E-2</v>
      </c>
      <c r="L74" s="101">
        <v>5.0090220000000001E-3</v>
      </c>
      <c r="M74" s="101">
        <v>-3.79591549E-2</v>
      </c>
      <c r="N74" s="101">
        <v>-3.4814470600000001E-2</v>
      </c>
      <c r="O74" s="101">
        <v>1.7640237900000001E-2</v>
      </c>
      <c r="P74" s="101">
        <v>2.3406529400000001E-2</v>
      </c>
      <c r="Q74" s="101">
        <v>0.11242665509999999</v>
      </c>
      <c r="R74" s="102">
        <v>-3.5132686000000002E-3</v>
      </c>
      <c r="S74" s="103">
        <v>1.0011243100000001E-2</v>
      </c>
      <c r="T74" s="82">
        <v>2.0000000000000001E-4</v>
      </c>
    </row>
    <row r="75" spans="6:20" x14ac:dyDescent="0.2">
      <c r="F75" s="18" t="s">
        <v>115</v>
      </c>
      <c r="G75" s="101">
        <v>2.5819340999999999E-2</v>
      </c>
      <c r="H75" s="101">
        <v>7.6232765699999996E-2</v>
      </c>
      <c r="I75" s="101">
        <v>5.1146377E-2</v>
      </c>
      <c r="J75" s="101">
        <v>3.1224384399999999E-2</v>
      </c>
      <c r="K75" s="101">
        <v>-3.8541634200000001E-2</v>
      </c>
      <c r="L75" s="101">
        <v>4.4855432000000001E-2</v>
      </c>
      <c r="M75" s="101">
        <v>3.85024479E-2</v>
      </c>
      <c r="N75" s="101">
        <v>7.1184739999999996E-4</v>
      </c>
      <c r="O75" s="101">
        <v>2.19110283E-2</v>
      </c>
      <c r="P75" s="101">
        <v>2.2343418300000001E-2</v>
      </c>
      <c r="Q75" s="101">
        <v>-5.8047408000000003E-3</v>
      </c>
      <c r="R75" s="102">
        <v>5.6512072300000001E-2</v>
      </c>
      <c r="S75" s="103">
        <v>1.73088393E-2</v>
      </c>
      <c r="T75" s="82">
        <v>2.0000000000000001E-4</v>
      </c>
    </row>
    <row r="76" spans="6:20" x14ac:dyDescent="0.2">
      <c r="F76" s="18" t="s">
        <v>116</v>
      </c>
      <c r="G76" s="101">
        <v>-5.4061672999999998E-2</v>
      </c>
      <c r="H76" s="101">
        <v>-0.20114550749999999</v>
      </c>
      <c r="I76" s="101">
        <v>-7.2968999600000001E-2</v>
      </c>
      <c r="J76" s="101">
        <v>3.2542869799999999E-2</v>
      </c>
      <c r="K76" s="101">
        <v>8.7402034599999998E-2</v>
      </c>
      <c r="L76" s="101">
        <v>3.6928697000000003E-2</v>
      </c>
      <c r="M76" s="101">
        <v>2.2367432E-2</v>
      </c>
      <c r="N76" s="101">
        <v>-0.1641111982</v>
      </c>
      <c r="O76" s="101">
        <v>6.0185540799999999E-2</v>
      </c>
      <c r="P76" s="101">
        <v>-5.2389035899999999E-2</v>
      </c>
      <c r="Q76" s="101">
        <v>-6.7539245000000003E-3</v>
      </c>
      <c r="R76" s="102">
        <v>-5.7700568100000002E-2</v>
      </c>
      <c r="S76" s="103">
        <v>-5.9512371199999997E-2</v>
      </c>
      <c r="T76" s="82">
        <v>2.0000000000000001E-4</v>
      </c>
    </row>
    <row r="77" spans="6:20" x14ac:dyDescent="0.2">
      <c r="F77" s="18" t="s">
        <v>117</v>
      </c>
      <c r="G77" s="101">
        <v>1.7398247799999999E-2</v>
      </c>
      <c r="H77" s="101">
        <v>0.1710747584</v>
      </c>
      <c r="I77" s="101">
        <v>9.9104894200000002E-2</v>
      </c>
      <c r="J77" s="101">
        <v>8.6264096400000004E-2</v>
      </c>
      <c r="K77" s="101">
        <v>1.48171763E-2</v>
      </c>
      <c r="L77" s="101">
        <v>0.1485653224</v>
      </c>
      <c r="M77" s="101">
        <v>2.0979014099999999E-2</v>
      </c>
      <c r="N77" s="101">
        <v>0.1433372362</v>
      </c>
      <c r="O77" s="101">
        <v>1.6417629999999999E-2</v>
      </c>
      <c r="P77" s="101">
        <v>0.10290237820000001</v>
      </c>
      <c r="Q77" s="101">
        <v>1.317585E-4</v>
      </c>
      <c r="R77" s="102">
        <v>6.5944281899999999E-2</v>
      </c>
      <c r="S77" s="103">
        <v>4.77477366E-2</v>
      </c>
      <c r="T77" s="82">
        <v>2.0000000000000001E-4</v>
      </c>
    </row>
    <row r="78" spans="6:20" x14ac:dyDescent="0.2">
      <c r="F78" s="18" t="s">
        <v>118</v>
      </c>
      <c r="G78" s="101">
        <v>-6.4603144999999997E-3</v>
      </c>
      <c r="H78" s="101">
        <v>2.8181777799999998E-2</v>
      </c>
      <c r="I78" s="101">
        <v>1.61723231E-2</v>
      </c>
      <c r="J78" s="101">
        <v>-1.1178866500000001E-2</v>
      </c>
      <c r="K78" s="101">
        <v>-2.9541684799999999E-2</v>
      </c>
      <c r="L78" s="101">
        <v>-1.6112356899999999E-2</v>
      </c>
      <c r="M78" s="101">
        <v>1.6023018399999998E-2</v>
      </c>
      <c r="N78" s="101">
        <v>-6.3130984400000006E-2</v>
      </c>
      <c r="O78" s="101">
        <v>-9.2974402499999997E-2</v>
      </c>
      <c r="P78" s="101">
        <v>4.39167086E-2</v>
      </c>
      <c r="Q78" s="101">
        <v>-2.3388019999999999E-4</v>
      </c>
      <c r="R78" s="102">
        <v>1.4731548E-3</v>
      </c>
      <c r="S78" s="103">
        <v>-3.5808820000000002E-4</v>
      </c>
      <c r="T78" s="82">
        <v>2.0000000000000001E-4</v>
      </c>
    </row>
    <row r="79" spans="6:20" x14ac:dyDescent="0.2">
      <c r="F79" s="18" t="s">
        <v>119</v>
      </c>
      <c r="G79" s="101">
        <v>2.9642383599999999E-2</v>
      </c>
      <c r="H79" s="101">
        <v>3.6181472E-3</v>
      </c>
      <c r="I79" s="101">
        <v>-1.8319244000000001E-3</v>
      </c>
      <c r="J79" s="101">
        <v>-3.0245157500000001E-2</v>
      </c>
      <c r="K79" s="101">
        <v>-3.4989410200000001E-2</v>
      </c>
      <c r="L79" s="101">
        <v>-4.3185187799999997E-2</v>
      </c>
      <c r="M79" s="101">
        <v>2.3809337600000001E-2</v>
      </c>
      <c r="N79" s="101">
        <v>-2.3188858E-3</v>
      </c>
      <c r="O79" s="101">
        <v>-2.0703674500000002E-2</v>
      </c>
      <c r="P79" s="101">
        <v>1.5878090300000001E-2</v>
      </c>
      <c r="Q79" s="101">
        <v>-1.35675911E-2</v>
      </c>
      <c r="R79" s="102">
        <v>1.9120361E-3</v>
      </c>
      <c r="S79" s="103">
        <v>2.2620667999999999E-3</v>
      </c>
      <c r="T79" s="82">
        <v>2.0000000000000001E-4</v>
      </c>
    </row>
    <row r="80" spans="6:20" x14ac:dyDescent="0.2">
      <c r="F80" s="18" t="s">
        <v>120</v>
      </c>
      <c r="G80" s="101">
        <v>5.7578018000000002E-3</v>
      </c>
      <c r="H80" s="101">
        <v>0.15446807500000001</v>
      </c>
      <c r="I80" s="101">
        <v>-0.13420507779999999</v>
      </c>
      <c r="J80" s="101">
        <v>-4.4966077200000003E-2</v>
      </c>
      <c r="K80" s="101">
        <v>-4.7498114199999997E-2</v>
      </c>
      <c r="L80" s="101">
        <v>1.8909380999999999E-2</v>
      </c>
      <c r="M80" s="101">
        <v>2.8476471499999999E-2</v>
      </c>
      <c r="N80" s="101">
        <v>8.1624260300000001E-2</v>
      </c>
      <c r="O80" s="101">
        <v>4.9083410500000001E-2</v>
      </c>
      <c r="P80" s="101">
        <v>-1.48244199E-2</v>
      </c>
      <c r="Q80" s="101">
        <v>5.2136054600000002E-2</v>
      </c>
      <c r="R80" s="102">
        <v>-3.1415150000000003E-2</v>
      </c>
      <c r="S80" s="103">
        <v>1.37132279E-2</v>
      </c>
      <c r="T80" s="82">
        <v>2.0000000000000001E-4</v>
      </c>
    </row>
    <row r="81" spans="6:20" x14ac:dyDescent="0.2">
      <c r="F81" s="18" t="s">
        <v>121</v>
      </c>
      <c r="G81" s="101">
        <v>0.1130194985</v>
      </c>
      <c r="H81" s="101">
        <v>3.67143464E-2</v>
      </c>
      <c r="I81" s="101">
        <v>-1.2983669999999999E-2</v>
      </c>
      <c r="J81" s="101">
        <v>-5.89726322E-2</v>
      </c>
      <c r="K81" s="101">
        <v>-7.8288303399999995E-2</v>
      </c>
      <c r="L81" s="101">
        <v>5.4998697700000002E-2</v>
      </c>
      <c r="M81" s="101">
        <v>-8.6294355399999995E-2</v>
      </c>
      <c r="N81" s="101">
        <v>-6.02957488E-2</v>
      </c>
      <c r="O81" s="101">
        <v>7.2576078599999996E-2</v>
      </c>
      <c r="P81" s="101">
        <v>2.7478052199999999E-2</v>
      </c>
      <c r="Q81" s="101">
        <v>2.8247862499999998E-2</v>
      </c>
      <c r="R81" s="102">
        <v>-7.1991538199999996E-2</v>
      </c>
      <c r="S81" s="103">
        <v>1.53196049E-2</v>
      </c>
      <c r="T81" s="82">
        <v>2.0000000000000001E-4</v>
      </c>
    </row>
    <row r="82" spans="6:20" x14ac:dyDescent="0.2">
      <c r="F82" s="18" t="s">
        <v>122</v>
      </c>
      <c r="G82" s="101">
        <v>4.2641329700000001E-2</v>
      </c>
      <c r="H82" s="101">
        <v>0.1053304531</v>
      </c>
      <c r="I82" s="101">
        <v>7.5838949599999997E-2</v>
      </c>
      <c r="J82" s="101">
        <v>1.41509576E-2</v>
      </c>
      <c r="K82" s="101">
        <v>4.0343168399999997E-2</v>
      </c>
      <c r="L82" s="101">
        <v>1.5407938E-3</v>
      </c>
      <c r="M82" s="101">
        <v>5.0308629700000003E-2</v>
      </c>
      <c r="N82" s="101">
        <v>0.13680382869999999</v>
      </c>
      <c r="O82" s="101">
        <v>1.03796371E-2</v>
      </c>
      <c r="P82" s="101">
        <v>5.2372021400000003E-2</v>
      </c>
      <c r="Q82" s="101">
        <v>8.3750712800000002E-2</v>
      </c>
      <c r="R82" s="102">
        <v>6.7229827800000003E-2</v>
      </c>
      <c r="S82" s="103">
        <v>6.2024713000000002E-2</v>
      </c>
      <c r="T82" s="82">
        <v>2.0000000000000001E-4</v>
      </c>
    </row>
    <row r="83" spans="6:20" x14ac:dyDescent="0.2">
      <c r="F83" s="18" t="s">
        <v>123</v>
      </c>
      <c r="G83" s="101">
        <v>-1.2730656999999999E-3</v>
      </c>
      <c r="H83" s="101">
        <v>-2.2625913000000001E-2</v>
      </c>
      <c r="I83" s="101">
        <v>-5.9637929399999998E-2</v>
      </c>
      <c r="J83" s="101">
        <v>-3.6710992400000003E-2</v>
      </c>
      <c r="K83" s="101">
        <v>-8.7046123399999994E-2</v>
      </c>
      <c r="L83" s="101">
        <v>3.19232687E-2</v>
      </c>
      <c r="M83" s="101">
        <v>5.2452503900000003E-2</v>
      </c>
      <c r="N83" s="101">
        <v>-1.3371174099999999E-2</v>
      </c>
      <c r="O83" s="101">
        <v>-3.13392963E-2</v>
      </c>
      <c r="P83" s="101">
        <v>1.6636171000000001E-3</v>
      </c>
      <c r="Q83" s="101">
        <v>-3.0024852899999999E-2</v>
      </c>
      <c r="R83" s="102">
        <v>3.0912385999999998E-3</v>
      </c>
      <c r="S83" s="103">
        <v>-2.3324336599999999E-2</v>
      </c>
      <c r="T83" s="82">
        <v>2.0000000000000001E-4</v>
      </c>
    </row>
    <row r="84" spans="6:20" x14ac:dyDescent="0.2">
      <c r="F84" s="18" t="s">
        <v>124</v>
      </c>
      <c r="G84" s="101">
        <v>0.1045252207</v>
      </c>
      <c r="H84" s="101">
        <v>-6.8435318499999995E-2</v>
      </c>
      <c r="I84" s="101">
        <v>7.0584949100000002E-2</v>
      </c>
      <c r="J84" s="101">
        <v>7.8806552500000002E-2</v>
      </c>
      <c r="K84" s="101">
        <v>4.29281569E-2</v>
      </c>
      <c r="L84" s="101">
        <v>2.34810469E-2</v>
      </c>
      <c r="M84" s="101">
        <v>-4.1532480999999996E-3</v>
      </c>
      <c r="N84" s="101">
        <v>3.9576185999999998E-3</v>
      </c>
      <c r="O84" s="101">
        <v>9.1824296499999999E-2</v>
      </c>
      <c r="P84" s="101">
        <v>-3.5185786900000002E-2</v>
      </c>
      <c r="Q84" s="101">
        <v>8.3587385000000007E-3</v>
      </c>
      <c r="R84" s="102">
        <v>4.7919930600000001E-2</v>
      </c>
      <c r="S84" s="103">
        <v>2.30959123E-2</v>
      </c>
      <c r="T84" s="82">
        <v>2.0000000000000001E-4</v>
      </c>
    </row>
    <row r="85" spans="6:20" x14ac:dyDescent="0.2">
      <c r="F85" s="18" t="s">
        <v>125</v>
      </c>
      <c r="G85" s="101">
        <v>2.8996043400000001E-2</v>
      </c>
      <c r="H85" s="101">
        <v>0.13241434539999999</v>
      </c>
      <c r="I85" s="101">
        <v>7.2747441699999998E-2</v>
      </c>
      <c r="J85" s="101">
        <v>1.9181691399999999E-2</v>
      </c>
      <c r="K85" s="101">
        <v>0.15077997849999999</v>
      </c>
      <c r="L85" s="101">
        <v>8.2151763399999994E-2</v>
      </c>
      <c r="M85" s="101">
        <v>2.7803767300000001E-2</v>
      </c>
      <c r="N85" s="101">
        <v>-2.7236740700000001E-2</v>
      </c>
      <c r="O85" s="101">
        <v>4.04524541E-2</v>
      </c>
      <c r="P85" s="101">
        <v>7.4190024199999996E-2</v>
      </c>
      <c r="Q85" s="101">
        <v>7.7575344999999997E-3</v>
      </c>
      <c r="R85" s="102">
        <v>9.2486432699999996E-2</v>
      </c>
      <c r="S85" s="103">
        <v>5.43223912E-2</v>
      </c>
      <c r="T85" s="82">
        <v>2.0000000000000001E-4</v>
      </c>
    </row>
    <row r="86" spans="6:20" x14ac:dyDescent="0.2">
      <c r="F86" s="18" t="s">
        <v>126</v>
      </c>
      <c r="G86" s="101">
        <v>4.0655942799999997E-2</v>
      </c>
      <c r="H86" s="101">
        <v>3.7642134799999998E-2</v>
      </c>
      <c r="I86" s="101">
        <v>6.1691410000000002E-2</v>
      </c>
      <c r="J86" s="101">
        <v>6.5871677999999999E-3</v>
      </c>
      <c r="K86" s="101">
        <v>-2.48494049E-2</v>
      </c>
      <c r="L86" s="101">
        <v>-1.1033311400000001E-2</v>
      </c>
      <c r="M86" s="101">
        <v>3.5617392300000002E-2</v>
      </c>
      <c r="N86" s="101">
        <v>5.1332519799999997E-2</v>
      </c>
      <c r="O86" s="101">
        <v>2.3516956499999998E-2</v>
      </c>
      <c r="P86" s="101">
        <v>5.6389405599999998E-2</v>
      </c>
      <c r="Q86" s="101">
        <v>7.8138274000000008E-3</v>
      </c>
      <c r="R86" s="102">
        <v>5.1143823099999999E-2</v>
      </c>
      <c r="S86" s="103">
        <v>2.8271358999999999E-2</v>
      </c>
      <c r="T86" s="82">
        <v>2.0000000000000001E-4</v>
      </c>
    </row>
    <row r="87" spans="6:20" x14ac:dyDescent="0.2">
      <c r="F87" s="18" t="s">
        <v>127</v>
      </c>
      <c r="G87" s="101">
        <v>3.3626778E-3</v>
      </c>
      <c r="H87" s="101">
        <v>-3.0256236499999999E-2</v>
      </c>
      <c r="I87" s="101">
        <v>2.8291793999999999E-3</v>
      </c>
      <c r="J87" s="101">
        <v>2.9604419699999999E-2</v>
      </c>
      <c r="K87" s="101">
        <v>4.9034828099999997E-2</v>
      </c>
      <c r="L87" s="101">
        <v>1.7075742E-3</v>
      </c>
      <c r="M87" s="101">
        <v>5.2677631099999997E-2</v>
      </c>
      <c r="N87" s="101">
        <v>-2.9435861599999998E-2</v>
      </c>
      <c r="O87" s="101">
        <v>1.8011722899999999E-2</v>
      </c>
      <c r="P87" s="101">
        <v>-5.4344772499999999E-2</v>
      </c>
      <c r="Q87" s="101">
        <v>2.1196468E-3</v>
      </c>
      <c r="R87" s="102">
        <v>1.42556955E-2</v>
      </c>
      <c r="S87" s="103">
        <v>3.0945097999999999E-3</v>
      </c>
      <c r="T87" s="82">
        <v>2.0000000000000001E-4</v>
      </c>
    </row>
    <row r="88" spans="6:20" x14ac:dyDescent="0.2">
      <c r="F88" s="18" t="s">
        <v>128</v>
      </c>
      <c r="G88" s="101">
        <v>-1.4643313599999999E-2</v>
      </c>
      <c r="H88" s="101">
        <v>4.6402237399999997E-2</v>
      </c>
      <c r="I88" s="101">
        <v>-1.7153692000000001E-3</v>
      </c>
      <c r="J88" s="101">
        <v>2.2450694600000001E-2</v>
      </c>
      <c r="K88" s="101">
        <v>9.0070203999999994E-3</v>
      </c>
      <c r="L88" s="101">
        <v>-1.6592912500000001E-2</v>
      </c>
      <c r="M88" s="101">
        <v>-3.0190303700000001E-2</v>
      </c>
      <c r="N88" s="101">
        <v>-4.6215154299999998E-2</v>
      </c>
      <c r="O88" s="101">
        <v>-1.8600130699999998E-2</v>
      </c>
      <c r="P88" s="101">
        <v>8.8080458000000007E-3</v>
      </c>
      <c r="Q88" s="101">
        <v>-8.4302754499999993E-2</v>
      </c>
      <c r="R88" s="102">
        <v>-3.8595209200000001E-2</v>
      </c>
      <c r="S88" s="103">
        <v>-3.0840484800000002E-2</v>
      </c>
      <c r="T88" s="82">
        <v>2.0000000000000001E-4</v>
      </c>
    </row>
    <row r="89" spans="6:20" x14ac:dyDescent="0.2">
      <c r="F89" s="18" t="s">
        <v>129</v>
      </c>
      <c r="G89" s="101">
        <v>-1.9444502700000001E-2</v>
      </c>
      <c r="H89" s="101">
        <v>3.9803124299999999E-2</v>
      </c>
      <c r="I89" s="101">
        <v>1.67992756E-2</v>
      </c>
      <c r="J89" s="101">
        <v>-4.1331103600000002E-2</v>
      </c>
      <c r="K89" s="101">
        <v>2.95121133E-2</v>
      </c>
      <c r="L89" s="101">
        <v>-5.7409315000000001E-3</v>
      </c>
      <c r="M89" s="101">
        <v>0</v>
      </c>
      <c r="N89" s="101">
        <v>-6.4724729999999999E-4</v>
      </c>
      <c r="O89" s="101">
        <v>-3.62942339E-2</v>
      </c>
      <c r="P89" s="101">
        <v>-1.36761613E-2</v>
      </c>
      <c r="Q89" s="101">
        <v>5.8162973000000003E-3</v>
      </c>
      <c r="R89" s="102">
        <v>1.35154379E-2</v>
      </c>
      <c r="S89" s="103">
        <v>-5.2551917999999996E-3</v>
      </c>
      <c r="T89" s="82">
        <v>2.0000000000000001E-4</v>
      </c>
    </row>
    <row r="90" spans="6:20" x14ac:dyDescent="0.2">
      <c r="F90" s="18" t="s">
        <v>130</v>
      </c>
      <c r="G90" s="101">
        <v>1.416027E-4</v>
      </c>
      <c r="H90" s="101">
        <v>-2.5316332899999999E-2</v>
      </c>
      <c r="I90" s="101">
        <v>1.2282530200000001E-2</v>
      </c>
      <c r="J90" s="101">
        <v>4.8502128399999997E-2</v>
      </c>
      <c r="K90" s="101">
        <v>3.0503369900000001E-2</v>
      </c>
      <c r="L90" s="101">
        <v>3.80841424E-2</v>
      </c>
      <c r="M90" s="101">
        <v>-1.3026535400000001E-2</v>
      </c>
      <c r="N90" s="101">
        <v>-2.37657392E-2</v>
      </c>
      <c r="O90" s="101">
        <v>1.1645191500000001E-2</v>
      </c>
      <c r="P90" s="101">
        <v>2.0798928299999998E-2</v>
      </c>
      <c r="Q90" s="101">
        <v>1.12894703E-2</v>
      </c>
      <c r="R90" s="102">
        <v>2.1256896800000001E-2</v>
      </c>
      <c r="S90" s="103">
        <v>-1.6059177999999999E-3</v>
      </c>
      <c r="T90" s="82">
        <v>2.0000000000000001E-4</v>
      </c>
    </row>
    <row r="91" spans="6:20" x14ac:dyDescent="0.2">
      <c r="F91" s="18" t="s">
        <v>131</v>
      </c>
      <c r="G91" s="101">
        <v>0.13879048329999999</v>
      </c>
      <c r="H91" s="101">
        <v>6.7907990099999996E-2</v>
      </c>
      <c r="I91" s="101">
        <v>6.4748418299999999E-2</v>
      </c>
      <c r="J91" s="101">
        <v>3.3258319999999999E-3</v>
      </c>
      <c r="K91" s="101">
        <v>2.49643321E-2</v>
      </c>
      <c r="L91" s="101">
        <v>-3.9950407E-2</v>
      </c>
      <c r="M91" s="101">
        <v>1.9599287999999999E-2</v>
      </c>
      <c r="N91" s="101">
        <v>0.11782094999999999</v>
      </c>
      <c r="O91" s="101">
        <v>2.87777871E-2</v>
      </c>
      <c r="P91" s="101">
        <v>8.7110459200000004E-2</v>
      </c>
      <c r="Q91" s="101">
        <v>4.6035564199999997E-2</v>
      </c>
      <c r="R91" s="102">
        <v>3.9431266999999999E-2</v>
      </c>
      <c r="S91" s="103">
        <v>4.8022003799999997E-2</v>
      </c>
      <c r="T91" s="82">
        <v>2.0000000000000001E-4</v>
      </c>
    </row>
    <row r="92" spans="6:20" x14ac:dyDescent="0.2">
      <c r="F92" s="18" t="s">
        <v>132</v>
      </c>
      <c r="G92" s="101">
        <v>9.1282208300000001E-2</v>
      </c>
      <c r="H92" s="101">
        <v>-1.7728964699999999E-2</v>
      </c>
      <c r="I92" s="101">
        <v>5.23394981E-2</v>
      </c>
      <c r="J92" s="101">
        <v>5.6802761100000002E-2</v>
      </c>
      <c r="K92" s="101">
        <v>9.7426579999999995E-3</v>
      </c>
      <c r="L92" s="101">
        <v>4.4543241099999999E-2</v>
      </c>
      <c r="M92" s="101">
        <v>9.9957272599999994E-2</v>
      </c>
      <c r="N92" s="101">
        <v>2.4425520799999999E-2</v>
      </c>
      <c r="O92" s="101">
        <v>-3.2377215100000002E-2</v>
      </c>
      <c r="P92" s="101">
        <v>2.4718049700000001E-2</v>
      </c>
      <c r="Q92" s="101">
        <v>6.7773403699999998E-2</v>
      </c>
      <c r="R92" s="102">
        <v>4.5397780800000002E-2</v>
      </c>
      <c r="S92" s="103">
        <v>3.2548998699999998E-2</v>
      </c>
      <c r="T92" s="82">
        <v>2.0000000000000001E-4</v>
      </c>
    </row>
    <row r="93" spans="6:20" x14ac:dyDescent="0.2">
      <c r="F93" s="18" t="s">
        <v>133</v>
      </c>
      <c r="G93" s="101">
        <v>-5.2422359999999999E-3</v>
      </c>
      <c r="H93" s="101">
        <v>-5.1611006299999998E-2</v>
      </c>
      <c r="I93" s="101">
        <v>-7.1586062899999997E-2</v>
      </c>
      <c r="J93" s="101">
        <v>1.11205686E-2</v>
      </c>
      <c r="K93" s="101">
        <v>3.8675704599999999E-2</v>
      </c>
      <c r="L93" s="101">
        <v>-6.0597213000000002E-3</v>
      </c>
      <c r="M93" s="101">
        <v>1.7864087300000001E-2</v>
      </c>
      <c r="N93" s="101">
        <v>2.8188892999999999E-3</v>
      </c>
      <c r="O93" s="101">
        <v>-5.7694517299999998E-2</v>
      </c>
      <c r="P93" s="101">
        <v>-4.2942292E-2</v>
      </c>
      <c r="Q93" s="101">
        <v>-9.7139593999999996E-3</v>
      </c>
      <c r="R93" s="102">
        <v>2.1296797199999998E-2</v>
      </c>
      <c r="S93" s="103">
        <v>-2.3713087800000001E-2</v>
      </c>
      <c r="T93" s="82">
        <v>2.0000000000000001E-4</v>
      </c>
    </row>
    <row r="94" spans="6:20" x14ac:dyDescent="0.2">
      <c r="F94" s="18" t="s">
        <v>134</v>
      </c>
      <c r="G94" s="101">
        <v>-4.9146383000000002E-2</v>
      </c>
      <c r="H94" s="101">
        <v>-2.09185354E-2</v>
      </c>
      <c r="I94" s="101">
        <v>2.0747478600000001E-2</v>
      </c>
      <c r="J94" s="101">
        <v>-1.36772978E-2</v>
      </c>
      <c r="K94" s="101">
        <v>-2.5161350999999998E-2</v>
      </c>
      <c r="L94" s="101">
        <v>7.677545E-3</v>
      </c>
      <c r="M94" s="101">
        <v>1.5425258799999999E-2</v>
      </c>
      <c r="N94" s="101">
        <v>-1.72171783E-2</v>
      </c>
      <c r="O94" s="101">
        <v>-6.2010406999999997E-2</v>
      </c>
      <c r="P94" s="101">
        <v>-1.8695426000000001E-2</v>
      </c>
      <c r="Q94" s="101">
        <v>-2.8689026199999999E-2</v>
      </c>
      <c r="R94" s="102">
        <v>1.33637E-5</v>
      </c>
      <c r="S94" s="103">
        <v>-1.12101869E-2</v>
      </c>
      <c r="T94" s="82">
        <v>2.0000000000000001E-4</v>
      </c>
    </row>
    <row r="95" spans="6:20" x14ac:dyDescent="0.2">
      <c r="F95" s="18" t="s">
        <v>135</v>
      </c>
      <c r="G95" s="101">
        <v>0.1144577735</v>
      </c>
      <c r="H95" s="101">
        <v>6.9879372100000003E-2</v>
      </c>
      <c r="I95" s="101">
        <v>8.1504493400000003E-2</v>
      </c>
      <c r="J95" s="101">
        <v>-7.0051701000000003E-3</v>
      </c>
      <c r="K95" s="101">
        <v>-2.4764899E-2</v>
      </c>
      <c r="L95" s="101">
        <v>-2.3528448E-3</v>
      </c>
      <c r="M95" s="101">
        <v>-2.7662011899999998E-2</v>
      </c>
      <c r="N95" s="101">
        <v>5.5535698799999998E-2</v>
      </c>
      <c r="O95" s="101">
        <v>-1.0160154500000001E-2</v>
      </c>
      <c r="P95" s="101">
        <v>6.5199111800000001E-2</v>
      </c>
      <c r="Q95" s="101">
        <v>2.6249675199999999E-2</v>
      </c>
      <c r="R95" s="102">
        <v>2.1726240300000001E-2</v>
      </c>
      <c r="S95" s="103">
        <v>3.1881073400000001E-2</v>
      </c>
      <c r="T95" s="82">
        <v>2.0000000000000001E-4</v>
      </c>
    </row>
    <row r="96" spans="6:20" x14ac:dyDescent="0.2">
      <c r="F96" s="18" t="s">
        <v>136</v>
      </c>
      <c r="G96" s="101">
        <v>6.3135047E-2</v>
      </c>
      <c r="H96" s="101">
        <v>-1.8468228400000002E-2</v>
      </c>
      <c r="I96" s="101">
        <v>-3.7400709999999997E-2</v>
      </c>
      <c r="J96" s="101">
        <v>-5.3411843799999997E-2</v>
      </c>
      <c r="K96" s="101">
        <v>-7.9041408600000002E-2</v>
      </c>
      <c r="L96" s="101">
        <v>-6.9633187000000003E-3</v>
      </c>
      <c r="M96" s="101">
        <v>5.2221523700000001E-2</v>
      </c>
      <c r="N96" s="101">
        <v>1.0274592000000001E-2</v>
      </c>
      <c r="O96" s="101">
        <v>-8.5629787900000004E-2</v>
      </c>
      <c r="P96" s="101">
        <v>-5.1669449899999997E-2</v>
      </c>
      <c r="Q96" s="101">
        <v>7.1835110999999997E-3</v>
      </c>
      <c r="R96" s="102">
        <v>-6.5287291600000005E-2</v>
      </c>
      <c r="S96" s="103">
        <v>-2.9449470599999999E-2</v>
      </c>
      <c r="T96" s="82">
        <v>2.0000000000000001E-4</v>
      </c>
    </row>
    <row r="97" spans="6:20" x14ac:dyDescent="0.2">
      <c r="F97" s="18" t="s">
        <v>137</v>
      </c>
      <c r="G97" s="101">
        <v>-4.6166210499999999E-2</v>
      </c>
      <c r="H97" s="101">
        <v>-7.95474288E-2</v>
      </c>
      <c r="I97" s="101">
        <v>-1.6998514499999999E-2</v>
      </c>
      <c r="J97" s="101">
        <v>-3.04223E-4</v>
      </c>
      <c r="K97" s="101">
        <v>5.28156335E-2</v>
      </c>
      <c r="L97" s="101">
        <v>9.2832272300000004E-2</v>
      </c>
      <c r="M97" s="101">
        <v>1.8516727E-3</v>
      </c>
      <c r="N97" s="101">
        <v>0.10080449230000001</v>
      </c>
      <c r="O97" s="101">
        <v>4.6132181000000001E-3</v>
      </c>
      <c r="P97" s="101">
        <v>-3.3528638E-3</v>
      </c>
      <c r="Q97" s="101">
        <v>-1.7883718699999999E-2</v>
      </c>
      <c r="R97" s="102">
        <v>-1.74617512E-2</v>
      </c>
      <c r="S97" s="103">
        <v>-2.8792540299999999E-2</v>
      </c>
      <c r="T97" s="82">
        <v>2.0000000000000001E-4</v>
      </c>
    </row>
    <row r="98" spans="6:20" x14ac:dyDescent="0.2">
      <c r="F98" s="18" t="s">
        <v>138</v>
      </c>
      <c r="G98" s="101">
        <v>3.83795683E-2</v>
      </c>
      <c r="H98" s="101">
        <v>6.3320608799999997E-2</v>
      </c>
      <c r="I98" s="101">
        <v>0.12648222680000001</v>
      </c>
      <c r="J98" s="101">
        <v>2.0690585899999999E-2</v>
      </c>
      <c r="K98" s="101">
        <v>7.3404700599999997E-2</v>
      </c>
      <c r="L98" s="101">
        <v>0.11277256920000001</v>
      </c>
      <c r="M98" s="101">
        <v>1.7005592900000002E-2</v>
      </c>
      <c r="N98" s="101">
        <v>-8.7918904399999998E-2</v>
      </c>
      <c r="O98" s="101">
        <v>7.0410621000000003E-3</v>
      </c>
      <c r="P98" s="101">
        <v>5.5228455900000001E-2</v>
      </c>
      <c r="Q98" s="101">
        <v>0.14931658950000001</v>
      </c>
      <c r="R98" s="102">
        <v>4.0049906500000003E-2</v>
      </c>
      <c r="S98" s="103">
        <v>6.8352951999999995E-2</v>
      </c>
      <c r="T98" s="82">
        <v>2.0000000000000001E-4</v>
      </c>
    </row>
    <row r="99" spans="6:20" x14ac:dyDescent="0.2">
      <c r="F99" s="18" t="s">
        <v>139</v>
      </c>
      <c r="G99" s="101">
        <v>1.5727007500000001E-2</v>
      </c>
      <c r="H99" s="101">
        <v>-0.1706783036</v>
      </c>
      <c r="I99" s="101">
        <v>-1.18419159E-2</v>
      </c>
      <c r="J99" s="101">
        <v>-2.5339049700000001E-2</v>
      </c>
      <c r="K99" s="101">
        <v>-6.9759568199999997E-2</v>
      </c>
      <c r="L99" s="101">
        <v>0.13624493090000001</v>
      </c>
      <c r="M99" s="101">
        <v>4.4710923700000002E-2</v>
      </c>
      <c r="N99" s="101">
        <v>-8.0253667700000003E-2</v>
      </c>
      <c r="O99" s="101">
        <v>-2.4319048999999998E-3</v>
      </c>
      <c r="P99" s="101">
        <v>-1.9925656E-2</v>
      </c>
      <c r="Q99" s="101">
        <v>-5.3505677999999999E-3</v>
      </c>
      <c r="R99" s="102">
        <v>2.8859928100000001E-2</v>
      </c>
      <c r="S99" s="103">
        <v>-2.2117579500000002E-2</v>
      </c>
      <c r="T99" s="82">
        <v>2.0000000000000001E-4</v>
      </c>
    </row>
    <row r="100" spans="6:20" x14ac:dyDescent="0.2">
      <c r="F100" s="18" t="s">
        <v>140</v>
      </c>
      <c r="G100" s="101">
        <v>3.0315538900000001E-2</v>
      </c>
      <c r="H100" s="101">
        <v>5.8306137100000002E-2</v>
      </c>
      <c r="I100" s="101">
        <v>2.2636304699999998E-2</v>
      </c>
      <c r="J100" s="101">
        <v>-1.0381630500000001E-2</v>
      </c>
      <c r="K100" s="101">
        <v>-6.0958944000000003E-3</v>
      </c>
      <c r="L100" s="101">
        <v>-0.1396190101</v>
      </c>
      <c r="M100" s="101">
        <v>-2.6443938399999999E-2</v>
      </c>
      <c r="N100" s="101">
        <v>-0.1186010607</v>
      </c>
      <c r="O100" s="101">
        <v>9.6531868899999998E-2</v>
      </c>
      <c r="P100" s="101">
        <v>-2.9537630299999999E-2</v>
      </c>
      <c r="Q100" s="101">
        <v>3.0741180999999999E-3</v>
      </c>
      <c r="R100" s="102">
        <v>-1.62447218E-2</v>
      </c>
      <c r="S100" s="103">
        <v>-1.38689461E-2</v>
      </c>
      <c r="T100" s="82">
        <v>2.0000000000000001E-4</v>
      </c>
    </row>
    <row r="101" spans="6:20" x14ac:dyDescent="0.2">
      <c r="F101" s="18" t="s">
        <v>141</v>
      </c>
      <c r="G101" s="101">
        <v>5.7251189600000002E-2</v>
      </c>
      <c r="H101" s="101">
        <v>4.6625452800000002E-2</v>
      </c>
      <c r="I101" s="101">
        <v>-3.2592769000000001E-2</v>
      </c>
      <c r="J101" s="101">
        <v>6.9031230999999998E-2</v>
      </c>
      <c r="K101" s="101">
        <v>5.2170470300000001E-2</v>
      </c>
      <c r="L101" s="101">
        <v>4.7333153900000001E-2</v>
      </c>
      <c r="M101" s="101">
        <v>-1.3938518E-2</v>
      </c>
      <c r="N101" s="101">
        <v>8.12719789E-2</v>
      </c>
      <c r="O101" s="101">
        <v>8.3321062799999998E-2</v>
      </c>
      <c r="P101" s="101">
        <v>-3.61242882E-2</v>
      </c>
      <c r="Q101" s="101">
        <v>8.2549352399999998E-2</v>
      </c>
      <c r="R101" s="102">
        <v>4.4196470799999998E-2</v>
      </c>
      <c r="S101" s="103">
        <v>3.5271713900000001E-2</v>
      </c>
      <c r="T101" s="82">
        <v>2.0000000000000001E-4</v>
      </c>
    </row>
    <row r="102" spans="6:20" x14ac:dyDescent="0.2">
      <c r="F102" s="18" t="s">
        <v>142</v>
      </c>
      <c r="G102" s="101">
        <v>2.4529062E-3</v>
      </c>
      <c r="H102" s="101">
        <v>-9.0892770100000006E-2</v>
      </c>
      <c r="I102" s="101">
        <v>6.3753011000000004E-3</v>
      </c>
      <c r="J102" s="101">
        <v>9.0759763E-3</v>
      </c>
      <c r="K102" s="101">
        <v>-8.5776257300000006E-2</v>
      </c>
      <c r="L102" s="101">
        <v>3.4342765599999998E-2</v>
      </c>
      <c r="M102" s="101">
        <v>-6.8934733999999999E-3</v>
      </c>
      <c r="N102" s="101">
        <v>-1.44774998E-2</v>
      </c>
      <c r="O102" s="101">
        <v>-5.1093900000000001E-3</v>
      </c>
      <c r="P102" s="101">
        <v>2.0336991700000001E-2</v>
      </c>
      <c r="Q102" s="101">
        <v>-3.56244696E-2</v>
      </c>
      <c r="R102" s="102">
        <v>-4.0000062500000003E-2</v>
      </c>
      <c r="S102" s="103">
        <v>-1.89519189E-2</v>
      </c>
      <c r="T102" s="82">
        <v>2.0000000000000001E-4</v>
      </c>
    </row>
    <row r="103" spans="6:20" x14ac:dyDescent="0.2">
      <c r="F103" s="18" t="s">
        <v>143</v>
      </c>
      <c r="G103" s="101">
        <v>1.8068805199999999E-2</v>
      </c>
      <c r="H103" s="101">
        <v>4.1493549099999999E-2</v>
      </c>
      <c r="I103" s="101">
        <v>-1.9004501600000001E-2</v>
      </c>
      <c r="J103" s="101">
        <v>-1.6514259100000001E-2</v>
      </c>
      <c r="K103" s="101">
        <v>2.7711557000000002E-3</v>
      </c>
      <c r="L103" s="101">
        <v>1.8564592599999999E-2</v>
      </c>
      <c r="M103" s="101">
        <v>3.8970897599999998E-2</v>
      </c>
      <c r="N103" s="101">
        <v>4.0432636999999999E-3</v>
      </c>
      <c r="O103" s="101">
        <v>3.4734313500000003E-2</v>
      </c>
      <c r="P103" s="101">
        <v>-1.3382652700000001E-2</v>
      </c>
      <c r="Q103" s="101">
        <v>3.6569537499999999E-2</v>
      </c>
      <c r="R103" s="102">
        <v>-6.5407086999999999E-3</v>
      </c>
      <c r="S103" s="103">
        <v>1.6024142599999999E-2</v>
      </c>
      <c r="T103" s="82">
        <v>2.0000000000000001E-4</v>
      </c>
    </row>
    <row r="104" spans="6:20" x14ac:dyDescent="0.2">
      <c r="F104" s="18" t="s">
        <v>144</v>
      </c>
      <c r="G104" s="101">
        <v>-9.6783203799999995E-2</v>
      </c>
      <c r="H104" s="101">
        <v>-0.1248337229</v>
      </c>
      <c r="I104" s="101">
        <v>-3.6900205999999998E-3</v>
      </c>
      <c r="J104" s="101">
        <v>-6.1769090800000002E-2</v>
      </c>
      <c r="K104" s="101">
        <v>-7.0272159200000003E-2</v>
      </c>
      <c r="L104" s="101">
        <v>-0.11496645580000001</v>
      </c>
      <c r="M104" s="101">
        <v>-4.6001575400000001E-2</v>
      </c>
      <c r="N104" s="101">
        <v>-0.113154378</v>
      </c>
      <c r="O104" s="101">
        <v>2.9780659099999999E-2</v>
      </c>
      <c r="P104" s="101">
        <v>-7.7056247100000003E-2</v>
      </c>
      <c r="Q104" s="101">
        <v>-5.8634849099999997E-2</v>
      </c>
      <c r="R104" s="102">
        <v>-3.8283199099999998E-2</v>
      </c>
      <c r="S104" s="103">
        <v>-7.2822609299999994E-2</v>
      </c>
      <c r="T104" s="82">
        <v>2.0000000000000001E-4</v>
      </c>
    </row>
    <row r="105" spans="6:20" x14ac:dyDescent="0.2">
      <c r="F105" s="18" t="s">
        <v>145</v>
      </c>
      <c r="G105" s="101">
        <v>-3.16241773E-2</v>
      </c>
      <c r="H105" s="101">
        <v>-3.8044858399999999E-2</v>
      </c>
      <c r="I105" s="101">
        <v>-4.5833427699999998E-2</v>
      </c>
      <c r="J105" s="101">
        <v>5.56088317E-2</v>
      </c>
      <c r="K105" s="101">
        <v>8.61489161E-2</v>
      </c>
      <c r="L105" s="101">
        <v>-5.40593667E-2</v>
      </c>
      <c r="M105" s="101">
        <v>4.7477740300000001E-2</v>
      </c>
      <c r="N105" s="101">
        <v>-6.0844603800000001E-2</v>
      </c>
      <c r="O105" s="101">
        <v>1.2303329300000001E-2</v>
      </c>
      <c r="P105" s="101">
        <v>5.0030665999999998E-3</v>
      </c>
      <c r="Q105" s="101">
        <v>-5.37910817E-2</v>
      </c>
      <c r="R105" s="102">
        <v>-2.2566044100000002E-2</v>
      </c>
      <c r="S105" s="103">
        <v>-1.75755522E-2</v>
      </c>
      <c r="T105" s="82">
        <v>2.0000000000000001E-4</v>
      </c>
    </row>
    <row r="106" spans="6:20" x14ac:dyDescent="0.2">
      <c r="F106" s="18" t="s">
        <v>146</v>
      </c>
      <c r="G106" s="101">
        <v>-0.1126611932</v>
      </c>
      <c r="H106" s="101">
        <v>-0.1104225041</v>
      </c>
      <c r="I106" s="101">
        <v>-0.1576905646</v>
      </c>
      <c r="J106" s="101">
        <v>-6.8876887400000003E-2</v>
      </c>
      <c r="K106" s="101">
        <v>8.4540628000000003E-3</v>
      </c>
      <c r="L106" s="101">
        <v>1.48627091E-2</v>
      </c>
      <c r="M106" s="101">
        <v>2.4630822199999999E-2</v>
      </c>
      <c r="N106" s="101">
        <v>-0.1208702442</v>
      </c>
      <c r="O106" s="101">
        <v>-5.1998571600000001E-2</v>
      </c>
      <c r="P106" s="101">
        <v>-7.09396531E-2</v>
      </c>
      <c r="Q106" s="101">
        <v>-6.0714042900000001E-2</v>
      </c>
      <c r="R106" s="102">
        <v>-5.6859297500000003E-2</v>
      </c>
      <c r="S106" s="103">
        <v>-5.4603187999999997E-2</v>
      </c>
      <c r="T106" s="82">
        <v>2.0000000000000001E-4</v>
      </c>
    </row>
    <row r="107" spans="6:20" x14ac:dyDescent="0.2">
      <c r="F107" s="18" t="s">
        <v>147</v>
      </c>
      <c r="G107" s="101">
        <v>0.19366381099999999</v>
      </c>
      <c r="H107" s="101">
        <v>3.7745497199999999E-2</v>
      </c>
      <c r="I107" s="101">
        <v>0.1115209035</v>
      </c>
      <c r="J107" s="101">
        <v>3.2352581300000002E-2</v>
      </c>
      <c r="K107" s="101">
        <v>0.11656676940000001</v>
      </c>
      <c r="L107" s="101">
        <v>8.1683248900000005E-2</v>
      </c>
      <c r="M107" s="101">
        <v>1.18631298E-2</v>
      </c>
      <c r="N107" s="101">
        <v>0.1338222352</v>
      </c>
      <c r="O107" s="101">
        <v>2.1146015E-3</v>
      </c>
      <c r="P107" s="101">
        <v>3.9517836600000002E-2</v>
      </c>
      <c r="Q107" s="101">
        <v>5.2838190299999997E-2</v>
      </c>
      <c r="R107" s="102">
        <v>6.7481297600000004E-2</v>
      </c>
      <c r="S107" s="103">
        <v>5.5389441400000003E-2</v>
      </c>
      <c r="T107" s="82">
        <v>2.0000000000000001E-4</v>
      </c>
    </row>
    <row r="108" spans="6:20" x14ac:dyDescent="0.2">
      <c r="F108" s="18" t="s">
        <v>148</v>
      </c>
      <c r="G108" s="101">
        <v>0.13350623540000001</v>
      </c>
      <c r="H108" s="101">
        <v>9.9841184200000002E-2</v>
      </c>
      <c r="I108" s="101">
        <v>9.0381383400000001E-2</v>
      </c>
      <c r="J108" s="101">
        <v>4.4567023800000001E-2</v>
      </c>
      <c r="K108" s="101">
        <v>-5.2556158399999997E-2</v>
      </c>
      <c r="L108" s="101">
        <v>6.1784722100000002E-2</v>
      </c>
      <c r="M108" s="101">
        <v>4.4138002699999998E-2</v>
      </c>
      <c r="N108" s="101">
        <v>-2.6192460300000001E-2</v>
      </c>
      <c r="O108" s="101">
        <v>-3.0598455E-2</v>
      </c>
      <c r="P108" s="101">
        <v>0.1021260665</v>
      </c>
      <c r="Q108" s="101">
        <v>4.1892296900000001E-2</v>
      </c>
      <c r="R108" s="102">
        <v>9.1571432999999994E-2</v>
      </c>
      <c r="S108" s="103">
        <v>4.9634179299999998E-2</v>
      </c>
      <c r="T108" s="82">
        <v>2.0000000000000001E-4</v>
      </c>
    </row>
    <row r="109" spans="6:20" x14ac:dyDescent="0.2">
      <c r="F109" s="18" t="s">
        <v>149</v>
      </c>
      <c r="G109" s="101">
        <v>3.7852149100000003E-2</v>
      </c>
      <c r="H109" s="101">
        <v>-5.42668891E-2</v>
      </c>
      <c r="I109" s="101">
        <v>2.7566568900000001E-2</v>
      </c>
      <c r="J109" s="101">
        <v>3.5579655100000003E-2</v>
      </c>
      <c r="K109" s="101">
        <v>2.2641392000000002E-3</v>
      </c>
      <c r="L109" s="101">
        <v>5.9307342200000002E-2</v>
      </c>
      <c r="M109" s="101">
        <v>5.6803402500000003E-2</v>
      </c>
      <c r="N109" s="101">
        <v>-2.1916042699999999E-2</v>
      </c>
      <c r="O109" s="101">
        <v>7.1292257499999998E-2</v>
      </c>
      <c r="P109" s="101">
        <v>2.2216176000000001E-2</v>
      </c>
      <c r="Q109" s="101">
        <v>-9.4018079999999993E-3</v>
      </c>
      <c r="R109" s="102">
        <v>3.3365069999999997E-2</v>
      </c>
      <c r="S109" s="103">
        <v>2.0990244200000001E-2</v>
      </c>
      <c r="T109" s="82">
        <v>2.0000000000000001E-4</v>
      </c>
    </row>
    <row r="110" spans="6:20" x14ac:dyDescent="0.2">
      <c r="F110" s="18" t="s">
        <v>150</v>
      </c>
      <c r="G110" s="101">
        <v>3.3757360399999999E-2</v>
      </c>
      <c r="H110" s="101">
        <v>0.1135882657</v>
      </c>
      <c r="I110" s="101">
        <v>0</v>
      </c>
      <c r="J110" s="101">
        <v>4.9352115500000002E-2</v>
      </c>
      <c r="K110" s="101">
        <v>-5.6477957000000004E-3</v>
      </c>
      <c r="L110" s="101">
        <v>6.6303940500000005E-2</v>
      </c>
      <c r="M110" s="101">
        <v>-2.90624939E-2</v>
      </c>
      <c r="N110" s="101">
        <v>3.2422405299999998E-2</v>
      </c>
      <c r="O110" s="101">
        <v>-1.5874876100000001E-2</v>
      </c>
      <c r="P110" s="101">
        <v>7.8924227299999997E-2</v>
      </c>
      <c r="Q110" s="101">
        <v>1.2906951700000001E-2</v>
      </c>
      <c r="R110" s="102">
        <v>3.8053522700000002E-2</v>
      </c>
      <c r="S110" s="103">
        <v>4.4085423399999997E-2</v>
      </c>
      <c r="T110" s="82">
        <v>2.0000000000000001E-4</v>
      </c>
    </row>
    <row r="111" spans="6:20" x14ac:dyDescent="0.2">
      <c r="F111" s="18" t="s">
        <v>151</v>
      </c>
      <c r="G111" s="101">
        <v>-4.4301702399999997E-2</v>
      </c>
      <c r="H111" s="101">
        <v>-0.1385668997</v>
      </c>
      <c r="I111" s="101">
        <v>-7.4005640299999995E-2</v>
      </c>
      <c r="J111" s="101">
        <v>-9.4339733000000005E-3</v>
      </c>
      <c r="K111" s="101">
        <v>-5.7175206100000001E-2</v>
      </c>
      <c r="L111" s="101">
        <v>-5.16579972E-2</v>
      </c>
      <c r="M111" s="101">
        <v>1.5770674700000001E-2</v>
      </c>
      <c r="N111" s="101">
        <v>-0.1134494815</v>
      </c>
      <c r="O111" s="101">
        <v>-6.7750810300000006E-2</v>
      </c>
      <c r="P111" s="101">
        <v>-3.21228639E-2</v>
      </c>
      <c r="Q111" s="101">
        <v>-5.8633595400000002E-2</v>
      </c>
      <c r="R111" s="102">
        <v>4.2477903999999997E-3</v>
      </c>
      <c r="S111" s="103">
        <v>-6.7803878100000006E-2</v>
      </c>
      <c r="T111" s="82">
        <v>2.0000000000000001E-4</v>
      </c>
    </row>
    <row r="112" spans="6:20" x14ac:dyDescent="0.2">
      <c r="F112" s="18" t="s">
        <v>152</v>
      </c>
      <c r="G112" s="101">
        <v>8.5495427099999993E-2</v>
      </c>
      <c r="H112" s="101">
        <v>9.6552674399999996E-2</v>
      </c>
      <c r="I112" s="101">
        <v>9.2407633399999994E-2</v>
      </c>
      <c r="J112" s="101">
        <v>7.2129774699999996E-2</v>
      </c>
      <c r="K112" s="101">
        <v>0.13424395750000001</v>
      </c>
      <c r="L112" s="101">
        <v>6.6240708400000001E-2</v>
      </c>
      <c r="M112" s="101">
        <v>2.6932758500000001E-2</v>
      </c>
      <c r="N112" s="101">
        <v>2.5407938500000001E-2</v>
      </c>
      <c r="O112" s="101">
        <v>9.5088108300000002E-2</v>
      </c>
      <c r="P112" s="101">
        <v>0.12655364020000001</v>
      </c>
      <c r="Q112" s="101">
        <v>5.64964123E-2</v>
      </c>
      <c r="R112" s="102">
        <v>1.8087376200000001E-2</v>
      </c>
      <c r="S112" s="103">
        <v>6.3625937199999996E-2</v>
      </c>
      <c r="T112" s="82">
        <v>2.0000000000000001E-4</v>
      </c>
    </row>
    <row r="113" spans="6:20" x14ac:dyDescent="0.2">
      <c r="F113" s="18" t="s">
        <v>153</v>
      </c>
      <c r="G113" s="101">
        <v>2.71093892E-2</v>
      </c>
      <c r="H113" s="101">
        <v>9.9365747000000008E-3</v>
      </c>
      <c r="I113" s="101">
        <v>7.2599577600000006E-2</v>
      </c>
      <c r="J113" s="101">
        <v>5.2349088799999999E-2</v>
      </c>
      <c r="K113" s="101">
        <v>4.34782513E-2</v>
      </c>
      <c r="L113" s="101">
        <v>8.8516357000000007E-3</v>
      </c>
      <c r="M113" s="101">
        <v>-1.8512631200000001E-2</v>
      </c>
      <c r="N113" s="101">
        <v>-2.4265156600000001E-2</v>
      </c>
      <c r="O113" s="101">
        <v>-5.9281055999999997E-3</v>
      </c>
      <c r="P113" s="101">
        <v>-2.10630952E-2</v>
      </c>
      <c r="Q113" s="101">
        <v>-3.2627620199999999E-2</v>
      </c>
      <c r="R113" s="102">
        <v>3.5309498600000003E-2</v>
      </c>
      <c r="S113" s="103">
        <v>-3.6234736000000001E-3</v>
      </c>
      <c r="T113" s="82">
        <v>2.0000000000000001E-4</v>
      </c>
    </row>
    <row r="114" spans="6:20" x14ac:dyDescent="0.2">
      <c r="F114" s="18" t="s">
        <v>154</v>
      </c>
      <c r="G114" s="101">
        <v>-2.12399705E-2</v>
      </c>
      <c r="H114" s="101">
        <v>-2.7145732499999999E-2</v>
      </c>
      <c r="I114" s="101">
        <v>-5.2928359899999999E-2</v>
      </c>
      <c r="J114" s="101">
        <v>3.9030527400000001E-2</v>
      </c>
      <c r="K114" s="101">
        <v>-6.8247339999999998E-3</v>
      </c>
      <c r="L114" s="101">
        <v>-2.4505292000000001E-2</v>
      </c>
      <c r="M114" s="101">
        <v>0.10014744239999999</v>
      </c>
      <c r="N114" s="101">
        <v>3.2053864899999999E-2</v>
      </c>
      <c r="O114" s="101">
        <v>3.5250531500000001E-2</v>
      </c>
      <c r="P114" s="101">
        <v>-2.4590309000000001E-2</v>
      </c>
      <c r="Q114" s="101">
        <v>-3.4973834600000003E-2</v>
      </c>
      <c r="R114" s="102">
        <v>6.7139025199999994E-2</v>
      </c>
      <c r="S114" s="103">
        <v>-6.9615181999999999E-3</v>
      </c>
      <c r="T114" s="82">
        <v>2.0000000000000001E-4</v>
      </c>
    </row>
    <row r="115" spans="6:20" x14ac:dyDescent="0.2">
      <c r="F115" s="18" t="s">
        <v>155</v>
      </c>
      <c r="G115" s="101">
        <v>-4.8986865999999997E-2</v>
      </c>
      <c r="H115" s="101">
        <v>8.8582982800000001E-2</v>
      </c>
      <c r="I115" s="101">
        <v>-9.6198883000000006E-3</v>
      </c>
      <c r="J115" s="101">
        <v>-7.8564859999999993E-3</v>
      </c>
      <c r="K115" s="101">
        <v>8.3544409900000005E-2</v>
      </c>
      <c r="L115" s="101">
        <v>2.09342109E-2</v>
      </c>
      <c r="M115" s="101">
        <v>-5.92977607E-2</v>
      </c>
      <c r="N115" s="101">
        <v>9.5858218999999995E-3</v>
      </c>
      <c r="O115" s="101">
        <v>8.8837561400000001E-2</v>
      </c>
      <c r="P115" s="101">
        <v>5.6985340199999998E-2</v>
      </c>
      <c r="Q115" s="101">
        <v>5.49681339E-2</v>
      </c>
      <c r="R115" s="102">
        <v>-6.8343711999999997E-3</v>
      </c>
      <c r="S115" s="103">
        <v>3.6002331800000002E-2</v>
      </c>
      <c r="T115" s="82">
        <v>2.0000000000000001E-4</v>
      </c>
    </row>
    <row r="116" spans="6:20" x14ac:dyDescent="0.2">
      <c r="F116" s="18" t="s">
        <v>156</v>
      </c>
      <c r="G116" s="101">
        <v>7.7348966300000002E-2</v>
      </c>
      <c r="H116" s="101">
        <v>4.7907073500000001E-2</v>
      </c>
      <c r="I116" s="101">
        <v>-6.6142503599999999E-2</v>
      </c>
      <c r="J116" s="101">
        <v>-7.9930797900000003E-2</v>
      </c>
      <c r="K116" s="101">
        <v>1.0012917000000001E-3</v>
      </c>
      <c r="L116" s="101">
        <v>1.7350127900000002E-2</v>
      </c>
      <c r="M116" s="101">
        <v>1.28519645E-2</v>
      </c>
      <c r="N116" s="101">
        <v>-0.13102916649999999</v>
      </c>
      <c r="O116" s="101">
        <v>-2.8685590300000001E-2</v>
      </c>
      <c r="P116" s="101">
        <v>3.4285756100000002E-2</v>
      </c>
      <c r="Q116" s="101">
        <v>-1.7572225000000001E-3</v>
      </c>
      <c r="R116" s="102">
        <v>1.8012626300000001E-2</v>
      </c>
      <c r="S116" s="103">
        <v>9.1707907000000005E-3</v>
      </c>
      <c r="T116" s="82">
        <v>2.0000000000000001E-4</v>
      </c>
    </row>
    <row r="117" spans="6:20" x14ac:dyDescent="0.2">
      <c r="F117" s="18" t="s">
        <v>157</v>
      </c>
      <c r="G117" s="101">
        <v>3.8779058599999999E-2</v>
      </c>
      <c r="H117" s="101">
        <v>8.8869914600000002E-2</v>
      </c>
      <c r="I117" s="101">
        <v>6.3397865799999994E-2</v>
      </c>
      <c r="J117" s="101">
        <v>4.8412602000000001E-3</v>
      </c>
      <c r="K117" s="101">
        <v>-4.2347476799999999E-2</v>
      </c>
      <c r="L117" s="101">
        <v>5.4263328399999998E-2</v>
      </c>
      <c r="M117" s="101">
        <v>7.2508245999999997E-3</v>
      </c>
      <c r="N117" s="101">
        <v>-5.0371546599999997E-2</v>
      </c>
      <c r="O117" s="101">
        <v>2.2875809099999998E-2</v>
      </c>
      <c r="P117" s="101">
        <v>5.21256971E-2</v>
      </c>
      <c r="Q117" s="101">
        <v>1.0713888E-2</v>
      </c>
      <c r="R117" s="102">
        <v>-1.6103340800000001E-2</v>
      </c>
      <c r="S117" s="103">
        <v>3.0595871899999998E-2</v>
      </c>
      <c r="T117" s="82">
        <v>2.0000000000000001E-4</v>
      </c>
    </row>
    <row r="118" spans="6:20" x14ac:dyDescent="0.2">
      <c r="F118" s="18" t="s">
        <v>158</v>
      </c>
      <c r="G118" s="101">
        <v>-2.1889047299999999E-2</v>
      </c>
      <c r="H118" s="101">
        <v>3.6491978600000002E-2</v>
      </c>
      <c r="I118" s="101">
        <v>1.44386571E-2</v>
      </c>
      <c r="J118" s="101">
        <v>-1.0974168100000001E-2</v>
      </c>
      <c r="K118" s="101">
        <v>2.7854971000000001E-3</v>
      </c>
      <c r="L118" s="101">
        <v>-2.0293837499999998E-2</v>
      </c>
      <c r="M118" s="101">
        <v>-3.2518579999999998E-2</v>
      </c>
      <c r="N118" s="101">
        <v>-2.9340833E-2</v>
      </c>
      <c r="O118" s="101">
        <v>6.0466292599999999E-2</v>
      </c>
      <c r="P118" s="101">
        <v>4.4520745399999999E-2</v>
      </c>
      <c r="Q118" s="101">
        <v>3.2745618900000002E-2</v>
      </c>
      <c r="R118" s="102">
        <v>7.9783072999999993E-3</v>
      </c>
      <c r="S118" s="103">
        <v>1.23434444E-2</v>
      </c>
      <c r="T118" s="82">
        <v>2.0000000000000001E-4</v>
      </c>
    </row>
    <row r="119" spans="6:20" x14ac:dyDescent="0.2">
      <c r="F119" s="18" t="s">
        <v>159</v>
      </c>
      <c r="G119" s="101">
        <v>2.1152722700000001E-2</v>
      </c>
      <c r="H119" s="101">
        <v>-9.0573619699999997E-2</v>
      </c>
      <c r="I119" s="101">
        <v>3.1680530200000001E-2</v>
      </c>
      <c r="J119" s="101">
        <v>-2.0297859599999999E-2</v>
      </c>
      <c r="K119" s="101">
        <v>8.0555539699999998E-2</v>
      </c>
      <c r="L119" s="101">
        <v>1.56107681E-2</v>
      </c>
      <c r="M119" s="101">
        <v>-1.81932556E-2</v>
      </c>
      <c r="N119" s="101">
        <v>-0.16441440430000001</v>
      </c>
      <c r="O119" s="101">
        <v>-2.97925684E-2</v>
      </c>
      <c r="P119" s="101">
        <v>-1.07105824E-2</v>
      </c>
      <c r="Q119" s="101">
        <v>-0.1027438271</v>
      </c>
      <c r="R119" s="102">
        <v>1.2121242000000001E-2</v>
      </c>
      <c r="S119" s="103">
        <v>-2.87250735E-2</v>
      </c>
      <c r="T119" s="82">
        <v>2.0000000000000001E-4</v>
      </c>
    </row>
    <row r="120" spans="6:20" x14ac:dyDescent="0.2">
      <c r="F120" s="18" t="s">
        <v>160</v>
      </c>
      <c r="G120" s="101">
        <v>-0.18868205739999999</v>
      </c>
      <c r="H120" s="101">
        <v>-8.8666821300000004E-2</v>
      </c>
      <c r="I120" s="101">
        <v>-0.11686692930000001</v>
      </c>
      <c r="J120" s="101">
        <v>-0.11988940939999999</v>
      </c>
      <c r="K120" s="101">
        <v>-3.4061639900000003E-2</v>
      </c>
      <c r="L120" s="101">
        <v>-6.8873757499999994E-2</v>
      </c>
      <c r="M120" s="101">
        <v>-6.4536624599999995E-2</v>
      </c>
      <c r="N120" s="101">
        <v>-0.2482621116</v>
      </c>
      <c r="O120" s="101">
        <v>-3.4732524799999998E-2</v>
      </c>
      <c r="P120" s="101">
        <v>-2.2079310000000001E-4</v>
      </c>
      <c r="Q120" s="101">
        <v>-0.11905187220000001</v>
      </c>
      <c r="R120" s="102">
        <v>-9.2015732200000006E-2</v>
      </c>
      <c r="S120" s="103">
        <v>-8.5499635700000007E-2</v>
      </c>
      <c r="T120" s="82">
        <v>2.0000000000000001E-4</v>
      </c>
    </row>
    <row r="121" spans="6:20" x14ac:dyDescent="0.2">
      <c r="F121" s="18" t="s">
        <v>161</v>
      </c>
      <c r="G121" s="101">
        <v>-0.45106389079999998</v>
      </c>
      <c r="H121" s="101">
        <v>-0.37170260469999999</v>
      </c>
      <c r="I121" s="101">
        <v>-0.22394686320000001</v>
      </c>
      <c r="J121" s="101">
        <v>-7.9723904400000004E-2</v>
      </c>
      <c r="K121" s="101">
        <v>-0.37378585110000001</v>
      </c>
      <c r="L121" s="101">
        <v>-1.9048334E-3</v>
      </c>
      <c r="M121" s="101">
        <v>-0.1157786651</v>
      </c>
      <c r="N121" s="101">
        <v>-0.33164753050000001</v>
      </c>
      <c r="O121" s="101">
        <v>-4.51565393E-2</v>
      </c>
      <c r="P121" s="101">
        <v>-0.13171275039999999</v>
      </c>
      <c r="Q121" s="101">
        <v>-7.79047608E-2</v>
      </c>
      <c r="R121" s="102">
        <v>-0.17124664079999999</v>
      </c>
      <c r="S121" s="103">
        <v>-0.17208983259999999</v>
      </c>
      <c r="T121" s="82">
        <v>2.0000000000000001E-4</v>
      </c>
    </row>
    <row r="122" spans="6:20" x14ac:dyDescent="0.2">
      <c r="F122" s="18" t="s">
        <v>162</v>
      </c>
      <c r="G122" s="101">
        <v>-2.4603828300000002E-2</v>
      </c>
      <c r="H122" s="101">
        <v>4.2348117800000001E-2</v>
      </c>
      <c r="I122" s="101">
        <v>0.11350656620000001</v>
      </c>
      <c r="J122" s="101">
        <v>7.8785887099999993E-2</v>
      </c>
      <c r="K122" s="101">
        <v>5.2273856600000002E-2</v>
      </c>
      <c r="L122" s="101">
        <v>6.4538401300000006E-2</v>
      </c>
      <c r="M122" s="101">
        <v>7.4546253300000004E-2</v>
      </c>
      <c r="N122" s="101">
        <v>2.2475973199999999E-2</v>
      </c>
      <c r="O122" s="101">
        <v>0.1129270912</v>
      </c>
      <c r="P122" s="101">
        <v>6.2102317800000001E-2</v>
      </c>
      <c r="Q122" s="101">
        <v>-5.1778263599999999E-2</v>
      </c>
      <c r="R122" s="102">
        <v>-9.2837892999999994E-3</v>
      </c>
      <c r="S122" s="103">
        <v>4.0048964499999999E-2</v>
      </c>
      <c r="T122" s="82">
        <v>2.0000000000000001E-4</v>
      </c>
    </row>
    <row r="123" spans="6:20" x14ac:dyDescent="0.2">
      <c r="F123" s="18" t="s">
        <v>163</v>
      </c>
      <c r="G123" s="101">
        <v>-2.03870692E-2</v>
      </c>
      <c r="H123" s="101">
        <v>0.1248475454</v>
      </c>
      <c r="I123" s="101">
        <v>7.4177782400000003E-2</v>
      </c>
      <c r="J123" s="101">
        <v>-2.6873258399999999E-2</v>
      </c>
      <c r="K123" s="101">
        <v>7.3808554499999998E-2</v>
      </c>
      <c r="L123" s="101">
        <v>0.1248001151</v>
      </c>
      <c r="M123" s="101">
        <v>7.1891239999999999E-3</v>
      </c>
      <c r="N123" s="101">
        <v>0.115928241</v>
      </c>
      <c r="O123" s="101">
        <v>-1.8611846899999999E-2</v>
      </c>
      <c r="P123" s="101">
        <v>6.9254773000000006E-2</v>
      </c>
      <c r="Q123" s="101">
        <v>2.3591905400000002E-2</v>
      </c>
      <c r="R123" s="102">
        <v>0.1116464638</v>
      </c>
      <c r="S123" s="103">
        <v>2.69586414E-2</v>
      </c>
      <c r="T123" s="82">
        <v>2.0000000000000001E-4</v>
      </c>
    </row>
    <row r="124" spans="6:20" x14ac:dyDescent="0.2">
      <c r="F124" s="18" t="s">
        <v>164</v>
      </c>
      <c r="G124" s="101">
        <v>0.12028228069999999</v>
      </c>
      <c r="H124" s="101">
        <v>9.6574123999999997E-2</v>
      </c>
      <c r="I124" s="101">
        <v>0.1069489361</v>
      </c>
      <c r="J124" s="101">
        <v>0</v>
      </c>
      <c r="K124" s="101">
        <v>3.4320534399999998E-2</v>
      </c>
      <c r="L124" s="101">
        <v>-5.3489189000000001E-3</v>
      </c>
      <c r="M124" s="101">
        <v>-3.5701400000000001E-4</v>
      </c>
      <c r="N124" s="101">
        <v>0.1175451206</v>
      </c>
      <c r="O124" s="101">
        <v>7.3775400399999996E-2</v>
      </c>
      <c r="P124" s="101">
        <v>0.1442518032</v>
      </c>
      <c r="Q124" s="101">
        <v>1.04090859E-2</v>
      </c>
      <c r="R124" s="102">
        <v>-1.25238704E-2</v>
      </c>
      <c r="S124" s="103">
        <v>5.12306186E-2</v>
      </c>
      <c r="T124" s="82">
        <v>2.0000000000000001E-4</v>
      </c>
    </row>
    <row r="125" spans="6:20" x14ac:dyDescent="0.2">
      <c r="F125" s="18" t="s">
        <v>165</v>
      </c>
      <c r="G125" s="101">
        <v>-2.3772224200000001E-2</v>
      </c>
      <c r="H125" s="101">
        <v>-3.5481951099999999E-2</v>
      </c>
      <c r="I125" s="101">
        <v>8.9784036600000006E-2</v>
      </c>
      <c r="J125" s="101">
        <v>-8.1546371199999995E-2</v>
      </c>
      <c r="K125" s="101">
        <v>2.6363632500000001E-2</v>
      </c>
      <c r="L125" s="101">
        <v>-7.7440145299999999E-2</v>
      </c>
      <c r="M125" s="101">
        <v>4.2485010300000001E-2</v>
      </c>
      <c r="N125" s="101">
        <v>-0.11182460399999999</v>
      </c>
      <c r="O125" s="101">
        <v>-2.3165944599999998E-2</v>
      </c>
      <c r="P125" s="101">
        <v>-6.4725787000000003E-3</v>
      </c>
      <c r="Q125" s="101">
        <v>-6.0557797400000002E-2</v>
      </c>
      <c r="R125" s="102">
        <v>-9.9013622999999995E-2</v>
      </c>
      <c r="S125" s="103">
        <v>-3.0855063700000001E-2</v>
      </c>
      <c r="T125" s="82">
        <v>2.0000000000000001E-4</v>
      </c>
    </row>
    <row r="126" spans="6:20" x14ac:dyDescent="0.2">
      <c r="F126" s="18" t="s">
        <v>166</v>
      </c>
      <c r="G126" s="101">
        <v>0.1101435554</v>
      </c>
      <c r="H126" s="101">
        <v>7.1815877200000003E-2</v>
      </c>
      <c r="I126" s="101">
        <v>5.93607159E-2</v>
      </c>
      <c r="J126" s="101">
        <v>9.0191753999999992E-3</v>
      </c>
      <c r="K126" s="101">
        <v>3.2329464699999998E-2</v>
      </c>
      <c r="L126" s="101">
        <v>4.8382262799999999E-2</v>
      </c>
      <c r="M126" s="101">
        <v>-8.8729963999999995E-3</v>
      </c>
      <c r="N126" s="101">
        <v>0.18873107019999999</v>
      </c>
      <c r="O126" s="101">
        <v>-4.1558536899999998E-2</v>
      </c>
      <c r="P126" s="101">
        <v>5.60871379E-2</v>
      </c>
      <c r="Q126" s="101">
        <v>5.7507990500000002E-2</v>
      </c>
      <c r="R126" s="102">
        <v>7.9395635000000006E-2</v>
      </c>
      <c r="S126" s="103">
        <v>3.4184964999999998E-2</v>
      </c>
      <c r="T126" s="82">
        <v>2.0000000000000001E-4</v>
      </c>
    </row>
    <row r="127" spans="6:20" x14ac:dyDescent="0.2">
      <c r="F127" s="18" t="s">
        <v>167</v>
      </c>
      <c r="G127" s="101">
        <v>-9.8343890000000003E-2</v>
      </c>
      <c r="H127" s="101">
        <v>-0.1528784805</v>
      </c>
      <c r="I127" s="101">
        <v>-5.3879374600000002E-2</v>
      </c>
      <c r="J127" s="101">
        <v>2.1779332E-3</v>
      </c>
      <c r="K127" s="101">
        <v>-2.0162968999999999E-2</v>
      </c>
      <c r="L127" s="101">
        <v>2.3352977600000002E-2</v>
      </c>
      <c r="M127" s="101">
        <v>-5.1219332800000003E-2</v>
      </c>
      <c r="N127" s="101">
        <v>-6.9001823000000004E-2</v>
      </c>
      <c r="O127" s="101">
        <v>5.4202551000000002E-3</v>
      </c>
      <c r="P127" s="101">
        <v>2.2168791399999999E-2</v>
      </c>
      <c r="Q127" s="101">
        <v>-0.1178246979</v>
      </c>
      <c r="R127" s="102">
        <v>-8.9844763399999999E-2</v>
      </c>
      <c r="S127" s="103">
        <v>-2.90628408E-2</v>
      </c>
      <c r="T127" s="82">
        <v>2.0000000000000001E-4</v>
      </c>
    </row>
    <row r="128" spans="6:20" x14ac:dyDescent="0.2">
      <c r="F128" s="18" t="s">
        <v>168</v>
      </c>
      <c r="G128" s="101">
        <v>8.3775002000000005E-3</v>
      </c>
      <c r="H128" s="101">
        <v>-3.6158180499999998E-2</v>
      </c>
      <c r="I128" s="101">
        <v>-9.6674350699999995E-2</v>
      </c>
      <c r="J128" s="101">
        <v>-0.1416154107</v>
      </c>
      <c r="K128" s="101">
        <v>-9.0630350299999995E-2</v>
      </c>
      <c r="L128" s="101">
        <v>8.5302716099999995E-2</v>
      </c>
      <c r="M128" s="101">
        <v>1.65257036E-2</v>
      </c>
      <c r="N128" s="101">
        <v>-4.2351889699999999E-2</v>
      </c>
      <c r="O128" s="101">
        <v>-9.3284877200000005E-2</v>
      </c>
      <c r="P128" s="101">
        <v>-1.7444687899999999E-2</v>
      </c>
      <c r="Q128" s="101">
        <v>-9.5178800899999999E-2</v>
      </c>
      <c r="R128" s="102">
        <v>-5.1733773900000002E-2</v>
      </c>
      <c r="S128" s="103">
        <v>-4.3552060500000003E-2</v>
      </c>
      <c r="T128" s="82">
        <v>2.0000000000000001E-4</v>
      </c>
    </row>
    <row r="129" spans="6:20" x14ac:dyDescent="0.2">
      <c r="F129" s="18" t="s">
        <v>169</v>
      </c>
      <c r="G129" s="101">
        <v>0.40166187250000002</v>
      </c>
      <c r="H129" s="101">
        <v>0.43912248390000003</v>
      </c>
      <c r="I129" s="101">
        <v>0.17308875479999999</v>
      </c>
      <c r="J129" s="101">
        <v>0.13628705729999999</v>
      </c>
      <c r="K129" s="101">
        <v>0.19114105689999999</v>
      </c>
      <c r="L129" s="101">
        <v>2.30289441E-2</v>
      </c>
      <c r="M129" s="101">
        <v>0.15606946830000001</v>
      </c>
      <c r="N129" s="101">
        <v>0.56927807590000001</v>
      </c>
      <c r="O129" s="101">
        <v>9.4868684100000003E-2</v>
      </c>
      <c r="P129" s="101">
        <v>0.11948180849999999</v>
      </c>
      <c r="Q129" s="101">
        <v>0.3874907541</v>
      </c>
      <c r="R129" s="102">
        <v>0.2606897702</v>
      </c>
      <c r="S129" s="103">
        <v>0.2011887762</v>
      </c>
      <c r="T129" s="82">
        <v>2.0000000000000001E-4</v>
      </c>
    </row>
    <row r="130" spans="6:20" x14ac:dyDescent="0.2">
      <c r="F130" s="18" t="s">
        <v>170</v>
      </c>
      <c r="G130" s="101">
        <v>2.3367089600000002E-2</v>
      </c>
      <c r="H130" s="101">
        <v>3.2583517999999999E-3</v>
      </c>
      <c r="I130" s="101">
        <v>9.0283756600000001E-2</v>
      </c>
      <c r="J130" s="101">
        <v>-1.8568011E-3</v>
      </c>
      <c r="K130" s="101">
        <v>1.2126179799999999E-2</v>
      </c>
      <c r="L130" s="101">
        <v>7.6094944299999995E-2</v>
      </c>
      <c r="M130" s="101">
        <v>-1.9999873500000001E-2</v>
      </c>
      <c r="N130" s="101">
        <v>7.2102930199999998E-2</v>
      </c>
      <c r="O130" s="101">
        <v>-7.0947821999999994E-2</v>
      </c>
      <c r="P130" s="101">
        <v>1.41449387E-2</v>
      </c>
      <c r="Q130" s="101">
        <v>-1.46547858E-2</v>
      </c>
      <c r="R130" s="102">
        <v>-4.8420631800000002E-2</v>
      </c>
      <c r="S130" s="103">
        <v>5.9545266000000001E-3</v>
      </c>
      <c r="T130" s="82">
        <v>2.0000000000000001E-4</v>
      </c>
    </row>
    <row r="131" spans="6:20" x14ac:dyDescent="0.2">
      <c r="F131" s="18" t="s">
        <v>171</v>
      </c>
      <c r="G131" s="101">
        <v>-7.3290323800000001E-2</v>
      </c>
      <c r="H131" s="101">
        <v>-7.7137182999999998E-2</v>
      </c>
      <c r="I131" s="101">
        <v>-5.7570956E-2</v>
      </c>
      <c r="J131" s="101">
        <v>2.2321588100000001E-2</v>
      </c>
      <c r="K131" s="101">
        <v>2.3961442199999999E-2</v>
      </c>
      <c r="L131" s="101">
        <v>-4.2064653799999997E-2</v>
      </c>
      <c r="M131" s="101">
        <v>2.4404451999999999E-3</v>
      </c>
      <c r="N131" s="101">
        <v>-1.45410781E-2</v>
      </c>
      <c r="O131" s="101">
        <v>-1.9695059599999998E-2</v>
      </c>
      <c r="P131" s="101">
        <v>2.2400609700000001E-2</v>
      </c>
      <c r="Q131" s="101">
        <v>-1.14731191E-2</v>
      </c>
      <c r="R131" s="102">
        <v>-5.87513967E-2</v>
      </c>
      <c r="S131" s="103">
        <v>-2.7416492600000002E-2</v>
      </c>
      <c r="T131" s="82">
        <v>2.0000000000000001E-4</v>
      </c>
    </row>
    <row r="132" spans="6:20" x14ac:dyDescent="0.2">
      <c r="F132" s="18" t="s">
        <v>172</v>
      </c>
      <c r="G132" s="101">
        <v>0.15276461190000001</v>
      </c>
      <c r="H132" s="101">
        <v>0.23868780489999999</v>
      </c>
      <c r="I132" s="101">
        <v>0.1142258327</v>
      </c>
      <c r="J132" s="101">
        <v>2.7292449E-2</v>
      </c>
      <c r="K132" s="101">
        <v>-5.7332222799999999E-2</v>
      </c>
      <c r="L132" s="101">
        <v>9.56562361E-2</v>
      </c>
      <c r="M132" s="101">
        <v>1.05972254E-2</v>
      </c>
      <c r="N132" s="101">
        <v>5.3490149899999999E-2</v>
      </c>
      <c r="O132" s="101">
        <v>-1.7498471500000001E-2</v>
      </c>
      <c r="P132" s="101">
        <v>1.57089636E-2</v>
      </c>
      <c r="Q132" s="101">
        <v>0.1206812064</v>
      </c>
      <c r="R132" s="102">
        <v>0.1235309057</v>
      </c>
      <c r="S132" s="103">
        <v>5.6306433000000003E-2</v>
      </c>
      <c r="T132" s="82">
        <v>2.0000000000000001E-4</v>
      </c>
    </row>
    <row r="133" spans="6:20" x14ac:dyDescent="0.2">
      <c r="F133" s="18" t="s">
        <v>173</v>
      </c>
      <c r="G133" s="101">
        <v>6.5686110999999998E-3</v>
      </c>
      <c r="H133" s="101">
        <v>5.28665548E-2</v>
      </c>
      <c r="I133" s="101">
        <v>8.9748593299999999E-2</v>
      </c>
      <c r="J133" s="101">
        <v>3.6131858400000001E-2</v>
      </c>
      <c r="K133" s="101">
        <v>1.6549333E-3</v>
      </c>
      <c r="L133" s="101">
        <v>2.25303868E-2</v>
      </c>
      <c r="M133" s="101">
        <v>1.7159272199999999E-2</v>
      </c>
      <c r="N133" s="101">
        <v>-5.2524206E-3</v>
      </c>
      <c r="O133" s="101">
        <v>0.111477587</v>
      </c>
      <c r="P133" s="101">
        <v>6.0236084600000003E-2</v>
      </c>
      <c r="Q133" s="101">
        <v>3.6481865600000003E-2</v>
      </c>
      <c r="R133" s="102">
        <v>1.5341801299999999E-2</v>
      </c>
      <c r="S133" s="103">
        <v>6.3825304299999996E-2</v>
      </c>
      <c r="T133" s="82">
        <v>2.0000000000000001E-4</v>
      </c>
    </row>
    <row r="134" spans="6:20" x14ac:dyDescent="0.2">
      <c r="F134" s="18" t="s">
        <v>174</v>
      </c>
      <c r="G134" s="101">
        <v>3.5218544099999999E-2</v>
      </c>
      <c r="H134" s="101">
        <v>2.9105714000000001E-2</v>
      </c>
      <c r="I134" s="101">
        <v>5.03099293E-2</v>
      </c>
      <c r="J134" s="101">
        <v>2.2221853999999999E-3</v>
      </c>
      <c r="K134" s="101">
        <v>2.1891864800000001E-2</v>
      </c>
      <c r="L134" s="101">
        <v>0.1077211496</v>
      </c>
      <c r="M134" s="101">
        <v>6.65417913E-2</v>
      </c>
      <c r="N134" s="101">
        <v>-9.2201572900000001E-2</v>
      </c>
      <c r="O134" s="101">
        <v>3.5845780299999998E-2</v>
      </c>
      <c r="P134" s="101">
        <v>2.1266849800000001E-2</v>
      </c>
      <c r="Q134" s="101">
        <v>-5.8660118599999998E-2</v>
      </c>
      <c r="R134" s="102">
        <v>4.6245164900000003E-2</v>
      </c>
      <c r="S134" s="103">
        <v>3.33348168E-2</v>
      </c>
      <c r="T134" s="82">
        <v>2.0000000000000001E-4</v>
      </c>
    </row>
    <row r="135" spans="6:20" x14ac:dyDescent="0.2">
      <c r="F135" s="18" t="s">
        <v>175</v>
      </c>
      <c r="G135" s="101">
        <v>6.7240310600000006E-2</v>
      </c>
      <c r="H135" s="101">
        <v>4.6075741699999999E-2</v>
      </c>
      <c r="I135" s="101">
        <v>1.6404739E-3</v>
      </c>
      <c r="J135" s="101">
        <v>-5.6284919999999997E-3</v>
      </c>
      <c r="K135" s="101">
        <v>-1.7785142899999998E-2</v>
      </c>
      <c r="L135" s="101">
        <v>0.1039272074</v>
      </c>
      <c r="M135" s="101">
        <v>5.53600364E-2</v>
      </c>
      <c r="N135" s="101">
        <v>9.2468362000000005E-3</v>
      </c>
      <c r="O135" s="101">
        <v>-3.4375629999999998E-3</v>
      </c>
      <c r="P135" s="101">
        <v>-2.7214057999999999E-2</v>
      </c>
      <c r="Q135" s="101">
        <v>2.9327734800000001E-2</v>
      </c>
      <c r="R135" s="102">
        <v>3.9663739099999998E-2</v>
      </c>
      <c r="S135" s="103">
        <v>2.8342054200000001E-2</v>
      </c>
      <c r="T135" s="82">
        <v>2.0000000000000001E-4</v>
      </c>
    </row>
    <row r="136" spans="6:20" x14ac:dyDescent="0.2">
      <c r="F136" s="18" t="s">
        <v>176</v>
      </c>
      <c r="G136" s="101">
        <v>1.66885352E-2</v>
      </c>
      <c r="H136" s="101">
        <v>-3.4297149499999999E-2</v>
      </c>
      <c r="I136" s="101">
        <v>6.1251191500000003E-2</v>
      </c>
      <c r="J136" s="101">
        <v>5.2879725599999997E-2</v>
      </c>
      <c r="K136" s="101">
        <v>-9.0977065999999999E-3</v>
      </c>
      <c r="L136" s="101">
        <v>6.8986531500000003E-2</v>
      </c>
      <c r="M136" s="101">
        <v>3.9134119600000003E-2</v>
      </c>
      <c r="N136" s="101">
        <v>7.3886804999999996E-3</v>
      </c>
      <c r="O136" s="101">
        <v>5.5068938200000001E-2</v>
      </c>
      <c r="P136" s="101">
        <v>4.5489153599999999E-2</v>
      </c>
      <c r="Q136" s="101">
        <v>6.5954187000000003E-3</v>
      </c>
      <c r="R136" s="102">
        <v>-3.1532511999999999E-2</v>
      </c>
      <c r="S136" s="103">
        <v>9.4088036999999992E-3</v>
      </c>
      <c r="T136" s="82">
        <v>2.0000000000000001E-4</v>
      </c>
    </row>
    <row r="137" spans="6:20" x14ac:dyDescent="0.2">
      <c r="F137" s="18" t="s">
        <v>177</v>
      </c>
      <c r="G137" s="101">
        <v>6.6949434299999999E-2</v>
      </c>
      <c r="H137" s="101">
        <v>-2.6858278499999999E-2</v>
      </c>
      <c r="I137" s="101">
        <v>0.13956202470000001</v>
      </c>
      <c r="J137" s="101">
        <v>4.5309140300000002E-2</v>
      </c>
      <c r="K137" s="101">
        <v>-2.61380937E-2</v>
      </c>
      <c r="L137" s="101">
        <v>4.9246999800000003E-2</v>
      </c>
      <c r="M137" s="101">
        <v>-5.8759624000000003E-3</v>
      </c>
      <c r="N137" s="101">
        <v>-6.0436995399999999E-2</v>
      </c>
      <c r="O137" s="101">
        <v>-1.6749578000000001E-2</v>
      </c>
      <c r="P137" s="101">
        <v>6.4968382000000005E-2</v>
      </c>
      <c r="Q137" s="101">
        <v>-2.2013091299999999E-2</v>
      </c>
      <c r="R137" s="102">
        <v>-8.6678621999999993E-3</v>
      </c>
      <c r="S137" s="103">
        <v>1.6123605900000001E-2</v>
      </c>
      <c r="T137" s="82">
        <v>2.0000000000000001E-4</v>
      </c>
    </row>
    <row r="138" spans="6:20" x14ac:dyDescent="0.2">
      <c r="F138" s="18" t="s">
        <v>178</v>
      </c>
      <c r="G138" s="101">
        <v>0</v>
      </c>
      <c r="H138" s="101">
        <v>4.4314723299999997E-2</v>
      </c>
      <c r="I138" s="101">
        <v>4.3347031500000001E-2</v>
      </c>
      <c r="J138" s="101">
        <v>-3.0615632999999999E-3</v>
      </c>
      <c r="K138" s="101">
        <v>7.8208335899999995E-2</v>
      </c>
      <c r="L138" s="101">
        <v>-3.4522835699999997E-2</v>
      </c>
      <c r="M138" s="101">
        <v>-3.68356024E-2</v>
      </c>
      <c r="N138" s="101">
        <v>-1.7954794100000001E-2</v>
      </c>
      <c r="O138" s="101">
        <v>8.5173439E-3</v>
      </c>
      <c r="P138" s="101">
        <v>7.0771422799999997E-2</v>
      </c>
      <c r="Q138" s="101">
        <v>1.7574956400000001E-2</v>
      </c>
      <c r="R138" s="102">
        <v>1.88320815E-2</v>
      </c>
      <c r="S138" s="103">
        <v>1.0195502699999999E-2</v>
      </c>
      <c r="T138" s="82">
        <v>2.0000000000000001E-4</v>
      </c>
    </row>
    <row r="139" spans="6:20" x14ac:dyDescent="0.2">
      <c r="F139" s="18" t="s">
        <v>179</v>
      </c>
      <c r="G139" s="101">
        <v>-5.1858950000000003E-3</v>
      </c>
      <c r="H139" s="101">
        <v>3.1825923700000001E-2</v>
      </c>
      <c r="I139" s="101">
        <v>-5.2590082099999998E-2</v>
      </c>
      <c r="J139" s="101">
        <v>-4.5579527699999997E-2</v>
      </c>
      <c r="K139" s="101">
        <v>-6.5117083100000001E-2</v>
      </c>
      <c r="L139" s="101">
        <v>-3.8569721199999997E-2</v>
      </c>
      <c r="M139" s="101">
        <v>7.1649438499999996E-2</v>
      </c>
      <c r="N139" s="101">
        <v>-1.7646945000000001E-2</v>
      </c>
      <c r="O139" s="101">
        <v>-5.1814656000000001E-2</v>
      </c>
      <c r="P139" s="101">
        <v>-4.8909509300000001E-2</v>
      </c>
      <c r="Q139" s="101">
        <v>0.1068414495</v>
      </c>
      <c r="R139" s="102">
        <v>-8.1415519999999998E-3</v>
      </c>
      <c r="S139" s="103">
        <v>-2.39769596E-2</v>
      </c>
      <c r="T139" s="82">
        <v>2.0000000000000001E-4</v>
      </c>
    </row>
    <row r="140" spans="6:20" x14ac:dyDescent="0.2">
      <c r="F140" s="18" t="s">
        <v>180</v>
      </c>
      <c r="G140" s="101">
        <v>-3.9096351500000001E-2</v>
      </c>
      <c r="H140" s="101">
        <v>7.3831298000000004E-2</v>
      </c>
      <c r="I140" s="101">
        <v>0.1174022426</v>
      </c>
      <c r="J140" s="101">
        <v>-4.5723794099999999E-2</v>
      </c>
      <c r="K140" s="101">
        <v>8.4112099499999995E-2</v>
      </c>
      <c r="L140" s="101">
        <v>0.1454240638</v>
      </c>
      <c r="M140" s="101">
        <v>4.1950741800000003E-2</v>
      </c>
      <c r="N140" s="101">
        <v>5.3405127000000002E-3</v>
      </c>
      <c r="O140" s="101">
        <v>4.0322642999999998E-2</v>
      </c>
      <c r="P140" s="101">
        <v>3.4746360400000002E-2</v>
      </c>
      <c r="Q140" s="101">
        <v>6.7854823100000003E-2</v>
      </c>
      <c r="R140" s="102">
        <v>2.46254497E-2</v>
      </c>
      <c r="S140" s="103">
        <v>4.75965665E-2</v>
      </c>
      <c r="T140" s="82">
        <v>2.0000000000000001E-4</v>
      </c>
    </row>
    <row r="141" spans="6:20" x14ac:dyDescent="0.2">
      <c r="F141" s="18" t="s">
        <v>181</v>
      </c>
      <c r="G141" s="101">
        <v>-0.1074140564</v>
      </c>
      <c r="H141" s="101">
        <v>-4.8704487900000003E-2</v>
      </c>
      <c r="I141" s="101">
        <v>1.3909552299999999E-2</v>
      </c>
      <c r="J141" s="101">
        <v>-7.7373567300000001E-2</v>
      </c>
      <c r="K141" s="101">
        <v>4.1802388599999997E-2</v>
      </c>
      <c r="L141" s="101">
        <v>0.20612896419999999</v>
      </c>
      <c r="M141" s="101">
        <v>1.91241864E-2</v>
      </c>
      <c r="N141" s="101">
        <v>-8.3708910100000006E-2</v>
      </c>
      <c r="O141" s="101">
        <v>-2.9734979299999999E-2</v>
      </c>
      <c r="P141" s="101">
        <v>4.91605663E-2</v>
      </c>
      <c r="Q141" s="101">
        <v>-6.3638496899999994E-2</v>
      </c>
      <c r="R141" s="102">
        <v>-9.42945647E-2</v>
      </c>
      <c r="S141" s="103">
        <v>-1.5984517600000001E-2</v>
      </c>
      <c r="T141" s="82">
        <v>2.0000000000000001E-4</v>
      </c>
    </row>
    <row r="142" spans="6:20" x14ac:dyDescent="0.2">
      <c r="F142" s="18" t="s">
        <v>182</v>
      </c>
      <c r="G142" s="101">
        <v>0.13816840350000001</v>
      </c>
      <c r="H142" s="101">
        <v>0.1033041418</v>
      </c>
      <c r="I142" s="101">
        <v>5.5855017E-2</v>
      </c>
      <c r="J142" s="101">
        <v>5.0009543300000001E-2</v>
      </c>
      <c r="K142" s="101">
        <v>1.5924855200000001E-2</v>
      </c>
      <c r="L142" s="101">
        <v>-7.0780283999999999E-2</v>
      </c>
      <c r="M142" s="101">
        <v>5.3329726100000002E-2</v>
      </c>
      <c r="N142" s="101">
        <v>7.3260734199999997E-2</v>
      </c>
      <c r="O142" s="101">
        <v>5.62842037E-2</v>
      </c>
      <c r="P142" s="101">
        <v>0.1039559518</v>
      </c>
      <c r="Q142" s="101">
        <v>9.8990513799999999E-2</v>
      </c>
      <c r="R142" s="102">
        <v>0.118247806</v>
      </c>
      <c r="S142" s="103">
        <v>6.4255220700000004E-2</v>
      </c>
      <c r="T142" s="82">
        <v>2.0000000000000001E-4</v>
      </c>
    </row>
    <row r="143" spans="6:20" x14ac:dyDescent="0.2">
      <c r="F143" s="18" t="s">
        <v>183</v>
      </c>
      <c r="G143" s="101">
        <v>-2.1359167000000001E-3</v>
      </c>
      <c r="H143" s="101">
        <v>3.6695724200000002E-2</v>
      </c>
      <c r="I143" s="101">
        <v>-8.3758808899999995E-2</v>
      </c>
      <c r="J143" s="101">
        <v>1.2090126499999999E-2</v>
      </c>
      <c r="K143" s="101">
        <v>4.1493873100000002E-2</v>
      </c>
      <c r="L143" s="101">
        <v>-0.1416013656</v>
      </c>
      <c r="M143" s="101">
        <v>-0.1063828777</v>
      </c>
      <c r="N143" s="101">
        <v>0.1430676488</v>
      </c>
      <c r="O143" s="101">
        <v>4.7076002399999997E-2</v>
      </c>
      <c r="P143" s="101">
        <v>-0.13394406719999999</v>
      </c>
      <c r="Q143" s="101">
        <v>0.12525178919999999</v>
      </c>
      <c r="R143" s="102">
        <v>4.0361503399999998E-2</v>
      </c>
      <c r="S143" s="103">
        <v>-2.1505515100000001E-2</v>
      </c>
      <c r="T143" s="82">
        <v>2.0000000000000001E-4</v>
      </c>
    </row>
    <row r="144" spans="6:20" x14ac:dyDescent="0.2">
      <c r="F144" s="18" t="s">
        <v>184</v>
      </c>
      <c r="G144" s="101">
        <v>2.4794851600000001E-2</v>
      </c>
      <c r="H144" s="101">
        <v>-0.1665079246</v>
      </c>
      <c r="I144" s="101">
        <v>-4.6340737799999997E-2</v>
      </c>
      <c r="J144" s="101">
        <v>-1.7013470900000001E-2</v>
      </c>
      <c r="K144" s="101">
        <v>5.2678185900000001E-2</v>
      </c>
      <c r="L144" s="101">
        <v>-5.8020623600000001E-2</v>
      </c>
      <c r="M144" s="101">
        <v>3.5185161899999998E-2</v>
      </c>
      <c r="N144" s="101">
        <v>-0.18258623030000001</v>
      </c>
      <c r="O144" s="101">
        <v>7.7629420000000001E-3</v>
      </c>
      <c r="P144" s="101">
        <v>-6.4140481700000002E-2</v>
      </c>
      <c r="Q144" s="101">
        <v>-7.8567880100000001E-2</v>
      </c>
      <c r="R144" s="102">
        <v>-2.2139461199999998E-2</v>
      </c>
      <c r="S144" s="103">
        <v>-4.8629858800000002E-2</v>
      </c>
      <c r="T144" s="82">
        <v>2.0000000000000001E-4</v>
      </c>
    </row>
    <row r="145" spans="6:20" x14ac:dyDescent="0.2">
      <c r="F145" s="18" t="s">
        <v>185</v>
      </c>
      <c r="G145" s="101">
        <v>-3.9512602500000001E-2</v>
      </c>
      <c r="H145" s="101">
        <v>-1.10455055E-2</v>
      </c>
      <c r="I145" s="101">
        <v>7.5411494800000006E-2</v>
      </c>
      <c r="J145" s="101">
        <v>-7.8806887399999997E-2</v>
      </c>
      <c r="K145" s="101">
        <v>-0.163582908</v>
      </c>
      <c r="L145" s="101">
        <v>4.2020510300000001E-2</v>
      </c>
      <c r="M145" s="101">
        <v>1.8655715E-2</v>
      </c>
      <c r="N145" s="101">
        <v>-0.16345485979999999</v>
      </c>
      <c r="O145" s="101">
        <v>-1.0270823599999999E-2</v>
      </c>
      <c r="P145" s="101">
        <v>8.8567768599999999E-2</v>
      </c>
      <c r="Q145" s="101">
        <v>9.6511697E-3</v>
      </c>
      <c r="R145" s="102">
        <v>-1.6187145699999999E-2</v>
      </c>
      <c r="S145" s="103">
        <v>1.561895E-4</v>
      </c>
      <c r="T145" s="82">
        <v>2.0000000000000001E-4</v>
      </c>
    </row>
    <row r="146" spans="6:20" x14ac:dyDescent="0.2">
      <c r="F146" s="18" t="s">
        <v>186</v>
      </c>
      <c r="G146" s="101">
        <v>-4.3675224899999997E-2</v>
      </c>
      <c r="H146" s="101">
        <v>-4.2846106600000003E-2</v>
      </c>
      <c r="I146" s="101">
        <v>-3.1604848400000003E-2</v>
      </c>
      <c r="J146" s="101">
        <v>0.15210867340000001</v>
      </c>
      <c r="K146" s="101">
        <v>-5.1281937600000001E-2</v>
      </c>
      <c r="L146" s="101">
        <v>-8.1300671000000005E-2</v>
      </c>
      <c r="M146" s="101">
        <v>-8.2789422999999997E-3</v>
      </c>
      <c r="N146" s="101">
        <v>-1.2565376099999999E-2</v>
      </c>
      <c r="O146" s="101">
        <v>9.3719674000000003E-2</v>
      </c>
      <c r="P146" s="101">
        <v>-9.5031483400000005E-2</v>
      </c>
      <c r="Q146" s="101">
        <v>4.0970604000000001E-2</v>
      </c>
      <c r="R146" s="102">
        <v>-1.6130361E-3</v>
      </c>
      <c r="S146" s="103">
        <v>-1.8934317900000001E-2</v>
      </c>
      <c r="T146" s="82">
        <v>2.0000000000000001E-4</v>
      </c>
    </row>
    <row r="147" spans="6:20" x14ac:dyDescent="0.2">
      <c r="F147" s="18" t="s">
        <v>187</v>
      </c>
      <c r="G147" s="101">
        <v>4.54769769E-2</v>
      </c>
      <c r="H147" s="101">
        <v>6.8504077199999999E-2</v>
      </c>
      <c r="I147" s="101">
        <v>-7.9551280399999993E-2</v>
      </c>
      <c r="J147" s="101">
        <v>-5.0485677700000002E-2</v>
      </c>
      <c r="K147" s="101">
        <v>0.18724544009999999</v>
      </c>
      <c r="L147" s="101">
        <v>-6.02820466E-2</v>
      </c>
      <c r="M147" s="101">
        <v>-7.6650593599999997E-2</v>
      </c>
      <c r="N147" s="101">
        <v>8.3775015199999997E-2</v>
      </c>
      <c r="O147" s="101">
        <v>-1.2424220099999999E-2</v>
      </c>
      <c r="P147" s="101">
        <v>-6.2890440199999995E-2</v>
      </c>
      <c r="Q147" s="101">
        <v>0.1771308305</v>
      </c>
      <c r="R147" s="102">
        <v>-1.03742691E-2</v>
      </c>
      <c r="S147" s="103">
        <v>-9.9437559999999998E-3</v>
      </c>
      <c r="T147" s="82">
        <v>2.0000000000000001E-4</v>
      </c>
    </row>
    <row r="148" spans="6:20" x14ac:dyDescent="0.2">
      <c r="F148" s="18" t="s">
        <v>188</v>
      </c>
      <c r="G148" s="101">
        <v>-0.15011951749999999</v>
      </c>
      <c r="H148" s="101">
        <v>-8.3183249799999998E-2</v>
      </c>
      <c r="I148" s="101">
        <v>-9.4459972500000003E-2</v>
      </c>
      <c r="J148" s="101">
        <v>8.1341590999999998E-3</v>
      </c>
      <c r="K148" s="101">
        <v>-0.1224392062</v>
      </c>
      <c r="L148" s="101">
        <v>-3.87388777E-2</v>
      </c>
      <c r="M148" s="101">
        <v>-3.9452081600000001E-2</v>
      </c>
      <c r="N148" s="101">
        <v>-6.8884491899999997E-2</v>
      </c>
      <c r="O148" s="101">
        <v>2.9854654999999998E-3</v>
      </c>
      <c r="P148" s="101">
        <v>-0.1047336062</v>
      </c>
      <c r="Q148" s="101">
        <v>-9.3901873699999999E-2</v>
      </c>
      <c r="R148" s="102">
        <v>-5.2631641899999998E-2</v>
      </c>
      <c r="S148" s="103">
        <v>-8.4395862899999993E-2</v>
      </c>
      <c r="T148" s="82">
        <v>2.0000000000000001E-4</v>
      </c>
    </row>
    <row r="149" spans="6:20" x14ac:dyDescent="0.2">
      <c r="F149" s="18" t="s">
        <v>189</v>
      </c>
      <c r="G149" s="101">
        <v>0.13445099590000001</v>
      </c>
      <c r="H149" s="101">
        <v>1.39974968E-2</v>
      </c>
      <c r="I149" s="101">
        <v>0.1492672032</v>
      </c>
      <c r="J149" s="101">
        <v>1.032684E-2</v>
      </c>
      <c r="K149" s="101">
        <v>9.9762842399999996E-2</v>
      </c>
      <c r="L149" s="101">
        <v>0.25023441190000001</v>
      </c>
      <c r="M149" s="101">
        <v>9.2413021299999995E-2</v>
      </c>
      <c r="N149" s="101">
        <v>0.208280832</v>
      </c>
      <c r="O149" s="101">
        <v>9.0305660000000003E-3</v>
      </c>
      <c r="P149" s="101">
        <v>0.1916739905</v>
      </c>
      <c r="Q149" s="101">
        <v>1.0375829999999999E-3</v>
      </c>
      <c r="R149" s="102">
        <v>9.9105313299999998E-2</v>
      </c>
      <c r="S149" s="103">
        <v>8.8747691000000004E-2</v>
      </c>
      <c r="T149" s="82">
        <v>2.0000000000000001E-4</v>
      </c>
    </row>
    <row r="150" spans="6:20" x14ac:dyDescent="0.2">
      <c r="F150" s="18" t="s">
        <v>190</v>
      </c>
      <c r="G150" s="101">
        <v>-6.6647577599999994E-2</v>
      </c>
      <c r="H150" s="101">
        <v>1.05435155E-2</v>
      </c>
      <c r="I150" s="101">
        <v>-6.6630788400000002E-2</v>
      </c>
      <c r="J150" s="101">
        <v>-2.41591616E-2</v>
      </c>
      <c r="K150" s="101">
        <v>-1.5920375800000001E-2</v>
      </c>
      <c r="L150" s="101">
        <v>-3.8605622200000002E-2</v>
      </c>
      <c r="M150" s="101">
        <v>-3.2964741800000003E-2</v>
      </c>
      <c r="N150" s="101">
        <v>-4.6964236000000001E-3</v>
      </c>
      <c r="O150" s="101">
        <v>-0.1546138209</v>
      </c>
      <c r="P150" s="101">
        <v>-0.11713992970000001</v>
      </c>
      <c r="Q150" s="101">
        <v>1.8689800699999998E-2</v>
      </c>
      <c r="R150" s="102">
        <v>-1.2100919200000001E-2</v>
      </c>
      <c r="S150" s="103">
        <v>-5.0151182799999999E-2</v>
      </c>
      <c r="T150" s="82">
        <v>2.0000000000000001E-4</v>
      </c>
    </row>
    <row r="151" spans="6:20" x14ac:dyDescent="0.2">
      <c r="F151" s="18" t="s">
        <v>191</v>
      </c>
      <c r="G151" s="101">
        <v>-9.1939991200000001E-2</v>
      </c>
      <c r="H151" s="101">
        <v>-6.1955413500000001E-2</v>
      </c>
      <c r="I151" s="101">
        <v>-4.33526121E-2</v>
      </c>
      <c r="J151" s="101">
        <v>-7.5033334500000007E-2</v>
      </c>
      <c r="K151" s="101">
        <v>-2.1907216999999999E-3</v>
      </c>
      <c r="L151" s="101">
        <v>-5.1072027399999997E-2</v>
      </c>
      <c r="M151" s="101">
        <v>2.8874967000000001E-2</v>
      </c>
      <c r="N151" s="101">
        <v>-2.23698609E-2</v>
      </c>
      <c r="O151" s="101">
        <v>-4.5996533300000003E-2</v>
      </c>
      <c r="P151" s="101">
        <v>-1.54907712E-2</v>
      </c>
      <c r="Q151" s="101">
        <v>-4.7642579099999999E-2</v>
      </c>
      <c r="R151" s="102">
        <v>-9.8428295499999999E-2</v>
      </c>
      <c r="S151" s="103">
        <v>-5.9225196000000001E-2</v>
      </c>
      <c r="T151" s="82">
        <v>2.0000000000000001E-4</v>
      </c>
    </row>
    <row r="152" spans="6:20" x14ac:dyDescent="0.2">
      <c r="F152" s="18" t="s">
        <v>192</v>
      </c>
      <c r="G152" s="101">
        <v>0.23275978550000001</v>
      </c>
      <c r="H152" s="101">
        <v>8.9209790400000002E-2</v>
      </c>
      <c r="I152" s="101">
        <v>4.5317839E-3</v>
      </c>
      <c r="J152" s="101">
        <v>3.6442331199999997E-2</v>
      </c>
      <c r="K152" s="101">
        <v>0.1107920265</v>
      </c>
      <c r="L152" s="101">
        <v>7.6828121499999999E-2</v>
      </c>
      <c r="M152" s="101">
        <v>-5.9041671499999997E-2</v>
      </c>
      <c r="N152" s="101">
        <v>0.1144083676</v>
      </c>
      <c r="O152" s="101">
        <v>0.1139031747</v>
      </c>
      <c r="P152" s="101">
        <v>9.6801690600000004E-2</v>
      </c>
      <c r="Q152" s="101">
        <v>0.15772335169999999</v>
      </c>
      <c r="R152" s="102">
        <v>0.12035595</v>
      </c>
      <c r="S152" s="103">
        <v>8.7539122900000002E-2</v>
      </c>
      <c r="T152" s="82">
        <v>2.0000000000000001E-4</v>
      </c>
    </row>
    <row r="153" spans="6:20" x14ac:dyDescent="0.2">
      <c r="F153" s="18" t="s">
        <v>193</v>
      </c>
      <c r="G153" s="101">
        <v>-3.4678475000000002E-3</v>
      </c>
      <c r="H153" s="101">
        <v>0.1249604859</v>
      </c>
      <c r="I153" s="101">
        <v>2.8571414199999999E-2</v>
      </c>
      <c r="J153" s="101">
        <v>-5.1648794E-3</v>
      </c>
      <c r="K153" s="101">
        <v>0.10384675459999999</v>
      </c>
      <c r="L153" s="101">
        <v>0.1770317686</v>
      </c>
      <c r="M153" s="101">
        <v>6.3308968899999998E-2</v>
      </c>
      <c r="N153" s="101">
        <v>0.1167788384</v>
      </c>
      <c r="O153" s="101">
        <v>-9.7331425999999995E-3</v>
      </c>
      <c r="P153" s="101">
        <v>8.3112504800000001E-2</v>
      </c>
      <c r="Q153" s="101">
        <v>9.4555515100000001E-2</v>
      </c>
      <c r="R153" s="102">
        <v>3.6917820300000001E-2</v>
      </c>
      <c r="S153" s="103">
        <v>7.5282766700000003E-2</v>
      </c>
      <c r="T153" s="82">
        <v>2.0000000000000001E-4</v>
      </c>
    </row>
    <row r="154" spans="6:20" x14ac:dyDescent="0.2">
      <c r="F154" s="18" t="s">
        <v>194</v>
      </c>
      <c r="G154" s="101">
        <v>1.66665953E-2</v>
      </c>
      <c r="H154" s="101">
        <v>-3.3688507999999999E-3</v>
      </c>
      <c r="I154" s="101">
        <v>-8.8011718799999999E-2</v>
      </c>
      <c r="J154" s="101">
        <v>-1.6972898899999998E-2</v>
      </c>
      <c r="K154" s="101">
        <v>-7.7961403400000004E-2</v>
      </c>
      <c r="L154" s="101">
        <v>-6.3209113600000005E-2</v>
      </c>
      <c r="M154" s="101">
        <v>-1.4284644799999999E-2</v>
      </c>
      <c r="N154" s="101">
        <v>-0.1015511858</v>
      </c>
      <c r="O154" s="101">
        <v>3.8852691799999999E-2</v>
      </c>
      <c r="P154" s="101">
        <v>-5.9026719900000003E-2</v>
      </c>
      <c r="Q154" s="101">
        <v>-2.7524477200000001E-2</v>
      </c>
      <c r="R154" s="102">
        <v>-2.4208594E-2</v>
      </c>
      <c r="S154" s="103">
        <v>-3.9294810700000002E-2</v>
      </c>
      <c r="T154" s="82">
        <v>2.0000000000000001E-4</v>
      </c>
    </row>
    <row r="155" spans="6:20" x14ac:dyDescent="0.2">
      <c r="F155" s="18" t="s">
        <v>195</v>
      </c>
      <c r="G155" s="101">
        <v>3.4408198899999999E-2</v>
      </c>
      <c r="H155" s="101">
        <v>0.18122063029999999</v>
      </c>
      <c r="I155" s="101">
        <v>0.1151009529</v>
      </c>
      <c r="J155" s="101">
        <v>2.19378397E-2</v>
      </c>
      <c r="K155" s="101">
        <v>-2.7487352199999999E-2</v>
      </c>
      <c r="L155" s="101">
        <v>0.18650504130000001</v>
      </c>
      <c r="M155" s="101">
        <v>3.3469417899999999E-2</v>
      </c>
      <c r="N155" s="101">
        <v>0.1907273421</v>
      </c>
      <c r="O155" s="101">
        <v>-1.8922226E-3</v>
      </c>
      <c r="P155" s="101">
        <v>0.13463897699999999</v>
      </c>
      <c r="Q155" s="101">
        <v>-1.1653972199999999E-2</v>
      </c>
      <c r="R155" s="102">
        <v>0.1109445159</v>
      </c>
      <c r="S155" s="103">
        <v>9.4019577199999996E-2</v>
      </c>
      <c r="T155" s="82">
        <v>2.0000000000000001E-4</v>
      </c>
    </row>
    <row r="156" spans="6:20" x14ac:dyDescent="0.2">
      <c r="F156" s="18" t="s">
        <v>196</v>
      </c>
      <c r="G156" s="101">
        <v>7.9937333599999993E-2</v>
      </c>
      <c r="H156" s="101">
        <v>5.1669431000000002E-2</v>
      </c>
      <c r="I156" s="101">
        <v>2.2714321400000001E-2</v>
      </c>
      <c r="J156" s="101">
        <v>5.8238895499999999E-2</v>
      </c>
      <c r="K156" s="101">
        <v>6.2672849799999999E-2</v>
      </c>
      <c r="L156" s="101">
        <v>5.8338650000000004E-4</v>
      </c>
      <c r="M156" s="101">
        <v>4.1074407100000002E-2</v>
      </c>
      <c r="N156" s="101">
        <v>0.1404404561</v>
      </c>
      <c r="O156" s="101">
        <v>-8.6984517000000001E-3</v>
      </c>
      <c r="P156" s="101">
        <v>2.5620209500000001E-2</v>
      </c>
      <c r="Q156" s="101">
        <v>4.0141400299999998E-2</v>
      </c>
      <c r="R156" s="102">
        <v>4.0524785799999997E-2</v>
      </c>
      <c r="S156" s="103">
        <v>2.6193060600000002E-2</v>
      </c>
      <c r="T156" s="82">
        <v>2.0000000000000001E-4</v>
      </c>
    </row>
    <row r="157" spans="6:20" x14ac:dyDescent="0.2">
      <c r="F157" s="18" t="s">
        <v>197</v>
      </c>
      <c r="G157" s="101">
        <v>-5.9667224E-3</v>
      </c>
      <c r="H157" s="101">
        <v>-0.16538177039999999</v>
      </c>
      <c r="I157" s="101">
        <v>-3.9921258299999998E-2</v>
      </c>
      <c r="J157" s="101">
        <v>7.6446289599999995E-2</v>
      </c>
      <c r="K157" s="101">
        <v>5.3339166600000001E-2</v>
      </c>
      <c r="L157" s="101">
        <v>8.8744899099999996E-2</v>
      </c>
      <c r="M157" s="101">
        <v>5.5639632100000003E-2</v>
      </c>
      <c r="N157" s="101">
        <v>-0.1146693315</v>
      </c>
      <c r="O157" s="101">
        <v>0.12768587479999999</v>
      </c>
      <c r="P157" s="101">
        <v>1.0254947E-2</v>
      </c>
      <c r="Q157" s="101">
        <v>-7.187963E-2</v>
      </c>
      <c r="R157" s="102">
        <v>-1.96586729E-2</v>
      </c>
      <c r="S157" s="103">
        <v>7.4931870999999997E-3</v>
      </c>
      <c r="T157" s="82">
        <v>2.0000000000000001E-4</v>
      </c>
    </row>
    <row r="158" spans="6:20" x14ac:dyDescent="0.2">
      <c r="F158" s="18" t="s">
        <v>198</v>
      </c>
      <c r="G158" s="101">
        <v>3.1310823000000002E-2</v>
      </c>
      <c r="H158" s="101">
        <v>6.1220851999999999E-2</v>
      </c>
      <c r="I158" s="101">
        <v>-3.4260686200000001E-2</v>
      </c>
      <c r="J158" s="101">
        <v>4.6763214599999998E-2</v>
      </c>
      <c r="K158" s="101">
        <v>-3.9797562000000002E-3</v>
      </c>
      <c r="L158" s="101">
        <v>5.5150226199999999E-2</v>
      </c>
      <c r="M158" s="101">
        <v>3.3542295E-3</v>
      </c>
      <c r="N158" s="101">
        <v>-0.1055850106</v>
      </c>
      <c r="O158" s="101">
        <v>-2.3943698000000002E-3</v>
      </c>
      <c r="P158" s="101">
        <v>2.69391106E-2</v>
      </c>
      <c r="Q158" s="101">
        <v>7.9346516300000003E-2</v>
      </c>
      <c r="R158" s="102">
        <v>6.1293876900000002E-2</v>
      </c>
      <c r="S158" s="103">
        <v>2.30948994E-2</v>
      </c>
      <c r="T158" s="82">
        <v>2.0000000000000001E-4</v>
      </c>
    </row>
    <row r="159" spans="6:20" x14ac:dyDescent="0.2">
      <c r="F159" s="18" t="s">
        <v>199</v>
      </c>
      <c r="G159" s="101">
        <v>-2.2459675599999999E-2</v>
      </c>
      <c r="H159" s="101">
        <v>-7.8170349E-2</v>
      </c>
      <c r="I159" s="101">
        <v>-1.27348597E-2</v>
      </c>
      <c r="J159" s="101">
        <v>-7.75129559E-2</v>
      </c>
      <c r="K159" s="101">
        <v>6.4025784200000005E-2</v>
      </c>
      <c r="L159" s="101">
        <v>-2.8465894799999999E-2</v>
      </c>
      <c r="M159" s="101">
        <v>-3.4861531699999997E-2</v>
      </c>
      <c r="N159" s="101">
        <v>-6.9729423900000004E-2</v>
      </c>
      <c r="O159" s="101">
        <v>-5.1199912899999998E-2</v>
      </c>
      <c r="P159" s="101">
        <v>2.2303964200000002E-2</v>
      </c>
      <c r="Q159" s="101">
        <v>-8.3879932200000007E-2</v>
      </c>
      <c r="R159" s="102">
        <v>-2.61038364E-2</v>
      </c>
      <c r="S159" s="103">
        <v>-5.2432731099999998E-2</v>
      </c>
      <c r="T159" s="82">
        <v>2.0000000000000001E-4</v>
      </c>
    </row>
    <row r="160" spans="6:20" x14ac:dyDescent="0.2">
      <c r="F160" s="18" t="s">
        <v>200</v>
      </c>
      <c r="G160" s="101">
        <v>8.01370468E-2</v>
      </c>
      <c r="H160" s="101">
        <v>0.1431842354</v>
      </c>
      <c r="I160" s="101">
        <v>8.8492825400000003E-2</v>
      </c>
      <c r="J160" s="101">
        <v>4.9150225800000003E-2</v>
      </c>
      <c r="K160" s="101">
        <v>8.4460873899999997E-2</v>
      </c>
      <c r="L160" s="101">
        <v>4.63771459E-2</v>
      </c>
      <c r="M160" s="101">
        <v>1.4844356999999999E-3</v>
      </c>
      <c r="N160" s="101">
        <v>0.2427017014</v>
      </c>
      <c r="O160" s="101">
        <v>7.3617960299999993E-2</v>
      </c>
      <c r="P160" s="101">
        <v>5.2614201200000002E-2</v>
      </c>
      <c r="Q160" s="101">
        <v>-9.9849746999999996E-3</v>
      </c>
      <c r="R160" s="102">
        <v>5.6441650000000005E-4</v>
      </c>
      <c r="S160" s="103">
        <v>4.2452823100000002E-2</v>
      </c>
      <c r="T160" s="82">
        <v>2.0000000000000001E-4</v>
      </c>
    </row>
    <row r="161" spans="6:20" x14ac:dyDescent="0.2">
      <c r="F161" s="18" t="s">
        <v>201</v>
      </c>
      <c r="G161" s="101">
        <v>1.2239340499999999E-2</v>
      </c>
      <c r="H161" s="101">
        <v>3.9847463499999999E-2</v>
      </c>
      <c r="I161" s="101">
        <v>-5.01295956E-2</v>
      </c>
      <c r="J161" s="101">
        <v>-1.08656649E-2</v>
      </c>
      <c r="K161" s="101">
        <v>-2.0751255199999999E-2</v>
      </c>
      <c r="L161" s="101">
        <v>1.33165301E-2</v>
      </c>
      <c r="M161" s="101">
        <v>-8.8932421000000005E-3</v>
      </c>
      <c r="N161" s="101">
        <v>3.4344022299999999E-2</v>
      </c>
      <c r="O161" s="101">
        <v>-1.1303546500000001E-2</v>
      </c>
      <c r="P161" s="101">
        <v>-2.6553025800000001E-2</v>
      </c>
      <c r="Q161" s="101">
        <v>6.6414690999999998E-2</v>
      </c>
      <c r="R161" s="102">
        <v>3.7600069000000001E-3</v>
      </c>
      <c r="S161" s="103">
        <v>1.32052613E-2</v>
      </c>
      <c r="T161" s="82">
        <v>2.0000000000000001E-4</v>
      </c>
    </row>
    <row r="162" spans="6:20" x14ac:dyDescent="0.2">
      <c r="F162" s="18" t="s">
        <v>202</v>
      </c>
      <c r="G162" s="101">
        <v>1.0449514700000001E-2</v>
      </c>
      <c r="H162" s="101">
        <v>-5.1649108000000003E-3</v>
      </c>
      <c r="I162" s="101">
        <v>4.5495946600000003E-2</v>
      </c>
      <c r="J162" s="101">
        <v>-3.06140822E-2</v>
      </c>
      <c r="K162" s="101">
        <v>-1.4752904999999999E-3</v>
      </c>
      <c r="L162" s="101">
        <v>-5.7376585200000003E-2</v>
      </c>
      <c r="M162" s="101">
        <v>-8.7504547899999993E-2</v>
      </c>
      <c r="N162" s="101">
        <v>-6.4403019300000003E-2</v>
      </c>
      <c r="O162" s="101">
        <v>1.5964691699999999E-2</v>
      </c>
      <c r="P162" s="101">
        <v>-2.1352770300000001E-2</v>
      </c>
      <c r="Q162" s="101">
        <v>5.08506741E-2</v>
      </c>
      <c r="R162" s="102">
        <v>-3.5774475399999998E-2</v>
      </c>
      <c r="S162" s="103">
        <v>-2.41510947E-2</v>
      </c>
      <c r="T162" s="82">
        <v>2.0000000000000001E-4</v>
      </c>
    </row>
    <row r="163" spans="6:20" x14ac:dyDescent="0.2">
      <c r="F163" s="18" t="s">
        <v>203</v>
      </c>
      <c r="G163" s="101">
        <v>-6.2047574899999999E-2</v>
      </c>
      <c r="H163" s="101">
        <v>1.2058313500000001E-2</v>
      </c>
      <c r="I163" s="101">
        <v>-3.80041172E-2</v>
      </c>
      <c r="J163" s="101">
        <v>-2.91659807E-2</v>
      </c>
      <c r="K163" s="101">
        <v>-2.4177324600000001E-2</v>
      </c>
      <c r="L163" s="101">
        <v>-8.9962204899999995E-2</v>
      </c>
      <c r="M163" s="101">
        <v>-0.12886315309999999</v>
      </c>
      <c r="N163" s="101">
        <v>4.1248206799999999E-2</v>
      </c>
      <c r="O163" s="101">
        <v>2.8791584299999999E-2</v>
      </c>
      <c r="P163" s="101">
        <v>-1.00895598E-2</v>
      </c>
      <c r="Q163" s="101">
        <v>7.3015367799999994E-2</v>
      </c>
      <c r="R163" s="102">
        <v>2.0007766100000001E-2</v>
      </c>
      <c r="S163" s="103">
        <v>-2.4825417499999999E-2</v>
      </c>
      <c r="T163" s="82">
        <v>2.0000000000000001E-4</v>
      </c>
    </row>
    <row r="164" spans="6:20" x14ac:dyDescent="0.2">
      <c r="F164" s="18" t="s">
        <v>204</v>
      </c>
      <c r="G164" s="101">
        <v>-5.5127804000000002E-3</v>
      </c>
      <c r="H164" s="101">
        <v>-0.1016051796</v>
      </c>
      <c r="I164" s="101">
        <v>4.2219146000000004E-3</v>
      </c>
      <c r="J164" s="101">
        <v>7.4435555900000006E-2</v>
      </c>
      <c r="K164" s="101">
        <v>3.2622213999999997E-2</v>
      </c>
      <c r="L164" s="101">
        <v>1.7227391500000001E-2</v>
      </c>
      <c r="M164" s="101">
        <v>6.1134052899999999E-2</v>
      </c>
      <c r="N164" s="101">
        <v>-0.14983920470000001</v>
      </c>
      <c r="O164" s="101">
        <v>-0.15549868089999999</v>
      </c>
      <c r="P164" s="101">
        <v>-7.6442719300000003E-2</v>
      </c>
      <c r="Q164" s="101">
        <v>2.6331002499999999E-2</v>
      </c>
      <c r="R164" s="102">
        <v>-5.1418091999999999E-3</v>
      </c>
      <c r="S164" s="103">
        <v>-3.4955579100000002E-2</v>
      </c>
      <c r="T164" s="82">
        <v>2.0000000000000001E-4</v>
      </c>
    </row>
    <row r="165" spans="6:20" x14ac:dyDescent="0.2">
      <c r="F165" s="18" t="s">
        <v>205</v>
      </c>
      <c r="G165" s="101">
        <v>7.8555599000000004E-2</v>
      </c>
      <c r="H165" s="101">
        <v>6.4100073399999999E-2</v>
      </c>
      <c r="I165" s="101">
        <v>0.1291290766</v>
      </c>
      <c r="J165" s="101">
        <v>5.0222652E-2</v>
      </c>
      <c r="K165" s="101">
        <v>6.0917070099999998E-2</v>
      </c>
      <c r="L165" s="101">
        <v>8.2177809700000007E-2</v>
      </c>
      <c r="M165" s="101">
        <v>-5.3432733599999997E-2</v>
      </c>
      <c r="N165" s="101">
        <v>8.89561938E-2</v>
      </c>
      <c r="O165" s="101">
        <v>-2.8004241000000002E-3</v>
      </c>
      <c r="P165" s="101">
        <v>0.1630568164</v>
      </c>
      <c r="Q165" s="101">
        <v>-1.4873540399999999E-2</v>
      </c>
      <c r="R165" s="102">
        <v>7.4846912400000007E-2</v>
      </c>
      <c r="S165" s="103">
        <v>6.1740013400000002E-2</v>
      </c>
      <c r="T165" s="82">
        <v>2.0000000000000001E-4</v>
      </c>
    </row>
    <row r="166" spans="6:20" x14ac:dyDescent="0.2">
      <c r="F166" s="18" t="s">
        <v>206</v>
      </c>
      <c r="G166" s="101">
        <v>2.62847654E-2</v>
      </c>
      <c r="H166" s="101">
        <v>8.3434317899999999E-2</v>
      </c>
      <c r="I166" s="101">
        <v>3.9894179999999998E-3</v>
      </c>
      <c r="J166" s="101">
        <v>-4.9177396999999998E-3</v>
      </c>
      <c r="K166" s="101">
        <v>0</v>
      </c>
      <c r="L166" s="101">
        <v>7.6674098000000003E-3</v>
      </c>
      <c r="M166" s="101">
        <v>2.3722862300000001E-2</v>
      </c>
      <c r="N166" s="101">
        <v>2.54236446E-2</v>
      </c>
      <c r="O166" s="101">
        <v>5.0315895300000003E-2</v>
      </c>
      <c r="P166" s="101">
        <v>7.80453708E-2</v>
      </c>
      <c r="Q166" s="101">
        <v>-1.06006447E-2</v>
      </c>
      <c r="R166" s="102">
        <v>2.2490895E-2</v>
      </c>
      <c r="S166" s="103">
        <v>3.1790106300000003E-2</v>
      </c>
      <c r="T166" s="82">
        <v>2.0000000000000001E-4</v>
      </c>
    </row>
    <row r="167" spans="6:20" x14ac:dyDescent="0.2">
      <c r="F167" s="18" t="s">
        <v>207</v>
      </c>
      <c r="G167" s="101">
        <v>5.7375952299999998E-2</v>
      </c>
      <c r="H167" s="101">
        <v>-6.3904459999999995E-4</v>
      </c>
      <c r="I167" s="101">
        <v>9.7748416800000001E-2</v>
      </c>
      <c r="J167" s="101">
        <v>5.2147224700000001E-2</v>
      </c>
      <c r="K167" s="101">
        <v>-6.9606731000000005E-2</v>
      </c>
      <c r="L167" s="101">
        <v>2.0325147200000001E-2</v>
      </c>
      <c r="M167" s="101">
        <v>-4.5383500700000003E-2</v>
      </c>
      <c r="N167" s="101">
        <v>-4.9722267399999999E-2</v>
      </c>
      <c r="O167" s="101">
        <v>4.0106926799999998E-2</v>
      </c>
      <c r="P167" s="101">
        <v>6.1612233999999997E-3</v>
      </c>
      <c r="Q167" s="101">
        <v>-2.4350660199999999E-2</v>
      </c>
      <c r="R167" s="102">
        <v>2.9727396100000001E-2</v>
      </c>
      <c r="S167" s="103">
        <v>1.5055960700000001E-2</v>
      </c>
      <c r="T167" s="82">
        <v>2.0000000000000001E-4</v>
      </c>
    </row>
    <row r="168" spans="6:20" x14ac:dyDescent="0.2">
      <c r="F168" s="18" t="s">
        <v>208</v>
      </c>
      <c r="G168" s="101">
        <v>3.4776817100000003E-2</v>
      </c>
      <c r="H168" s="101">
        <v>-0.11462824739999999</v>
      </c>
      <c r="I168" s="101">
        <v>8.4459376399999994E-2</v>
      </c>
      <c r="J168" s="101">
        <v>-4.4055690699999997E-2</v>
      </c>
      <c r="K168" s="101">
        <v>1.7555625E-3</v>
      </c>
      <c r="L168" s="101">
        <v>0.18142819269999999</v>
      </c>
      <c r="M168" s="101">
        <v>1.3442864699999999E-2</v>
      </c>
      <c r="N168" s="101">
        <v>9.8659948999999997E-2</v>
      </c>
      <c r="O168" s="101">
        <v>-5.8590329199999999E-2</v>
      </c>
      <c r="P168" s="101">
        <v>0.14707497789999999</v>
      </c>
      <c r="Q168" s="101">
        <v>-6.5346529999999996E-3</v>
      </c>
      <c r="R168" s="102">
        <v>1.1274292E-2</v>
      </c>
      <c r="S168" s="103">
        <v>3.53518367E-2</v>
      </c>
      <c r="T168" s="82">
        <v>2.0000000000000001E-4</v>
      </c>
    </row>
    <row r="169" spans="6:20" x14ac:dyDescent="0.2">
      <c r="F169" s="18" t="s">
        <v>209</v>
      </c>
      <c r="G169" s="101">
        <v>0.11625473510000001</v>
      </c>
      <c r="H169" s="101">
        <v>0.1892379927</v>
      </c>
      <c r="I169" s="101">
        <v>-5.07342972E-2</v>
      </c>
      <c r="J169" s="101">
        <v>1.4740720299999999E-2</v>
      </c>
      <c r="K169" s="101">
        <v>4.5430054800000001E-2</v>
      </c>
      <c r="L169" s="101">
        <v>2.4554639499999999E-2</v>
      </c>
      <c r="M169" s="101">
        <v>-2.9763939999999999E-2</v>
      </c>
      <c r="N169" s="101">
        <v>0.2145080198</v>
      </c>
      <c r="O169" s="101">
        <v>3.4929961799999999E-2</v>
      </c>
      <c r="P169" s="101">
        <v>-7.1503210000000003E-4</v>
      </c>
      <c r="Q169" s="101">
        <v>7.5945083900000002E-2</v>
      </c>
      <c r="R169" s="102">
        <v>3.0405991000000002E-3</v>
      </c>
      <c r="S169" s="103">
        <v>3.5115969300000001E-2</v>
      </c>
      <c r="T169" s="82">
        <v>2.0000000000000001E-4</v>
      </c>
    </row>
    <row r="170" spans="6:20" x14ac:dyDescent="0.2">
      <c r="F170" s="18" t="s">
        <v>210</v>
      </c>
      <c r="G170" s="101">
        <v>-9.3955123799999998E-2</v>
      </c>
      <c r="H170" s="101">
        <v>2.6571541800000001E-2</v>
      </c>
      <c r="I170" s="101">
        <v>-7.21987974E-2</v>
      </c>
      <c r="J170" s="101">
        <v>-2.05375777E-2</v>
      </c>
      <c r="K170" s="101">
        <v>4.9000684599999997E-2</v>
      </c>
      <c r="L170" s="101">
        <v>-4.8605222699999999E-2</v>
      </c>
      <c r="M170" s="101">
        <v>-5.30177155E-2</v>
      </c>
      <c r="N170" s="101">
        <v>-1.1752176999999999E-3</v>
      </c>
      <c r="O170" s="101">
        <v>2.33069947E-2</v>
      </c>
      <c r="P170" s="101">
        <v>2.59957964E-2</v>
      </c>
      <c r="Q170" s="101">
        <v>9.3249603900000005E-2</v>
      </c>
      <c r="R170" s="102">
        <v>-7.1657149899999995E-2</v>
      </c>
      <c r="S170" s="103">
        <v>-2.6917440899999999E-2</v>
      </c>
      <c r="T170" s="82">
        <v>2.0000000000000001E-4</v>
      </c>
    </row>
    <row r="171" spans="6:20" x14ac:dyDescent="0.2">
      <c r="F171" s="18" t="s">
        <v>211</v>
      </c>
      <c r="G171" s="101">
        <v>2.5437680099999999E-2</v>
      </c>
      <c r="H171" s="101">
        <v>1.3310736999999999E-3</v>
      </c>
      <c r="I171" s="101">
        <v>-6.2152483600000002E-2</v>
      </c>
      <c r="J171" s="101">
        <v>7.8417559000000005E-3</v>
      </c>
      <c r="K171" s="101">
        <v>-4.5175181299999999E-2</v>
      </c>
      <c r="L171" s="101">
        <v>-3.3318370999999999E-2</v>
      </c>
      <c r="M171" s="101">
        <v>-3.5563352399999998E-2</v>
      </c>
      <c r="N171" s="101">
        <v>0.1463414307</v>
      </c>
      <c r="O171" s="101">
        <v>-3.5668278400000003E-2</v>
      </c>
      <c r="P171" s="101">
        <v>5.74150488E-2</v>
      </c>
      <c r="Q171" s="101">
        <v>-2.3035321899999999E-2</v>
      </c>
      <c r="R171" s="102">
        <v>7.0624120600000007E-2</v>
      </c>
      <c r="S171" s="103">
        <v>9.9436579999999993E-4</v>
      </c>
      <c r="T171" s="82">
        <v>2.0000000000000001E-4</v>
      </c>
    </row>
    <row r="172" spans="6:20" x14ac:dyDescent="0.2">
      <c r="F172" s="18" t="s">
        <v>212</v>
      </c>
      <c r="G172" s="101">
        <v>-0.17729320809999999</v>
      </c>
      <c r="H172" s="101">
        <v>-6.1457202400000001E-2</v>
      </c>
      <c r="I172" s="101">
        <v>1.6996485700000001E-2</v>
      </c>
      <c r="J172" s="101">
        <v>8.4149419999999999E-4</v>
      </c>
      <c r="K172" s="101">
        <v>-5.8900819899999998E-2</v>
      </c>
      <c r="L172" s="101">
        <v>-7.0603777999999999E-3</v>
      </c>
      <c r="M172" s="101">
        <v>-7.4844884599999995E-2</v>
      </c>
      <c r="N172" s="101">
        <v>-7.2295999400000005E-2</v>
      </c>
      <c r="O172" s="101">
        <v>4.3603489699999998E-2</v>
      </c>
      <c r="P172" s="101">
        <v>8.9150290000000005E-4</v>
      </c>
      <c r="Q172" s="101">
        <v>-6.9840325999999994E-2</v>
      </c>
      <c r="R172" s="102">
        <v>-0.14041066699999999</v>
      </c>
      <c r="S172" s="103">
        <v>-6.4241030700000007E-2</v>
      </c>
      <c r="T172" s="82">
        <v>2.0000000000000001E-4</v>
      </c>
    </row>
    <row r="173" spans="6:20" x14ac:dyDescent="0.2">
      <c r="F173" s="18" t="s">
        <v>213</v>
      </c>
      <c r="G173" s="101">
        <v>9.1221056100000003E-2</v>
      </c>
      <c r="H173" s="101">
        <v>6.6017046100000004E-2</v>
      </c>
      <c r="I173" s="101">
        <v>-1.13085318E-2</v>
      </c>
      <c r="J173" s="101">
        <v>5.3959335300000001E-2</v>
      </c>
      <c r="K173" s="101">
        <v>9.0363656299999998E-2</v>
      </c>
      <c r="L173" s="101">
        <v>-5.4672956199999997E-2</v>
      </c>
      <c r="M173" s="101">
        <v>-2.13100853E-2</v>
      </c>
      <c r="N173" s="101">
        <v>-6.2708936899999998E-2</v>
      </c>
      <c r="O173" s="101">
        <v>5.9928799200000001E-2</v>
      </c>
      <c r="P173" s="101">
        <v>-6.4645316999999997E-3</v>
      </c>
      <c r="Q173" s="101">
        <v>1.5164736599999999E-2</v>
      </c>
      <c r="R173" s="102">
        <v>7.3388872199999997E-2</v>
      </c>
      <c r="S173" s="103">
        <v>6.9645069000000004E-3</v>
      </c>
      <c r="T173" s="82">
        <v>2.0000000000000001E-4</v>
      </c>
    </row>
    <row r="174" spans="6:20" x14ac:dyDescent="0.2">
      <c r="F174" s="18" t="s">
        <v>214</v>
      </c>
      <c r="G174" s="101">
        <v>-8.1451949999999992E-3</v>
      </c>
      <c r="H174" s="101">
        <v>-1.3866932300000001E-2</v>
      </c>
      <c r="I174" s="101">
        <v>2.1241860000000001E-2</v>
      </c>
      <c r="J174" s="101">
        <v>4.3882915100000003E-2</v>
      </c>
      <c r="K174" s="101">
        <v>9.5598424000000001E-2</v>
      </c>
      <c r="L174" s="101">
        <v>7.2169956899999999E-2</v>
      </c>
      <c r="M174" s="101">
        <v>5.8579133499999998E-2</v>
      </c>
      <c r="N174" s="101">
        <v>-4.2149911700000001E-2</v>
      </c>
      <c r="O174" s="101">
        <v>6.1575574299999998E-2</v>
      </c>
      <c r="P174" s="101">
        <v>3.0738190299999999E-2</v>
      </c>
      <c r="Q174" s="101">
        <v>-4.6414654999999997E-3</v>
      </c>
      <c r="R174" s="102">
        <v>2.41478574E-2</v>
      </c>
      <c r="S174" s="103">
        <v>1.3205880600000001E-2</v>
      </c>
      <c r="T174" s="82">
        <v>2.0000000000000001E-4</v>
      </c>
    </row>
    <row r="175" spans="6:20" x14ac:dyDescent="0.2">
      <c r="F175" s="18" t="s">
        <v>215</v>
      </c>
      <c r="G175" s="101">
        <v>-5.4747207999999999E-2</v>
      </c>
      <c r="H175" s="101">
        <v>-1.6458989699999999E-2</v>
      </c>
      <c r="I175" s="101">
        <v>3.4399948399999998E-2</v>
      </c>
      <c r="J175" s="101">
        <v>4.04458532E-2</v>
      </c>
      <c r="K175" s="101">
        <v>-2.6051421299999999E-2</v>
      </c>
      <c r="L175" s="101">
        <v>1.7058549199999998E-2</v>
      </c>
      <c r="M175" s="101">
        <v>5.2795202200000002E-2</v>
      </c>
      <c r="N175" s="101">
        <v>-9.2200179199999996E-2</v>
      </c>
      <c r="O175" s="101">
        <v>1.67984508E-2</v>
      </c>
      <c r="P175" s="101">
        <v>2.8297717399999998E-2</v>
      </c>
      <c r="Q175" s="101">
        <v>-5.9334317900000003E-2</v>
      </c>
      <c r="R175" s="102">
        <v>-2.95887066E-2</v>
      </c>
      <c r="S175" s="103">
        <v>6.2899169999999999E-4</v>
      </c>
      <c r="T175" s="82">
        <v>2.0000000000000001E-4</v>
      </c>
    </row>
    <row r="176" spans="6:20" x14ac:dyDescent="0.2">
      <c r="F176" s="18" t="s">
        <v>216</v>
      </c>
      <c r="G176" s="101">
        <v>6.8129872600000002E-2</v>
      </c>
      <c r="H176" s="101">
        <v>1.9496417299999999E-2</v>
      </c>
      <c r="I176" s="101">
        <v>-0.17916991769999999</v>
      </c>
      <c r="J176" s="101">
        <v>5.5096371E-3</v>
      </c>
      <c r="K176" s="101">
        <v>-6.4453836999999996E-3</v>
      </c>
      <c r="L176" s="101">
        <v>-5.98367489E-2</v>
      </c>
      <c r="M176" s="101">
        <v>-0.15744851639999999</v>
      </c>
      <c r="N176" s="101">
        <v>7.4634538200000003E-2</v>
      </c>
      <c r="O176" s="101">
        <v>-5.6268182999999999E-2</v>
      </c>
      <c r="P176" s="101">
        <v>4.2337785000000003E-3</v>
      </c>
      <c r="Q176" s="101">
        <v>-6.2828568999999997E-3</v>
      </c>
      <c r="R176" s="102">
        <v>-2.1438725700000001E-2</v>
      </c>
      <c r="S176" s="103">
        <v>-3.7374178399999999E-2</v>
      </c>
      <c r="T176" s="82">
        <v>2.0000000000000001E-4</v>
      </c>
    </row>
    <row r="177" spans="6:20" x14ac:dyDescent="0.2">
      <c r="F177" s="18" t="s">
        <v>217</v>
      </c>
      <c r="G177" s="101">
        <v>5.2796855900000002E-2</v>
      </c>
      <c r="H177" s="101">
        <v>-9.7370541000000005E-2</v>
      </c>
      <c r="I177" s="101">
        <v>-4.5854317800000002E-2</v>
      </c>
      <c r="J177" s="101">
        <v>-1.5829397700000001E-2</v>
      </c>
      <c r="K177" s="101">
        <v>-2.1407775600000001E-2</v>
      </c>
      <c r="L177" s="101">
        <v>-4.3394688000000002E-3</v>
      </c>
      <c r="M177" s="101">
        <v>-7.3085277899999995E-2</v>
      </c>
      <c r="N177" s="101">
        <v>-3.2697009999999999E-2</v>
      </c>
      <c r="O177" s="101">
        <v>-5.1694016799999999E-2</v>
      </c>
      <c r="P177" s="101">
        <v>2.6559775399999999E-2</v>
      </c>
      <c r="Q177" s="101">
        <v>-4.2334484899999997E-2</v>
      </c>
      <c r="R177" s="102">
        <v>-1.8044205800000001E-2</v>
      </c>
      <c r="S177" s="103">
        <v>-1.56808776E-2</v>
      </c>
      <c r="T177" s="82">
        <v>2.0000000000000001E-4</v>
      </c>
    </row>
    <row r="178" spans="6:20" x14ac:dyDescent="0.2">
      <c r="F178" s="18" t="s">
        <v>218</v>
      </c>
      <c r="G178" s="101">
        <v>4.8929170000000001E-2</v>
      </c>
      <c r="H178" s="101">
        <v>4.5550916499999997E-2</v>
      </c>
      <c r="I178" s="101">
        <v>4.1145612599999999E-2</v>
      </c>
      <c r="J178" s="101">
        <v>7.1141423000000001E-3</v>
      </c>
      <c r="K178" s="101">
        <v>1.49155351E-2</v>
      </c>
      <c r="L178" s="101">
        <v>0.12445529280000001</v>
      </c>
      <c r="M178" s="101">
        <v>5.24635424E-2</v>
      </c>
      <c r="N178" s="101">
        <v>0.16086852360000001</v>
      </c>
      <c r="O178" s="101">
        <v>1.7917267099999998E-2</v>
      </c>
      <c r="P178" s="101">
        <v>-1.06775953E-2</v>
      </c>
      <c r="Q178" s="101">
        <v>-2.9106781500000001E-2</v>
      </c>
      <c r="R178" s="102">
        <v>-1.2016809E-3</v>
      </c>
      <c r="S178" s="103">
        <v>2.0128287500000001E-2</v>
      </c>
      <c r="T178" s="82">
        <v>2.0000000000000001E-4</v>
      </c>
    </row>
    <row r="179" spans="6:20" x14ac:dyDescent="0.2">
      <c r="F179" s="18" t="s">
        <v>219</v>
      </c>
      <c r="G179" s="101">
        <v>7.9726018900000001E-2</v>
      </c>
      <c r="H179" s="101">
        <v>0.1097601399</v>
      </c>
      <c r="I179" s="101">
        <v>0.1125513393</v>
      </c>
      <c r="J179" s="101">
        <v>3.6240777500000002E-2</v>
      </c>
      <c r="K179" s="101">
        <v>3.9516557700000003E-2</v>
      </c>
      <c r="L179" s="101">
        <v>0.17312654929999999</v>
      </c>
      <c r="M179" s="101">
        <v>1.10091522E-2</v>
      </c>
      <c r="N179" s="101">
        <v>5.5260350299999997E-2</v>
      </c>
      <c r="O179" s="101">
        <v>0.113718845</v>
      </c>
      <c r="P179" s="101">
        <v>1.84724057E-2</v>
      </c>
      <c r="Q179" s="101">
        <v>5.6586118300000002E-2</v>
      </c>
      <c r="R179" s="102">
        <v>4.77241339E-2</v>
      </c>
      <c r="S179" s="103">
        <v>7.7150755799999998E-2</v>
      </c>
      <c r="T179" s="82">
        <v>2.0000000000000001E-4</v>
      </c>
    </row>
    <row r="180" spans="6:20" x14ac:dyDescent="0.2">
      <c r="F180" s="18" t="s">
        <v>220</v>
      </c>
      <c r="G180" s="101">
        <v>-8.4968922999999995E-3</v>
      </c>
      <c r="H180" s="101">
        <v>0.1086427403</v>
      </c>
      <c r="I180" s="101">
        <v>-0.1523160147</v>
      </c>
      <c r="J180" s="101">
        <v>2.0450403200000002E-2</v>
      </c>
      <c r="K180" s="101">
        <v>8.3254804099999996E-2</v>
      </c>
      <c r="L180" s="101">
        <v>4.7724244999999997E-3</v>
      </c>
      <c r="M180" s="101">
        <v>-6.3067095500000003E-2</v>
      </c>
      <c r="N180" s="101">
        <v>3.8267878000000002E-3</v>
      </c>
      <c r="O180" s="101">
        <v>-3.8315760000000001E-4</v>
      </c>
      <c r="P180" s="101">
        <v>-4.6464282500000002E-2</v>
      </c>
      <c r="Q180" s="101">
        <v>4.0044808100000003E-2</v>
      </c>
      <c r="R180" s="102">
        <v>6.3157814800000003E-2</v>
      </c>
      <c r="S180" s="103">
        <v>2.0308995E-2</v>
      </c>
      <c r="T180" s="82">
        <v>2.0000000000000001E-4</v>
      </c>
    </row>
    <row r="181" spans="6:20" x14ac:dyDescent="0.2">
      <c r="F181" s="18" t="s">
        <v>221</v>
      </c>
      <c r="G181" s="101">
        <v>-1.7622160099999999E-2</v>
      </c>
      <c r="H181" s="101">
        <v>5.5586097100000002E-2</v>
      </c>
      <c r="I181" s="101">
        <v>-7.44217395E-2</v>
      </c>
      <c r="J181" s="101">
        <v>2.8754026799999999E-2</v>
      </c>
      <c r="K181" s="101">
        <v>4.6113695699999999E-2</v>
      </c>
      <c r="L181" s="101">
        <v>-0.1180211972</v>
      </c>
      <c r="M181" s="101">
        <v>-0.1161259482</v>
      </c>
      <c r="N181" s="101">
        <v>-6.6011254399999997E-2</v>
      </c>
      <c r="O181" s="101">
        <v>-2.3380687599999998E-2</v>
      </c>
      <c r="P181" s="101">
        <v>-9.9166382400000003E-2</v>
      </c>
      <c r="Q181" s="101">
        <v>3.2537231E-2</v>
      </c>
      <c r="R181" s="102">
        <v>4.68047475E-2</v>
      </c>
      <c r="S181" s="103">
        <v>-3.9562939399999997E-2</v>
      </c>
      <c r="T181" s="82">
        <v>2.0000000000000001E-4</v>
      </c>
    </row>
    <row r="182" spans="6:20" x14ac:dyDescent="0.2">
      <c r="F182" s="18" t="s">
        <v>222</v>
      </c>
      <c r="G182" s="101">
        <v>-9.6080575299999998E-2</v>
      </c>
      <c r="H182" s="101">
        <v>-3.4065932200000003E-2</v>
      </c>
      <c r="I182" s="101">
        <v>1.3038836E-2</v>
      </c>
      <c r="J182" s="101">
        <v>7.2275470600000002E-2</v>
      </c>
      <c r="K182" s="101">
        <v>8.3171724999999991E-3</v>
      </c>
      <c r="L182" s="101">
        <v>-8.2953598000000007E-3</v>
      </c>
      <c r="M182" s="101">
        <v>4.3392497600000003E-2</v>
      </c>
      <c r="N182" s="101">
        <v>1.7186018E-3</v>
      </c>
      <c r="O182" s="101">
        <v>-5.9065827600000002E-2</v>
      </c>
      <c r="P182" s="101">
        <v>-3.1079529500000001E-2</v>
      </c>
      <c r="Q182" s="101">
        <v>-0.1309055579</v>
      </c>
      <c r="R182" s="102">
        <v>5.4170146199999998E-2</v>
      </c>
      <c r="S182" s="103">
        <v>-2.5265969900000001E-2</v>
      </c>
      <c r="T182" s="82">
        <v>2.0000000000000001E-4</v>
      </c>
    </row>
    <row r="183" spans="6:20" x14ac:dyDescent="0.2">
      <c r="F183" s="18" t="s">
        <v>223</v>
      </c>
      <c r="G183" s="101">
        <v>0.12629703510000001</v>
      </c>
      <c r="H183" s="101">
        <v>3.8363273099999998E-2</v>
      </c>
      <c r="I183" s="101">
        <v>4.5763269000000002E-2</v>
      </c>
      <c r="J183" s="101">
        <v>-9.4786648999999994E-3</v>
      </c>
      <c r="K183" s="101">
        <v>0.13369394209999999</v>
      </c>
      <c r="L183" s="101">
        <v>1.5474664799999999E-2</v>
      </c>
      <c r="M183" s="101">
        <v>-4.4108419599999997E-2</v>
      </c>
      <c r="N183" s="101">
        <v>-2.68067593E-2</v>
      </c>
      <c r="O183" s="101">
        <v>-8.7382799499999997E-2</v>
      </c>
      <c r="P183" s="101">
        <v>8.3986265199999993E-2</v>
      </c>
      <c r="Q183" s="101">
        <v>9.7730805999999993E-3</v>
      </c>
      <c r="R183" s="102">
        <v>5.9251089299999997E-2</v>
      </c>
      <c r="S183" s="103">
        <v>2.0808891499999999E-2</v>
      </c>
      <c r="T183" s="82">
        <v>2.0000000000000001E-4</v>
      </c>
    </row>
    <row r="184" spans="6:20" x14ac:dyDescent="0.2">
      <c r="F184" s="18" t="s">
        <v>224</v>
      </c>
      <c r="G184" s="101">
        <v>9.3657397899999995E-2</v>
      </c>
      <c r="H184" s="101">
        <v>5.2896602100000002E-2</v>
      </c>
      <c r="I184" s="101">
        <v>1.4648906099999999E-2</v>
      </c>
      <c r="J184" s="101">
        <v>-5.1649248600000003E-2</v>
      </c>
      <c r="K184" s="101">
        <v>4.9512686E-2</v>
      </c>
      <c r="L184" s="101">
        <v>-4.4361006799999998E-2</v>
      </c>
      <c r="M184" s="101">
        <v>-7.0533948099999993E-2</v>
      </c>
      <c r="N184" s="101">
        <v>-9.5877122800000006E-2</v>
      </c>
      <c r="O184" s="101">
        <v>-1.9299045399999999E-2</v>
      </c>
      <c r="P184" s="101">
        <v>3.8424987299999998E-2</v>
      </c>
      <c r="Q184" s="101">
        <v>8.5172449999999997E-3</v>
      </c>
      <c r="R184" s="102">
        <v>-5.9595022999999999E-3</v>
      </c>
      <c r="S184" s="103">
        <v>-1.10914859E-2</v>
      </c>
      <c r="T184" s="82">
        <v>2.0000000000000001E-4</v>
      </c>
    </row>
    <row r="185" spans="6:20" x14ac:dyDescent="0.2">
      <c r="F185" s="18" t="s">
        <v>225</v>
      </c>
      <c r="G185" s="101">
        <v>-6.8826028000000001E-3</v>
      </c>
      <c r="H185" s="101">
        <v>4.9004042900000003E-2</v>
      </c>
      <c r="I185" s="101">
        <v>-9.7552681099999997E-2</v>
      </c>
      <c r="J185" s="101">
        <v>3.6332062700000001E-2</v>
      </c>
      <c r="K185" s="101">
        <v>-1.53073594E-2</v>
      </c>
      <c r="L185" s="101">
        <v>-6.4375771900000003E-2</v>
      </c>
      <c r="M185" s="101">
        <v>6.8085201999999997E-2</v>
      </c>
      <c r="N185" s="101">
        <v>-0.16406851689999999</v>
      </c>
      <c r="O185" s="101">
        <v>-4.0992658799999998E-2</v>
      </c>
      <c r="P185" s="101">
        <v>1.0850284300000001E-2</v>
      </c>
      <c r="Q185" s="101">
        <v>1.4254265800000001E-2</v>
      </c>
      <c r="R185" s="102">
        <v>-2.79776596E-2</v>
      </c>
      <c r="S185" s="103">
        <v>1.3835285900000001E-2</v>
      </c>
      <c r="T185" s="82">
        <v>2.0000000000000001E-4</v>
      </c>
    </row>
    <row r="186" spans="6:20" x14ac:dyDescent="0.2">
      <c r="F186" s="19" t="s">
        <v>226</v>
      </c>
      <c r="G186" s="104">
        <v>1.7155197099999998E-2</v>
      </c>
      <c r="H186" s="104">
        <v>-4.0344697499999999E-2</v>
      </c>
      <c r="I186" s="104">
        <v>-7.2192478300000001E-2</v>
      </c>
      <c r="J186" s="104">
        <v>-9.7384288000000006E-3</v>
      </c>
      <c r="K186" s="104">
        <v>-9.8369051400000004E-2</v>
      </c>
      <c r="L186" s="104">
        <v>-2.78940848E-2</v>
      </c>
      <c r="M186" s="104">
        <v>0.1027594533</v>
      </c>
      <c r="N186" s="104">
        <v>2.7208837699999999E-2</v>
      </c>
      <c r="O186" s="104">
        <v>7.1664164399999994E-2</v>
      </c>
      <c r="P186" s="104">
        <v>-7.9737117900000001E-2</v>
      </c>
      <c r="Q186" s="104">
        <v>2.84505938E-2</v>
      </c>
      <c r="R186" s="105">
        <v>-4.68749267E-2</v>
      </c>
      <c r="S186" s="106">
        <v>-8.7584371000000005E-3</v>
      </c>
      <c r="T186" s="83">
        <v>2.0000000000000001E-4</v>
      </c>
    </row>
    <row r="187" spans="6:20" x14ac:dyDescent="0.2">
      <c r="F187" s="16" t="s">
        <v>227</v>
      </c>
      <c r="G187" s="26">
        <v>0.1024237687</v>
      </c>
      <c r="H187" s="26">
        <v>6.5079830000000002E-3</v>
      </c>
      <c r="I187" s="26">
        <v>1.7291114900000001E-2</v>
      </c>
      <c r="J187" s="26">
        <v>4.1865752300000003E-2</v>
      </c>
      <c r="K187" s="26">
        <v>3.1938906400000001E-2</v>
      </c>
      <c r="L187" s="26">
        <v>-3.8257907000000002E-3</v>
      </c>
      <c r="M187" s="26">
        <v>-0.14053496500000001</v>
      </c>
      <c r="N187" s="26">
        <v>3.57143293E-2</v>
      </c>
      <c r="O187" s="26">
        <v>-7.0304091499999999E-2</v>
      </c>
      <c r="P187" s="26">
        <v>0.13115925749999999</v>
      </c>
      <c r="Q187" s="26">
        <v>-3.30841781E-2</v>
      </c>
      <c r="R187" s="26">
        <v>1.7687654300000001E-2</v>
      </c>
      <c r="S187" s="26">
        <v>2.49276394E-2</v>
      </c>
      <c r="T187" s="78">
        <v>2.0000000000000001E-4</v>
      </c>
    </row>
    <row r="188" spans="6:20" x14ac:dyDescent="0.2">
      <c r="F188" s="16" t="s">
        <v>228</v>
      </c>
      <c r="G188" s="26">
        <v>8.1053696800000005E-2</v>
      </c>
      <c r="H188" s="26">
        <v>-0.10319223230000001</v>
      </c>
      <c r="I188" s="26">
        <v>8.0534176299999996E-2</v>
      </c>
      <c r="J188" s="26">
        <v>3.3980580500000003E-2</v>
      </c>
      <c r="K188" s="26">
        <v>0.11202410340000001</v>
      </c>
      <c r="L188" s="26">
        <v>3.1685054800000001E-2</v>
      </c>
      <c r="M188" s="26">
        <v>1.69978436E-2</v>
      </c>
      <c r="N188" s="26">
        <v>-3.1609163900000001E-2</v>
      </c>
      <c r="O188" s="26">
        <v>0.1152131458</v>
      </c>
      <c r="P188" s="26">
        <v>3.5774388599999998E-2</v>
      </c>
      <c r="Q188" s="26">
        <v>4.2915213000000001E-2</v>
      </c>
      <c r="R188" s="26">
        <v>-1.7380238700000002E-2</v>
      </c>
      <c r="S188" s="26">
        <v>2.8512106799999999E-2</v>
      </c>
      <c r="T188" s="78">
        <v>2.0000000000000001E-4</v>
      </c>
    </row>
    <row r="189" spans="6:20" x14ac:dyDescent="0.2">
      <c r="F189" s="16" t="s">
        <v>229</v>
      </c>
      <c r="G189" s="26">
        <v>-4.1939970799999997E-2</v>
      </c>
      <c r="H189" s="26">
        <v>9.8866830099999997E-2</v>
      </c>
      <c r="I189" s="26">
        <v>9.7378603999999994E-3</v>
      </c>
      <c r="J189" s="26">
        <v>4.1731854000000004E-3</v>
      </c>
      <c r="K189" s="26">
        <v>7.8817772899999999E-2</v>
      </c>
      <c r="L189" s="26">
        <v>-2.2801443800000001E-2</v>
      </c>
      <c r="M189" s="26">
        <v>-8.6864371900000001E-2</v>
      </c>
      <c r="N189" s="26">
        <v>2.2848616799999999E-2</v>
      </c>
      <c r="O189" s="26">
        <v>-2.10045185E-2</v>
      </c>
      <c r="P189" s="26">
        <v>-6.13571885E-2</v>
      </c>
      <c r="Q189" s="26">
        <v>7.0415102800000004E-2</v>
      </c>
      <c r="R189" s="26">
        <v>6.4230456000000005E-2</v>
      </c>
      <c r="S189" s="26">
        <v>2.0196069999999999E-4</v>
      </c>
      <c r="T189">
        <v>2.0000000000000001E-4</v>
      </c>
    </row>
    <row r="190" spans="6:20" x14ac:dyDescent="0.2">
      <c r="F190" t="s">
        <v>230</v>
      </c>
      <c r="G190" s="26">
        <v>-2.9591634700000001E-2</v>
      </c>
      <c r="H190" s="26">
        <v>9.6349485799999995E-2</v>
      </c>
      <c r="I190" s="26">
        <v>5.5266994399999998E-2</v>
      </c>
      <c r="J190" s="26">
        <v>-2.8571735999999999E-3</v>
      </c>
      <c r="K190" s="26">
        <v>2.3287681899999999E-2</v>
      </c>
      <c r="L190" s="26">
        <v>1.0476304699999999E-2</v>
      </c>
      <c r="M190" s="26">
        <v>-2.9671620999999999E-2</v>
      </c>
      <c r="N190" s="26">
        <v>2.75601161E-2</v>
      </c>
      <c r="O190" s="26">
        <v>-3.5447789200000003E-2</v>
      </c>
      <c r="P190" s="26">
        <v>1.6883085799999999E-2</v>
      </c>
      <c r="Q190" s="26">
        <v>-2.1302802400000001E-2</v>
      </c>
      <c r="R190" s="26">
        <v>-1.79958928E-2</v>
      </c>
      <c r="S190" s="26">
        <v>3.2981652000000001E-3</v>
      </c>
      <c r="T190">
        <v>2.0000000000000001E-4</v>
      </c>
    </row>
    <row r="191" spans="6:20" x14ac:dyDescent="0.2">
      <c r="F191" t="s">
        <v>231</v>
      </c>
      <c r="G191" s="26">
        <v>-2.5201612500000001E-2</v>
      </c>
      <c r="H191" s="26">
        <v>0.128852565</v>
      </c>
      <c r="I191" s="26">
        <v>-7.7680127099999996E-2</v>
      </c>
      <c r="J191" s="26">
        <v>-0.14248504619999999</v>
      </c>
      <c r="K191" s="26">
        <v>0.120035752</v>
      </c>
      <c r="L191" s="26">
        <v>-4.3826597199999998E-2</v>
      </c>
      <c r="M191" s="26">
        <v>2.70862298E-2</v>
      </c>
      <c r="N191" s="26">
        <v>-9.9943482299999997E-2</v>
      </c>
      <c r="O191" s="26">
        <v>-4.2553195600000003E-2</v>
      </c>
      <c r="P191" s="26">
        <v>3.1502806500000001E-2</v>
      </c>
      <c r="Q191" s="26">
        <v>0.11684997630000001</v>
      </c>
      <c r="R191" s="26">
        <v>9.1628399000000006E-3</v>
      </c>
      <c r="S191" s="26">
        <v>-2.8186041999999998E-3</v>
      </c>
      <c r="T191">
        <v>2.0000000000000001E-4</v>
      </c>
    </row>
    <row r="192" spans="6:20" x14ac:dyDescent="0.2">
      <c r="F192" t="s">
        <v>232</v>
      </c>
      <c r="G192" s="26">
        <v>-4.7362935699999997E-2</v>
      </c>
      <c r="H192" s="26">
        <v>4.7149110199999997E-2</v>
      </c>
      <c r="I192" s="26">
        <v>-0.18483230840000001</v>
      </c>
      <c r="J192" s="26">
        <v>0.1032807301</v>
      </c>
      <c r="K192" s="26">
        <v>0.15258962249999999</v>
      </c>
      <c r="L192" s="26">
        <v>9.8571015999999994E-3</v>
      </c>
      <c r="M192" s="26">
        <v>4.23548246E-2</v>
      </c>
      <c r="N192" s="26">
        <v>7.2146201999999998E-3</v>
      </c>
      <c r="O192" s="26">
        <v>3.7878745499999998E-2</v>
      </c>
      <c r="P192" s="26">
        <v>0.14197277389999999</v>
      </c>
      <c r="Q192" s="26">
        <v>0.1002453043</v>
      </c>
      <c r="R192" s="26">
        <v>0.16178285170000001</v>
      </c>
      <c r="S192" s="26">
        <v>5.58935027E-2</v>
      </c>
      <c r="T192">
        <v>2.0000000000000001E-4</v>
      </c>
    </row>
    <row r="193" spans="6:20" x14ac:dyDescent="0.2">
      <c r="F193" t="s">
        <v>233</v>
      </c>
      <c r="G193" s="26">
        <v>-0.12711673400000001</v>
      </c>
      <c r="H193" s="26">
        <v>-0.15193719529999999</v>
      </c>
      <c r="I193" s="26">
        <v>-6.0308565699999997E-2</v>
      </c>
      <c r="J193" s="26">
        <v>-4.95594226E-2</v>
      </c>
      <c r="K193" s="26">
        <v>-4.2170843800000003E-2</v>
      </c>
      <c r="L193" s="26">
        <v>-0.2129059073</v>
      </c>
      <c r="M193" s="26">
        <v>-0.17940200019999999</v>
      </c>
      <c r="N193" s="26">
        <v>-9.62317278E-2</v>
      </c>
      <c r="O193" s="26">
        <v>6.3260794999999998E-3</v>
      </c>
      <c r="P193" s="26">
        <v>-0.17202743070000001</v>
      </c>
      <c r="Q193" s="26">
        <v>0.20258624589999999</v>
      </c>
      <c r="R193" s="26">
        <v>-8.8099432300000002E-2</v>
      </c>
      <c r="S193" s="26">
        <v>-8.9014370400000001E-2</v>
      </c>
      <c r="T193">
        <v>2.0000000000000001E-4</v>
      </c>
    </row>
    <row r="194" spans="6:20" x14ac:dyDescent="0.2">
      <c r="F194" t="s">
        <v>234</v>
      </c>
      <c r="G194" s="26">
        <v>8.7426845399999994E-2</v>
      </c>
      <c r="H194" s="26">
        <v>0.1017410453</v>
      </c>
      <c r="I194" s="26">
        <v>2.4875609399999998E-2</v>
      </c>
      <c r="J194" s="26">
        <v>-3.3314097600000002E-2</v>
      </c>
      <c r="K194" s="26">
        <v>1.29917786E-2</v>
      </c>
      <c r="L194" s="26">
        <v>9.0117696000000004E-3</v>
      </c>
      <c r="M194" s="26">
        <v>-2.1488648999999999E-2</v>
      </c>
      <c r="N194" s="26">
        <v>2.58442581E-2</v>
      </c>
      <c r="O194" s="26">
        <v>-3.5058003900000002E-2</v>
      </c>
      <c r="P194" s="26">
        <v>0.17241379779999999</v>
      </c>
      <c r="Q194" s="26">
        <v>-9.6320904999999991E-3</v>
      </c>
      <c r="R194" s="26">
        <v>1.1686727E-3</v>
      </c>
      <c r="S194" s="26">
        <v>3.8109529400000001E-2</v>
      </c>
      <c r="T194">
        <v>2.0000000000000001E-4</v>
      </c>
    </row>
    <row r="195" spans="6:20" x14ac:dyDescent="0.2">
      <c r="F195" t="s">
        <v>235</v>
      </c>
      <c r="G195" s="26">
        <v>4.6548903699999998E-2</v>
      </c>
      <c r="H195" s="26">
        <v>4.1689970999999999E-2</v>
      </c>
      <c r="I195" s="26">
        <v>-1.0194203400000001E-2</v>
      </c>
      <c r="J195" s="26">
        <v>-8.6904414200000002E-2</v>
      </c>
      <c r="K195" s="26">
        <v>-9.4097452999999994E-3</v>
      </c>
      <c r="L195" s="26">
        <v>5.5518479000000003E-3</v>
      </c>
      <c r="M195" s="26">
        <v>9.2297583999999995E-3</v>
      </c>
      <c r="N195" s="26">
        <v>-6.0463831000000003E-3</v>
      </c>
      <c r="O195" s="26">
        <v>-5.6752683999999998E-2</v>
      </c>
      <c r="P195" s="26">
        <v>5.0260336999999999E-3</v>
      </c>
      <c r="Q195" s="26">
        <v>-5.1835042999999997E-2</v>
      </c>
      <c r="R195" s="26">
        <v>2.0862743E-3</v>
      </c>
      <c r="S195" s="26">
        <v>8.4413248999999999E-3</v>
      </c>
      <c r="T195">
        <v>2.0000000000000001E-4</v>
      </c>
    </row>
    <row r="196" spans="6:20" x14ac:dyDescent="0.2">
      <c r="F196" t="s">
        <v>236</v>
      </c>
      <c r="G196" s="26">
        <v>-4.1179201000000002E-3</v>
      </c>
      <c r="H196" s="26">
        <v>3.7403562899999999E-2</v>
      </c>
      <c r="I196" s="26">
        <v>3.06479409E-2</v>
      </c>
      <c r="J196" s="26">
        <v>9.3986851499999996E-2</v>
      </c>
      <c r="K196" s="26">
        <v>1.7755996699999999E-2</v>
      </c>
      <c r="L196" s="26">
        <v>-6.1728399999999995E-4</v>
      </c>
      <c r="M196" s="26">
        <v>-2.0813619299999999E-2</v>
      </c>
      <c r="N196" s="26">
        <v>-2.5073415200000001E-2</v>
      </c>
      <c r="O196" s="26">
        <v>9.3215152300000007E-2</v>
      </c>
      <c r="P196" s="26">
        <v>1.22621057E-2</v>
      </c>
      <c r="Q196" s="26">
        <v>2.91301201E-2</v>
      </c>
      <c r="R196" s="26">
        <v>-6.3974653000000003E-3</v>
      </c>
      <c r="S196" s="26">
        <v>4.2648101000000004E-3</v>
      </c>
      <c r="T196">
        <v>2.0000000000000001E-4</v>
      </c>
    </row>
  </sheetData>
  <mergeCells count="3">
    <mergeCell ref="S1:S2"/>
    <mergeCell ref="S4:T6"/>
    <mergeCell ref="T1:T2"/>
  </mergeCell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N195"/>
  <sheetViews>
    <sheetView showGridLines="0" zoomScale="94" workbookViewId="0">
      <selection activeCell="E9" sqref="E9"/>
    </sheetView>
  </sheetViews>
  <sheetFormatPr baseColWidth="10" defaultColWidth="10.83203125" defaultRowHeight="15" x14ac:dyDescent="0.2"/>
  <sheetData>
    <row r="2" spans="2:14" x14ac:dyDescent="0.2">
      <c r="B2" s="42" t="s">
        <v>5</v>
      </c>
      <c r="C2" s="45">
        <v>1</v>
      </c>
      <c r="D2" s="45">
        <v>2</v>
      </c>
      <c r="E2" s="45">
        <v>3</v>
      </c>
      <c r="F2" s="45">
        <v>4</v>
      </c>
      <c r="G2" s="45">
        <v>5</v>
      </c>
      <c r="H2" s="45">
        <v>6</v>
      </c>
      <c r="I2" s="45">
        <v>7</v>
      </c>
      <c r="J2" s="45">
        <v>8</v>
      </c>
      <c r="K2" s="45">
        <v>9</v>
      </c>
      <c r="L2" s="45">
        <v>10</v>
      </c>
      <c r="M2" s="45">
        <v>11</v>
      </c>
      <c r="N2" s="45">
        <v>12</v>
      </c>
    </row>
    <row r="3" spans="2:14" x14ac:dyDescent="0.2">
      <c r="B3" s="43" t="s">
        <v>8</v>
      </c>
      <c r="C3" s="48" t="s">
        <v>9</v>
      </c>
      <c r="D3" s="47" t="s">
        <v>10</v>
      </c>
      <c r="E3" s="47" t="s">
        <v>11</v>
      </c>
      <c r="F3" s="47" t="s">
        <v>12</v>
      </c>
      <c r="G3" s="47" t="s">
        <v>13</v>
      </c>
      <c r="H3" s="47" t="s">
        <v>14</v>
      </c>
      <c r="I3" s="47" t="s">
        <v>15</v>
      </c>
      <c r="J3" s="47" t="s">
        <v>16</v>
      </c>
      <c r="K3" s="47" t="s">
        <v>17</v>
      </c>
      <c r="L3" s="47" t="s">
        <v>18</v>
      </c>
      <c r="M3" s="47" t="s">
        <v>19</v>
      </c>
      <c r="N3" s="47" t="s">
        <v>20</v>
      </c>
    </row>
    <row r="4" spans="2:14" x14ac:dyDescent="0.2">
      <c r="B4" s="44" t="s">
        <v>21</v>
      </c>
      <c r="C4" s="46" t="s">
        <v>22</v>
      </c>
      <c r="D4" s="46" t="s">
        <v>23</v>
      </c>
      <c r="E4" s="46" t="s">
        <v>24</v>
      </c>
      <c r="F4" s="46" t="s">
        <v>25</v>
      </c>
      <c r="G4" s="46" t="s">
        <v>26</v>
      </c>
      <c r="H4" s="46" t="s">
        <v>27</v>
      </c>
      <c r="I4" s="46" t="s">
        <v>28</v>
      </c>
      <c r="J4" s="46" t="s">
        <v>29</v>
      </c>
      <c r="K4" s="46" t="s">
        <v>30</v>
      </c>
      <c r="L4" s="46" t="s">
        <v>31</v>
      </c>
      <c r="M4" s="46" t="s">
        <v>32</v>
      </c>
      <c r="N4" s="46" t="s">
        <v>33</v>
      </c>
    </row>
    <row r="5" spans="2:14" x14ac:dyDescent="0.2">
      <c r="B5" s="16" t="s">
        <v>237</v>
      </c>
      <c r="C5" s="107">
        <v>13.737171</v>
      </c>
      <c r="D5" s="107">
        <v>22.964697000000001</v>
      </c>
      <c r="E5" s="107">
        <v>24.099599999999999</v>
      </c>
      <c r="F5" s="107">
        <v>26.390013</v>
      </c>
      <c r="G5" s="107">
        <v>8.4016300000000008</v>
      </c>
      <c r="H5" s="107">
        <v>119.601051</v>
      </c>
      <c r="I5" s="107">
        <v>43.260390999999998</v>
      </c>
      <c r="J5" s="107">
        <v>20.048020999999999</v>
      </c>
      <c r="K5" s="107">
        <v>23.754656000000001</v>
      </c>
      <c r="L5" s="107">
        <v>27.999683000000001</v>
      </c>
      <c r="M5" s="107">
        <v>14.680904</v>
      </c>
      <c r="N5" s="107">
        <v>19.430166</v>
      </c>
    </row>
    <row r="6" spans="2:14" x14ac:dyDescent="0.2">
      <c r="B6" s="16" t="s">
        <v>47</v>
      </c>
      <c r="C6" s="107">
        <v>14.472882999999999</v>
      </c>
      <c r="D6" s="107">
        <v>24.267128</v>
      </c>
      <c r="E6" s="107">
        <v>26.584692</v>
      </c>
      <c r="F6" s="107">
        <v>27.304848</v>
      </c>
      <c r="G6" s="107">
        <v>9.0291329999999999</v>
      </c>
      <c r="H6" s="107">
        <v>140.09219400000001</v>
      </c>
      <c r="I6" s="107">
        <v>42.951839</v>
      </c>
      <c r="J6" s="107">
        <v>23.603006000000001</v>
      </c>
      <c r="K6" s="107">
        <v>25.646317</v>
      </c>
      <c r="L6" s="107">
        <v>31.117819000000001</v>
      </c>
      <c r="M6" s="107">
        <v>15.05321</v>
      </c>
      <c r="N6" s="107">
        <v>20.633848</v>
      </c>
    </row>
    <row r="7" spans="2:14" x14ac:dyDescent="0.2">
      <c r="B7" s="16" t="s">
        <v>48</v>
      </c>
      <c r="C7" s="107">
        <v>14.939621000000001</v>
      </c>
      <c r="D7" s="107">
        <v>24.443892000000002</v>
      </c>
      <c r="E7" s="107">
        <v>26.479939000000002</v>
      </c>
      <c r="F7" s="107">
        <v>28.30057</v>
      </c>
      <c r="G7" s="107">
        <v>9.8612169999999999</v>
      </c>
      <c r="H7" s="107">
        <v>127.504768</v>
      </c>
      <c r="I7" s="107">
        <v>44.676932999999998</v>
      </c>
      <c r="J7" s="107">
        <v>24.966225000000001</v>
      </c>
      <c r="K7" s="107">
        <v>26.331091000000001</v>
      </c>
      <c r="L7" s="107">
        <v>34.125552999999996</v>
      </c>
      <c r="M7" s="107">
        <v>15.546946</v>
      </c>
      <c r="N7" s="107">
        <v>21.537320999999999</v>
      </c>
    </row>
    <row r="8" spans="2:14" x14ac:dyDescent="0.2">
      <c r="B8" s="16" t="s">
        <v>49</v>
      </c>
      <c r="C8" s="107">
        <v>13.654106000000001</v>
      </c>
      <c r="D8" s="107">
        <v>21.211061000000001</v>
      </c>
      <c r="E8" s="107">
        <v>23.471104</v>
      </c>
      <c r="F8" s="107">
        <v>28.082761999999999</v>
      </c>
      <c r="G8" s="107">
        <v>8.7850070000000002</v>
      </c>
      <c r="H8" s="107">
        <v>122.11019899999999</v>
      </c>
      <c r="I8" s="107">
        <v>44.031779999999998</v>
      </c>
      <c r="J8" s="107">
        <v>25.250753</v>
      </c>
      <c r="K8" s="107">
        <v>24.442056999999998</v>
      </c>
      <c r="L8" s="107">
        <v>36.183124999999997</v>
      </c>
      <c r="M8" s="107">
        <v>14.858098</v>
      </c>
      <c r="N8" s="107">
        <v>20.931270999999999</v>
      </c>
    </row>
    <row r="9" spans="2:14" x14ac:dyDescent="0.2">
      <c r="B9" s="16" t="s">
        <v>50</v>
      </c>
      <c r="C9" s="107">
        <v>13.796505</v>
      </c>
      <c r="D9" s="107">
        <v>22.146025000000002</v>
      </c>
      <c r="E9" s="107">
        <v>25.233784</v>
      </c>
      <c r="F9" s="107">
        <v>29.262079</v>
      </c>
      <c r="G9" s="107">
        <v>9.5052679999999992</v>
      </c>
      <c r="H9" s="107">
        <v>131.101212</v>
      </c>
      <c r="I9" s="107">
        <v>49.916755999999999</v>
      </c>
      <c r="J9" s="107">
        <v>27.201778000000001</v>
      </c>
      <c r="K9" s="107">
        <v>25.108464999999999</v>
      </c>
      <c r="L9" s="107">
        <v>37.471190999999997</v>
      </c>
      <c r="M9" s="107">
        <v>16.241261999999999</v>
      </c>
      <c r="N9" s="107">
        <v>22.827988000000001</v>
      </c>
    </row>
    <row r="10" spans="2:14" x14ac:dyDescent="0.2">
      <c r="B10" s="16" t="s">
        <v>51</v>
      </c>
      <c r="C10" s="107">
        <v>16.652321000000001</v>
      </c>
      <c r="D10" s="107">
        <v>25.397455000000001</v>
      </c>
      <c r="E10" s="107">
        <v>26.588304999999998</v>
      </c>
      <c r="F10" s="107">
        <v>27.376408000000001</v>
      </c>
      <c r="G10" s="107">
        <v>10.257545</v>
      </c>
      <c r="H10" s="107">
        <v>123.281143</v>
      </c>
      <c r="I10" s="107">
        <v>49.398853000000003</v>
      </c>
      <c r="J10" s="107">
        <v>29.881305999999999</v>
      </c>
      <c r="K10" s="107">
        <v>26.171043000000001</v>
      </c>
      <c r="L10" s="107">
        <v>38.106861000000002</v>
      </c>
      <c r="M10" s="107">
        <v>17.496731</v>
      </c>
      <c r="N10" s="107">
        <v>24.038983999999999</v>
      </c>
    </row>
    <row r="11" spans="2:14" x14ac:dyDescent="0.2">
      <c r="B11" s="16" t="s">
        <v>52</v>
      </c>
      <c r="C11" s="107">
        <v>16.581119999999999</v>
      </c>
      <c r="D11" s="107">
        <v>26.318466000000001</v>
      </c>
      <c r="E11" s="107">
        <v>30.586842999999998</v>
      </c>
      <c r="F11" s="107">
        <v>28.272570000000002</v>
      </c>
      <c r="G11" s="107">
        <v>10.399152000000001</v>
      </c>
      <c r="H11" s="107">
        <v>131.93757600000001</v>
      </c>
      <c r="I11" s="107">
        <v>47.398212000000001</v>
      </c>
      <c r="J11" s="107">
        <v>27.773949000000002</v>
      </c>
      <c r="K11" s="107">
        <v>26.236637000000002</v>
      </c>
      <c r="L11" s="107">
        <v>40.114261999999997</v>
      </c>
      <c r="M11" s="107">
        <v>18.191025</v>
      </c>
      <c r="N11" s="107">
        <v>24.797926</v>
      </c>
    </row>
    <row r="12" spans="2:14" x14ac:dyDescent="0.2">
      <c r="B12" s="16" t="s">
        <v>53</v>
      </c>
      <c r="C12" s="107">
        <v>16.248864999999999</v>
      </c>
      <c r="D12" s="107">
        <v>24.006644999999999</v>
      </c>
      <c r="E12" s="107">
        <v>29.607977000000002</v>
      </c>
      <c r="F12" s="107">
        <v>28.686423999999999</v>
      </c>
      <c r="G12" s="107">
        <v>10.177892999999999</v>
      </c>
      <c r="H12" s="107">
        <v>130.25498999999999</v>
      </c>
      <c r="I12" s="107">
        <v>46.752620999999998</v>
      </c>
      <c r="J12" s="107">
        <v>24.394044999999998</v>
      </c>
      <c r="K12" s="107">
        <v>25.961147</v>
      </c>
      <c r="L12" s="107">
        <v>40.34845</v>
      </c>
      <c r="M12" s="107">
        <v>17.595040999999998</v>
      </c>
      <c r="N12" s="107">
        <v>25.067965999999998</v>
      </c>
    </row>
    <row r="13" spans="2:14" x14ac:dyDescent="0.2">
      <c r="B13" s="16" t="s">
        <v>54</v>
      </c>
      <c r="C13" s="107">
        <v>16.525742999999999</v>
      </c>
      <c r="D13" s="107">
        <v>24.85323</v>
      </c>
      <c r="E13" s="107">
        <v>29.557407000000001</v>
      </c>
      <c r="F13" s="107">
        <v>30.777463999999998</v>
      </c>
      <c r="G13" s="107">
        <v>9.7796280000000007</v>
      </c>
      <c r="H13" s="107">
        <v>133.20192</v>
      </c>
      <c r="I13" s="107">
        <v>48.143138999999998</v>
      </c>
      <c r="J13" s="107">
        <v>25.725999999999999</v>
      </c>
      <c r="K13" s="107">
        <v>28.020733</v>
      </c>
      <c r="L13" s="107">
        <v>39.913521000000003</v>
      </c>
      <c r="M13" s="107">
        <v>17.703589999999998</v>
      </c>
      <c r="N13" s="107">
        <v>25.639301</v>
      </c>
    </row>
    <row r="14" spans="2:14" x14ac:dyDescent="0.2">
      <c r="B14" s="16" t="s">
        <v>55</v>
      </c>
      <c r="C14" s="107">
        <v>18.100002</v>
      </c>
      <c r="D14" s="107">
        <v>25.220694999999999</v>
      </c>
      <c r="E14" s="107">
        <v>28.661617</v>
      </c>
      <c r="F14" s="107">
        <v>31.707847999999998</v>
      </c>
      <c r="G14" s="107">
        <v>9.0485910000000001</v>
      </c>
      <c r="H14" s="107">
        <v>150.63098099999999</v>
      </c>
      <c r="I14" s="107">
        <v>49.767772999999998</v>
      </c>
      <c r="J14" s="107">
        <v>24.650431000000001</v>
      </c>
      <c r="K14" s="107">
        <v>28.870799999999999</v>
      </c>
      <c r="L14" s="107">
        <v>39.380383000000002</v>
      </c>
      <c r="M14" s="107">
        <v>16.396913999999999</v>
      </c>
      <c r="N14" s="107">
        <v>25.488651000000001</v>
      </c>
    </row>
    <row r="15" spans="2:14" x14ac:dyDescent="0.2">
      <c r="B15" s="16" t="s">
        <v>56</v>
      </c>
      <c r="C15" s="107">
        <v>18.258216999999998</v>
      </c>
      <c r="D15" s="107">
        <v>25.755533</v>
      </c>
      <c r="E15" s="107">
        <v>29.185369000000001</v>
      </c>
      <c r="F15" s="107">
        <v>32.880809999999997</v>
      </c>
      <c r="G15" s="107">
        <v>9.1540359999999996</v>
      </c>
      <c r="H15" s="107">
        <v>171.680634</v>
      </c>
      <c r="I15" s="107">
        <v>48.221176</v>
      </c>
      <c r="J15" s="107">
        <v>25.755731999999998</v>
      </c>
      <c r="K15" s="107">
        <v>30.451746</v>
      </c>
      <c r="L15" s="107">
        <v>39.586562999999998</v>
      </c>
      <c r="M15" s="107">
        <v>16.801853000000001</v>
      </c>
      <c r="N15" s="107">
        <v>25.110598</v>
      </c>
    </row>
    <row r="16" spans="2:14" x14ac:dyDescent="0.2">
      <c r="B16" s="16" t="s">
        <v>57</v>
      </c>
      <c r="C16" s="107">
        <v>19.330096999999999</v>
      </c>
      <c r="D16" s="107">
        <v>21.998412999999999</v>
      </c>
      <c r="E16" s="107">
        <v>25.490231999999999</v>
      </c>
      <c r="F16" s="107">
        <v>31.826321</v>
      </c>
      <c r="G16" s="107">
        <v>8.2816170000000007</v>
      </c>
      <c r="H16" s="107">
        <v>203.31021100000001</v>
      </c>
      <c r="I16" s="107">
        <v>49.037047999999999</v>
      </c>
      <c r="J16" s="107">
        <v>23.475294000000002</v>
      </c>
      <c r="K16" s="107">
        <v>29.820084000000001</v>
      </c>
      <c r="L16" s="107">
        <v>34.758507000000002</v>
      </c>
      <c r="M16" s="107">
        <v>15.917090999999999</v>
      </c>
      <c r="N16" s="107">
        <v>23.664072000000001</v>
      </c>
    </row>
    <row r="17" spans="2:14" x14ac:dyDescent="0.2">
      <c r="B17" s="16" t="s">
        <v>58</v>
      </c>
      <c r="C17" s="107">
        <v>17.684640999999999</v>
      </c>
      <c r="D17" s="107">
        <v>17.355834999999999</v>
      </c>
      <c r="E17" s="107">
        <v>21.037319</v>
      </c>
      <c r="F17" s="107">
        <v>30.036894</v>
      </c>
      <c r="G17" s="107">
        <v>7.9696509999999998</v>
      </c>
      <c r="H17" s="107">
        <v>228.09072900000001</v>
      </c>
      <c r="I17" s="107">
        <v>44.781914</v>
      </c>
      <c r="J17" s="107">
        <v>17.874991999999999</v>
      </c>
      <c r="K17" s="107">
        <v>27.502144000000001</v>
      </c>
      <c r="L17" s="107">
        <v>31.906351000000001</v>
      </c>
      <c r="M17" s="107">
        <v>14.305585000000001</v>
      </c>
      <c r="N17" s="107">
        <v>21.11487</v>
      </c>
    </row>
    <row r="18" spans="2:14" x14ac:dyDescent="0.2">
      <c r="B18" s="16" t="s">
        <v>59</v>
      </c>
      <c r="C18" s="107">
        <v>16.937798000000001</v>
      </c>
      <c r="D18" s="107">
        <v>14.539802999999999</v>
      </c>
      <c r="E18" s="107">
        <v>18.616211</v>
      </c>
      <c r="F18" s="107">
        <v>29.525625000000002</v>
      </c>
      <c r="G18" s="107">
        <v>8.1401430000000001</v>
      </c>
      <c r="H18" s="107">
        <v>190.68779000000001</v>
      </c>
      <c r="I18" s="107">
        <v>42.152324999999998</v>
      </c>
      <c r="J18" s="107">
        <v>15.792985</v>
      </c>
      <c r="K18" s="107">
        <v>27.106667999999999</v>
      </c>
      <c r="L18" s="107">
        <v>27.882408000000002</v>
      </c>
      <c r="M18" s="107">
        <v>14.002238</v>
      </c>
      <c r="N18" s="107">
        <v>18.933593999999999</v>
      </c>
    </row>
    <row r="19" spans="2:14" x14ac:dyDescent="0.2">
      <c r="B19" s="16" t="s">
        <v>60</v>
      </c>
      <c r="C19" s="107">
        <v>17.069593000000001</v>
      </c>
      <c r="D19" s="107">
        <v>15.894591999999999</v>
      </c>
      <c r="E19" s="107">
        <v>20.555325</v>
      </c>
      <c r="F19" s="107">
        <v>32.145862999999999</v>
      </c>
      <c r="G19" s="107">
        <v>7.4418470000000001</v>
      </c>
      <c r="H19" s="107">
        <v>207.574005</v>
      </c>
      <c r="I19" s="107">
        <v>48.364479000000003</v>
      </c>
      <c r="J19" s="107">
        <v>19.178999000000001</v>
      </c>
      <c r="K19" s="107">
        <v>28.540274</v>
      </c>
      <c r="L19" s="107">
        <v>29.31193</v>
      </c>
      <c r="M19" s="107">
        <v>16.212515</v>
      </c>
      <c r="N19" s="107">
        <v>20.849146000000001</v>
      </c>
    </row>
    <row r="20" spans="2:14" x14ac:dyDescent="0.2">
      <c r="B20" s="16" t="s">
        <v>61</v>
      </c>
      <c r="C20" s="107">
        <v>17.728577000000001</v>
      </c>
      <c r="D20" s="107">
        <v>14.259169</v>
      </c>
      <c r="E20" s="107">
        <v>20.833397000000001</v>
      </c>
      <c r="F20" s="107">
        <v>31.343809</v>
      </c>
      <c r="G20" s="107">
        <v>7.5397920000000003</v>
      </c>
      <c r="H20" s="107">
        <v>199.25749200000001</v>
      </c>
      <c r="I20" s="107">
        <v>50.184413999999997</v>
      </c>
      <c r="J20" s="107">
        <v>17.481269999999999</v>
      </c>
      <c r="K20" s="107">
        <v>28.611678999999999</v>
      </c>
      <c r="L20" s="107">
        <v>28.865197999999999</v>
      </c>
      <c r="M20" s="107">
        <v>16.435459000000002</v>
      </c>
      <c r="N20" s="107">
        <v>19.333642999999999</v>
      </c>
    </row>
    <row r="21" spans="2:14" x14ac:dyDescent="0.2">
      <c r="B21" s="16" t="s">
        <v>62</v>
      </c>
      <c r="C21" s="107">
        <v>19.290157000000001</v>
      </c>
      <c r="D21" s="107">
        <v>14.684958999999999</v>
      </c>
      <c r="E21" s="107">
        <v>17.904343000000001</v>
      </c>
      <c r="F21" s="107">
        <v>31.040248999999999</v>
      </c>
      <c r="G21" s="107">
        <v>7.9917299999999996</v>
      </c>
      <c r="H21" s="107">
        <v>194.48715200000001</v>
      </c>
      <c r="I21" s="107">
        <v>51.938876999999998</v>
      </c>
      <c r="J21" s="107">
        <v>16.882811</v>
      </c>
      <c r="K21" s="107">
        <v>31.171301</v>
      </c>
      <c r="L21" s="107">
        <v>27.958008</v>
      </c>
      <c r="M21" s="107">
        <v>16.934923000000001</v>
      </c>
      <c r="N21" s="107">
        <v>19.716163999999999</v>
      </c>
    </row>
    <row r="22" spans="2:14" x14ac:dyDescent="0.2">
      <c r="B22" s="16" t="s">
        <v>63</v>
      </c>
      <c r="C22" s="107">
        <v>20.512267999999999</v>
      </c>
      <c r="D22" s="107">
        <v>15.662343</v>
      </c>
      <c r="E22" s="107">
        <v>20.696217000000001</v>
      </c>
      <c r="F22" s="107">
        <v>30.155121000000001</v>
      </c>
      <c r="G22" s="107">
        <v>7.8517239999999999</v>
      </c>
      <c r="H22" s="107">
        <v>224.33358799999999</v>
      </c>
      <c r="I22" s="107">
        <v>53.192776000000002</v>
      </c>
      <c r="J22" s="107">
        <v>20.514503000000001</v>
      </c>
      <c r="K22" s="107">
        <v>31.017498</v>
      </c>
      <c r="L22" s="107">
        <v>32.631419999999999</v>
      </c>
      <c r="M22" s="107">
        <v>17.595058000000002</v>
      </c>
      <c r="N22" s="107">
        <v>21.059228999999998</v>
      </c>
    </row>
    <row r="23" spans="2:14" x14ac:dyDescent="0.2">
      <c r="B23" s="16" t="s">
        <v>64</v>
      </c>
      <c r="C23" s="107">
        <v>21.778309</v>
      </c>
      <c r="D23" s="107">
        <v>17.725973</v>
      </c>
      <c r="E23" s="107">
        <v>24.522532000000002</v>
      </c>
      <c r="F23" s="107">
        <v>32.452624999999998</v>
      </c>
      <c r="G23" s="107">
        <v>7.3673770000000003</v>
      </c>
      <c r="H23" s="107">
        <v>236.44944799999999</v>
      </c>
      <c r="I23" s="107">
        <v>56.287650999999997</v>
      </c>
      <c r="J23" s="107">
        <v>25.034437</v>
      </c>
      <c r="K23" s="107">
        <v>30.490196000000001</v>
      </c>
      <c r="L23" s="107">
        <v>35.057471999999997</v>
      </c>
      <c r="M23" s="107">
        <v>18.285273</v>
      </c>
      <c r="N23" s="107">
        <v>23.212070000000001</v>
      </c>
    </row>
    <row r="24" spans="2:14" x14ac:dyDescent="0.2">
      <c r="B24" s="16" t="s">
        <v>65</v>
      </c>
      <c r="C24" s="107">
        <v>24.526060000000001</v>
      </c>
      <c r="D24" s="107">
        <v>17.213094999999999</v>
      </c>
      <c r="E24" s="107">
        <v>24.885884999999998</v>
      </c>
      <c r="F24" s="107">
        <v>33.424033999999999</v>
      </c>
      <c r="G24" s="107">
        <v>7.3295360000000001</v>
      </c>
      <c r="H24" s="107">
        <v>214.460114</v>
      </c>
      <c r="I24" s="107">
        <v>56.823996999999999</v>
      </c>
      <c r="J24" s="107">
        <v>24.899000000000001</v>
      </c>
      <c r="K24" s="107">
        <v>31.984221000000002</v>
      </c>
      <c r="L24" s="107">
        <v>33.669193</v>
      </c>
      <c r="M24" s="107">
        <v>16.652266999999998</v>
      </c>
      <c r="N24" s="107">
        <v>23.220980000000001</v>
      </c>
    </row>
    <row r="25" spans="2:14" x14ac:dyDescent="0.2">
      <c r="B25" s="16" t="s">
        <v>66</v>
      </c>
      <c r="C25" s="107">
        <v>23.823149000000001</v>
      </c>
      <c r="D25" s="107">
        <v>14.684958999999999</v>
      </c>
      <c r="E25" s="107">
        <v>21.867840000000001</v>
      </c>
      <c r="F25" s="107">
        <v>33.967255000000002</v>
      </c>
      <c r="G25" s="107">
        <v>6.5803120000000002</v>
      </c>
      <c r="H25" s="107">
        <v>226.85318000000001</v>
      </c>
      <c r="I25" s="107">
        <v>56.831252999999997</v>
      </c>
      <c r="J25" s="107">
        <v>21.623228000000001</v>
      </c>
      <c r="K25" s="107">
        <v>31.671140999999999</v>
      </c>
      <c r="L25" s="107">
        <v>31.896042000000001</v>
      </c>
      <c r="M25" s="107">
        <v>15.920679</v>
      </c>
      <c r="N25" s="107">
        <v>20.786038999999999</v>
      </c>
    </row>
    <row r="26" spans="2:14" x14ac:dyDescent="0.2">
      <c r="B26" s="16" t="s">
        <v>67</v>
      </c>
      <c r="C26" s="107">
        <v>21.622554999999998</v>
      </c>
      <c r="D26" s="107">
        <v>12.447136</v>
      </c>
      <c r="E26" s="107">
        <v>20.206802</v>
      </c>
      <c r="F26" s="107">
        <v>33.162002999999999</v>
      </c>
      <c r="G26" s="107">
        <v>6.2751960000000002</v>
      </c>
      <c r="H26" s="107">
        <v>222.057266</v>
      </c>
      <c r="I26" s="107">
        <v>57.258876999999998</v>
      </c>
      <c r="J26" s="107">
        <v>21.346045</v>
      </c>
      <c r="K26" s="107">
        <v>30.210073000000001</v>
      </c>
      <c r="L26" s="107">
        <v>29.600581999999999</v>
      </c>
      <c r="M26" s="107">
        <v>15.344676</v>
      </c>
      <c r="N26" s="107">
        <v>19.185516</v>
      </c>
    </row>
    <row r="27" spans="2:14" x14ac:dyDescent="0.2">
      <c r="B27" s="16" t="s">
        <v>68</v>
      </c>
      <c r="C27" s="107">
        <v>22.317478000000001</v>
      </c>
      <c r="D27" s="107">
        <v>15.380125</v>
      </c>
      <c r="E27" s="107">
        <v>21.504490000000001</v>
      </c>
      <c r="F27" s="107">
        <v>32.141402999999997</v>
      </c>
      <c r="G27" s="107">
        <v>7.367216</v>
      </c>
      <c r="H27" s="107">
        <v>209.92433199999999</v>
      </c>
      <c r="I27" s="107">
        <v>61.07132</v>
      </c>
      <c r="J27" s="107">
        <v>20.563048999999999</v>
      </c>
      <c r="K27" s="107">
        <v>34.390796999999999</v>
      </c>
      <c r="L27" s="107">
        <v>31.228429999999999</v>
      </c>
      <c r="M27" s="107">
        <v>15.669089</v>
      </c>
      <c r="N27" s="107">
        <v>22.690093999999998</v>
      </c>
    </row>
    <row r="28" spans="2:14" x14ac:dyDescent="0.2">
      <c r="B28" s="16" t="s">
        <v>69</v>
      </c>
      <c r="C28" s="107">
        <v>23.781079999999999</v>
      </c>
      <c r="D28" s="107">
        <v>15.296467</v>
      </c>
      <c r="E28" s="107">
        <v>22.923072999999999</v>
      </c>
      <c r="F28" s="107">
        <v>32.446316000000003</v>
      </c>
      <c r="G28" s="107">
        <v>7.1433140000000002</v>
      </c>
      <c r="H28" s="107">
        <v>192.073151</v>
      </c>
      <c r="I28" s="107">
        <v>63.426909999999999</v>
      </c>
      <c r="J28" s="107">
        <v>23.277315000000002</v>
      </c>
      <c r="K28" s="107">
        <v>38.265082999999997</v>
      </c>
      <c r="L28" s="107">
        <v>32.870907000000003</v>
      </c>
      <c r="M28" s="107">
        <v>16.869602</v>
      </c>
      <c r="N28" s="107">
        <v>21.311474</v>
      </c>
    </row>
    <row r="29" spans="2:14" x14ac:dyDescent="0.2">
      <c r="B29" s="16" t="s">
        <v>70</v>
      </c>
      <c r="C29" s="107">
        <v>24.642593000000002</v>
      </c>
      <c r="D29" s="107">
        <v>17.519704999999998</v>
      </c>
      <c r="E29" s="107">
        <v>22.510984000000001</v>
      </c>
      <c r="F29" s="107">
        <v>32.492213999999997</v>
      </c>
      <c r="G29" s="107">
        <v>7.6893229999999999</v>
      </c>
      <c r="H29" s="107">
        <v>198.39904799999999</v>
      </c>
      <c r="I29" s="107">
        <v>62.628428999999997</v>
      </c>
      <c r="J29" s="107">
        <v>24.307435999999999</v>
      </c>
      <c r="K29" s="107">
        <v>37.447623999999998</v>
      </c>
      <c r="L29" s="107">
        <v>35.855922999999997</v>
      </c>
      <c r="M29" s="107">
        <v>17.811662999999999</v>
      </c>
      <c r="N29" s="107">
        <v>21.336147</v>
      </c>
    </row>
    <row r="30" spans="2:14" x14ac:dyDescent="0.2">
      <c r="B30" s="16" t="s">
        <v>71</v>
      </c>
      <c r="C30" s="107">
        <v>20.046488</v>
      </c>
      <c r="D30" s="107">
        <v>18.749203000000001</v>
      </c>
      <c r="E30" s="107">
        <v>25.360962000000001</v>
      </c>
      <c r="F30" s="107">
        <v>31.416793999999999</v>
      </c>
      <c r="G30" s="107">
        <v>6.8349539999999998</v>
      </c>
      <c r="H30" s="107">
        <v>181.111176</v>
      </c>
      <c r="I30" s="107">
        <v>63.827331999999998</v>
      </c>
      <c r="J30" s="107">
        <v>23.885573999999998</v>
      </c>
      <c r="K30" s="107">
        <v>38.195999</v>
      </c>
      <c r="L30" s="107">
        <v>32.888756000000001</v>
      </c>
      <c r="M30" s="107">
        <v>17.315951999999999</v>
      </c>
      <c r="N30" s="107">
        <v>20.44483</v>
      </c>
    </row>
    <row r="31" spans="2:14" x14ac:dyDescent="0.2">
      <c r="B31" s="16" t="s">
        <v>72</v>
      </c>
      <c r="C31" s="107">
        <v>22.277491000000001</v>
      </c>
      <c r="D31" s="107">
        <v>19.677026999999999</v>
      </c>
      <c r="E31" s="107">
        <v>24.979683000000001</v>
      </c>
      <c r="F31" s="107">
        <v>31.098763999999999</v>
      </c>
      <c r="G31" s="107">
        <v>7.264526</v>
      </c>
      <c r="H31" s="107">
        <v>182.49766500000001</v>
      </c>
      <c r="I31" s="107">
        <v>60.698470999999998</v>
      </c>
      <c r="J31" s="107">
        <v>22.570952999999999</v>
      </c>
      <c r="K31" s="107">
        <v>39.042243999999997</v>
      </c>
      <c r="L31" s="107">
        <v>34.445537999999999</v>
      </c>
      <c r="M31" s="107">
        <v>17.661391999999999</v>
      </c>
      <c r="N31" s="107">
        <v>21.061653</v>
      </c>
    </row>
    <row r="32" spans="2:14" x14ac:dyDescent="0.2">
      <c r="B32" s="16" t="s">
        <v>73</v>
      </c>
      <c r="C32" s="107">
        <v>21.042111999999999</v>
      </c>
      <c r="D32" s="107">
        <v>21.773512</v>
      </c>
      <c r="E32" s="107">
        <v>25.072109000000001</v>
      </c>
      <c r="F32" s="107">
        <v>31.984017999999999</v>
      </c>
      <c r="G32" s="107">
        <v>7.0963010000000004</v>
      </c>
      <c r="H32" s="107">
        <v>205.89482100000001</v>
      </c>
      <c r="I32" s="107">
        <v>63.644568999999997</v>
      </c>
      <c r="J32" s="107">
        <v>25.151143999999999</v>
      </c>
      <c r="K32" s="107">
        <v>39.52581</v>
      </c>
      <c r="L32" s="107">
        <v>38.591000000000001</v>
      </c>
      <c r="M32" s="107">
        <v>17.504435999999998</v>
      </c>
      <c r="N32" s="107">
        <v>20.925954999999998</v>
      </c>
    </row>
    <row r="33" spans="2:14" x14ac:dyDescent="0.2">
      <c r="B33" s="16" t="s">
        <v>74</v>
      </c>
      <c r="C33" s="107">
        <v>23.976140999999998</v>
      </c>
      <c r="D33" s="107">
        <v>21.590990000000001</v>
      </c>
      <c r="E33" s="107">
        <v>25.310894000000001</v>
      </c>
      <c r="F33" s="107">
        <v>32.725009999999997</v>
      </c>
      <c r="G33" s="107">
        <v>6.3905690000000002</v>
      </c>
      <c r="H33" s="107">
        <v>196.10269199999999</v>
      </c>
      <c r="I33" s="107">
        <v>64.582642000000007</v>
      </c>
      <c r="J33" s="107">
        <v>26.609655</v>
      </c>
      <c r="K33" s="107">
        <v>41.097403999999997</v>
      </c>
      <c r="L33" s="107">
        <v>39.155155000000001</v>
      </c>
      <c r="M33" s="107">
        <v>17.747831000000001</v>
      </c>
      <c r="N33" s="107">
        <v>22.559723000000002</v>
      </c>
    </row>
    <row r="34" spans="2:14" x14ac:dyDescent="0.2">
      <c r="B34" s="16" t="s">
        <v>75</v>
      </c>
      <c r="C34" s="107">
        <v>28.125226999999999</v>
      </c>
      <c r="D34" s="107">
        <v>23.428898</v>
      </c>
      <c r="E34" s="107">
        <v>27.348241999999999</v>
      </c>
      <c r="F34" s="107">
        <v>33.469287999999999</v>
      </c>
      <c r="G34" s="107">
        <v>6.1997739999999997</v>
      </c>
      <c r="H34" s="107">
        <v>207.497894</v>
      </c>
      <c r="I34" s="107">
        <v>68.098343</v>
      </c>
      <c r="J34" s="107">
        <v>29.049230999999999</v>
      </c>
      <c r="K34" s="107">
        <v>41.367966000000003</v>
      </c>
      <c r="L34" s="107">
        <v>40.062083999999999</v>
      </c>
      <c r="M34" s="107">
        <v>18.442136999999999</v>
      </c>
      <c r="N34" s="107">
        <v>23.541537999999999</v>
      </c>
    </row>
    <row r="35" spans="2:14" x14ac:dyDescent="0.2">
      <c r="B35" s="16" t="s">
        <v>76</v>
      </c>
      <c r="C35" s="107">
        <v>31.843565000000002</v>
      </c>
      <c r="D35" s="107">
        <v>21.854633</v>
      </c>
      <c r="E35" s="107">
        <v>29.035122000000001</v>
      </c>
      <c r="F35" s="107">
        <v>34.879142999999999</v>
      </c>
      <c r="G35" s="107">
        <v>5.9412779999999996</v>
      </c>
      <c r="H35" s="107">
        <v>221.14622499999999</v>
      </c>
      <c r="I35" s="107">
        <v>73.408835999999994</v>
      </c>
      <c r="J35" s="107">
        <v>31.796203999999999</v>
      </c>
      <c r="K35" s="107">
        <v>41.782454999999999</v>
      </c>
      <c r="L35" s="107">
        <v>42.075909000000003</v>
      </c>
      <c r="M35" s="107">
        <v>17.686993000000001</v>
      </c>
      <c r="N35" s="107">
        <v>22.239771000000001</v>
      </c>
    </row>
    <row r="36" spans="2:14" x14ac:dyDescent="0.2">
      <c r="B36" s="16" t="s">
        <v>77</v>
      </c>
      <c r="C36" s="107">
        <v>32.266196999999998</v>
      </c>
      <c r="D36" s="107">
        <v>20.300650000000001</v>
      </c>
      <c r="E36" s="107">
        <v>27.344391000000002</v>
      </c>
      <c r="F36" s="107">
        <v>35.593890999999999</v>
      </c>
      <c r="G36" s="107">
        <v>6.162846</v>
      </c>
      <c r="H36" s="107">
        <v>236.09433000000001</v>
      </c>
      <c r="I36" s="107">
        <v>71.798714000000004</v>
      </c>
      <c r="J36" s="107">
        <v>31.966251</v>
      </c>
      <c r="K36" s="107">
        <v>45.633716999999997</v>
      </c>
      <c r="L36" s="107">
        <v>40.704796000000002</v>
      </c>
      <c r="M36" s="107">
        <v>17.252839999999999</v>
      </c>
      <c r="N36" s="107">
        <v>22.048425999999999</v>
      </c>
    </row>
    <row r="37" spans="2:14" x14ac:dyDescent="0.2">
      <c r="B37" s="16" t="s">
        <v>78</v>
      </c>
      <c r="C37" s="107">
        <v>32.595363999999996</v>
      </c>
      <c r="D37" s="107">
        <v>21.451563</v>
      </c>
      <c r="E37" s="107">
        <v>26.901491</v>
      </c>
      <c r="F37" s="107">
        <v>38.039833000000002</v>
      </c>
      <c r="G37" s="107">
        <v>6.6880430000000004</v>
      </c>
      <c r="H37" s="107">
        <v>223.23703</v>
      </c>
      <c r="I37" s="107">
        <v>69.427811000000005</v>
      </c>
      <c r="J37" s="107">
        <v>34.219425000000001</v>
      </c>
      <c r="K37" s="107">
        <v>47.907626999999998</v>
      </c>
      <c r="L37" s="107">
        <v>41.347504000000001</v>
      </c>
      <c r="M37" s="107">
        <v>17.945795</v>
      </c>
      <c r="N37" s="107">
        <v>22.936142</v>
      </c>
    </row>
    <row r="38" spans="2:14" x14ac:dyDescent="0.2">
      <c r="B38" s="16" t="s">
        <v>79</v>
      </c>
      <c r="C38" s="107">
        <v>36.126755000000003</v>
      </c>
      <c r="D38" s="107">
        <v>22.980187999999998</v>
      </c>
      <c r="E38" s="107">
        <v>29.092896</v>
      </c>
      <c r="F38" s="107">
        <v>37.207034999999998</v>
      </c>
      <c r="G38" s="107">
        <v>6.7342589999999998</v>
      </c>
      <c r="H38" s="107">
        <v>239.886078</v>
      </c>
      <c r="I38" s="107">
        <v>68.460251</v>
      </c>
      <c r="J38" s="107">
        <v>39.085487000000001</v>
      </c>
      <c r="K38" s="107">
        <v>47.498905000000001</v>
      </c>
      <c r="L38" s="107">
        <v>43.804070000000003</v>
      </c>
      <c r="M38" s="107">
        <v>18.093506000000001</v>
      </c>
      <c r="N38" s="107">
        <v>25.811712</v>
      </c>
    </row>
    <row r="39" spans="2:14" x14ac:dyDescent="0.2">
      <c r="B39" s="16" t="s">
        <v>80</v>
      </c>
      <c r="C39" s="107">
        <v>33.834426999999998</v>
      </c>
      <c r="D39" s="107">
        <v>21.987881000000002</v>
      </c>
      <c r="E39" s="107">
        <v>28.769379000000001</v>
      </c>
      <c r="F39" s="107">
        <v>38.779643999999998</v>
      </c>
      <c r="G39" s="107">
        <v>6.4328200000000004</v>
      </c>
      <c r="H39" s="107">
        <v>216.176422</v>
      </c>
      <c r="I39" s="107">
        <v>62.920807000000003</v>
      </c>
      <c r="J39" s="107">
        <v>34.947414000000002</v>
      </c>
      <c r="K39" s="107">
        <v>47.362839000000001</v>
      </c>
      <c r="L39" s="107">
        <v>41.126109999999997</v>
      </c>
      <c r="M39" s="107">
        <v>17.587064999999999</v>
      </c>
      <c r="N39" s="107">
        <v>25.070423000000002</v>
      </c>
    </row>
    <row r="40" spans="2:14" x14ac:dyDescent="0.2">
      <c r="B40" s="16" t="s">
        <v>81</v>
      </c>
      <c r="C40" s="107">
        <v>36.981811999999998</v>
      </c>
      <c r="D40" s="107">
        <v>25.476614000000001</v>
      </c>
      <c r="E40" s="107">
        <v>32.558407000000003</v>
      </c>
      <c r="F40" s="107">
        <v>39.949894</v>
      </c>
      <c r="G40" s="107">
        <v>6.7428090000000003</v>
      </c>
      <c r="H40" s="107">
        <v>223.47782900000001</v>
      </c>
      <c r="I40" s="107">
        <v>66.104149000000007</v>
      </c>
      <c r="J40" s="107">
        <v>39.996879999999997</v>
      </c>
      <c r="K40" s="107">
        <v>47.690021999999999</v>
      </c>
      <c r="L40" s="107">
        <v>44.136963000000002</v>
      </c>
      <c r="M40" s="107">
        <v>19.112829000000001</v>
      </c>
      <c r="N40" s="107">
        <v>26.393681000000001</v>
      </c>
    </row>
    <row r="41" spans="2:14" x14ac:dyDescent="0.2">
      <c r="B41" s="16" t="s">
        <v>82</v>
      </c>
      <c r="C41" s="107">
        <v>35.927188999999998</v>
      </c>
      <c r="D41" s="107">
        <v>24.837537999999999</v>
      </c>
      <c r="E41" s="107">
        <v>32.787852999999998</v>
      </c>
      <c r="F41" s="107">
        <v>37.891871999999999</v>
      </c>
      <c r="G41" s="107">
        <v>7.0121789999999997</v>
      </c>
      <c r="H41" s="107">
        <v>221.990341</v>
      </c>
      <c r="I41" s="107">
        <v>65.466446000000005</v>
      </c>
      <c r="J41" s="107">
        <v>36.556216999999997</v>
      </c>
      <c r="K41" s="107">
        <v>43.240451999999998</v>
      </c>
      <c r="L41" s="107">
        <v>42.727474000000001</v>
      </c>
      <c r="M41" s="107">
        <v>19.977913000000001</v>
      </c>
      <c r="N41" s="107">
        <v>25.405297999999998</v>
      </c>
    </row>
    <row r="42" spans="2:14" x14ac:dyDescent="0.2">
      <c r="B42" s="16" t="s">
        <v>83</v>
      </c>
      <c r="C42" s="107">
        <v>38.802681</v>
      </c>
      <c r="D42" s="107">
        <v>26.191642999999999</v>
      </c>
      <c r="E42" s="107">
        <v>34.789631</v>
      </c>
      <c r="F42" s="107">
        <v>37.421073999999997</v>
      </c>
      <c r="G42" s="107">
        <v>7.9400110000000002</v>
      </c>
      <c r="H42" s="107">
        <v>232.84051500000001</v>
      </c>
      <c r="I42" s="107">
        <v>68.410354999999996</v>
      </c>
      <c r="J42" s="107">
        <v>39.834651999999998</v>
      </c>
      <c r="K42" s="107">
        <v>44.596744999999999</v>
      </c>
      <c r="L42" s="107">
        <v>46.129435999999998</v>
      </c>
      <c r="M42" s="107">
        <v>20.445004999999998</v>
      </c>
      <c r="N42" s="107">
        <v>27.941279999999999</v>
      </c>
    </row>
    <row r="43" spans="2:14" x14ac:dyDescent="0.2">
      <c r="B43" s="16" t="s">
        <v>84</v>
      </c>
      <c r="C43" s="107">
        <v>41.698768999999999</v>
      </c>
      <c r="D43" s="107">
        <v>28.569846999999999</v>
      </c>
      <c r="E43" s="107">
        <v>38.334259000000003</v>
      </c>
      <c r="F43" s="107">
        <v>36.735069000000003</v>
      </c>
      <c r="G43" s="107">
        <v>7.8416699999999997</v>
      </c>
      <c r="H43" s="107">
        <v>219.540314</v>
      </c>
      <c r="I43" s="107">
        <v>65.958343999999997</v>
      </c>
      <c r="J43" s="107">
        <v>43.606532999999999</v>
      </c>
      <c r="K43" s="107">
        <v>46.720387000000002</v>
      </c>
      <c r="L43" s="107">
        <v>45.789977999999998</v>
      </c>
      <c r="M43" s="107">
        <v>21.876823000000002</v>
      </c>
      <c r="N43" s="107">
        <v>30.7211</v>
      </c>
    </row>
    <row r="44" spans="2:14" x14ac:dyDescent="0.2">
      <c r="B44" s="16" t="s">
        <v>85</v>
      </c>
      <c r="C44" s="107">
        <v>43.058247000000001</v>
      </c>
      <c r="D44" s="107">
        <v>28.941766999999999</v>
      </c>
      <c r="E44" s="107">
        <v>37.978209999999997</v>
      </c>
      <c r="F44" s="107">
        <v>35.968349000000003</v>
      </c>
      <c r="G44" s="107">
        <v>7.298654</v>
      </c>
      <c r="H44" s="107">
        <v>224.87785299999999</v>
      </c>
      <c r="I44" s="107">
        <v>62.179707000000001</v>
      </c>
      <c r="J44" s="107">
        <v>44.133792999999997</v>
      </c>
      <c r="K44" s="107">
        <v>46.303989000000001</v>
      </c>
      <c r="L44" s="107">
        <v>45.981842</v>
      </c>
      <c r="M44" s="107">
        <v>21.553011000000001</v>
      </c>
      <c r="N44" s="107">
        <v>30.773122999999998</v>
      </c>
    </row>
    <row r="45" spans="2:14" x14ac:dyDescent="0.2">
      <c r="B45" s="16" t="s">
        <v>86</v>
      </c>
      <c r="C45" s="107">
        <v>45.983173000000001</v>
      </c>
      <c r="D45" s="107">
        <v>29.675138</v>
      </c>
      <c r="E45" s="107">
        <v>38.872287999999998</v>
      </c>
      <c r="F45" s="107">
        <v>35.188189999999999</v>
      </c>
      <c r="G45" s="107">
        <v>7.6520000000000001</v>
      </c>
      <c r="H45" s="107">
        <v>230.56547499999999</v>
      </c>
      <c r="I45" s="107">
        <v>62.311408999999998</v>
      </c>
      <c r="J45" s="107">
        <v>39.510185</v>
      </c>
      <c r="K45" s="107">
        <v>45.875689999999999</v>
      </c>
      <c r="L45" s="107">
        <v>46.786212999999996</v>
      </c>
      <c r="M45" s="107">
        <v>21.521601</v>
      </c>
      <c r="N45" s="107">
        <v>31.398344000000002</v>
      </c>
    </row>
    <row r="46" spans="2:14" x14ac:dyDescent="0.2">
      <c r="B46" s="16" t="s">
        <v>87</v>
      </c>
      <c r="C46" s="107">
        <v>43.346622000000004</v>
      </c>
      <c r="D46" s="107">
        <v>30.094200000000001</v>
      </c>
      <c r="E46" s="107">
        <v>40.011626999999997</v>
      </c>
      <c r="F46" s="107">
        <v>32.958655999999998</v>
      </c>
      <c r="G46" s="107">
        <v>7.3341919999999998</v>
      </c>
      <c r="H46" s="107">
        <v>206.72137499999999</v>
      </c>
      <c r="I46" s="107">
        <v>59.926113000000001</v>
      </c>
      <c r="J46" s="107">
        <v>43.775528000000001</v>
      </c>
      <c r="K46" s="107">
        <v>43.305897000000002</v>
      </c>
      <c r="L46" s="107">
        <v>44.195999</v>
      </c>
      <c r="M46" s="107">
        <v>20.757847000000002</v>
      </c>
      <c r="N46" s="107">
        <v>31.954322999999999</v>
      </c>
    </row>
    <row r="47" spans="2:14" x14ac:dyDescent="0.2">
      <c r="B47" s="16" t="s">
        <v>88</v>
      </c>
      <c r="C47" s="107">
        <v>43.989285000000002</v>
      </c>
      <c r="D47" s="107">
        <v>31.147107999999999</v>
      </c>
      <c r="E47" s="107">
        <v>44.885505999999999</v>
      </c>
      <c r="F47" s="107">
        <v>34.421474000000003</v>
      </c>
      <c r="G47" s="107">
        <v>8.3211870000000001</v>
      </c>
      <c r="H47" s="107">
        <v>204.31516999999999</v>
      </c>
      <c r="I47" s="107">
        <v>64.177513000000005</v>
      </c>
      <c r="J47" s="107">
        <v>48.81147</v>
      </c>
      <c r="K47" s="107">
        <v>44.810898000000002</v>
      </c>
      <c r="L47" s="107">
        <v>47.782451999999999</v>
      </c>
      <c r="M47" s="107">
        <v>23.057192000000001</v>
      </c>
      <c r="N47" s="107">
        <v>35.615932000000001</v>
      </c>
    </row>
    <row r="48" spans="2:14" x14ac:dyDescent="0.2">
      <c r="B48" s="16" t="s">
        <v>89</v>
      </c>
      <c r="C48" s="107">
        <v>42.835788999999998</v>
      </c>
      <c r="D48" s="107">
        <v>29.329402999999999</v>
      </c>
      <c r="E48" s="107">
        <v>43.477142000000001</v>
      </c>
      <c r="F48" s="107">
        <v>34.522357999999997</v>
      </c>
      <c r="G48" s="107">
        <v>8.8896599999999992</v>
      </c>
      <c r="H48" s="107">
        <v>212.73228499999999</v>
      </c>
      <c r="I48" s="107">
        <v>63.583072999999999</v>
      </c>
      <c r="J48" s="107">
        <v>47.682609999999997</v>
      </c>
      <c r="K48" s="107">
        <v>45.019092999999998</v>
      </c>
      <c r="L48" s="107">
        <v>47.487270000000002</v>
      </c>
      <c r="M48" s="107">
        <v>23.336642999999999</v>
      </c>
      <c r="N48" s="107">
        <v>35.471176</v>
      </c>
    </row>
    <row r="49" spans="2:14" x14ac:dyDescent="0.2">
      <c r="B49" s="16" t="s">
        <v>90</v>
      </c>
      <c r="C49" s="107">
        <v>40.775978000000002</v>
      </c>
      <c r="D49" s="107">
        <v>28.344597</v>
      </c>
      <c r="E49" s="107">
        <v>40.280639999999998</v>
      </c>
      <c r="F49" s="107">
        <v>35.753138999999997</v>
      </c>
      <c r="G49" s="107">
        <v>8.1354260000000007</v>
      </c>
      <c r="H49" s="107">
        <v>222.90222199999999</v>
      </c>
      <c r="I49" s="107">
        <v>65.095528000000002</v>
      </c>
      <c r="J49" s="107">
        <v>47.418987000000001</v>
      </c>
      <c r="K49" s="107">
        <v>46.411071999999997</v>
      </c>
      <c r="L49" s="107">
        <v>49.848720999999998</v>
      </c>
      <c r="M49" s="107">
        <v>25.555872000000001</v>
      </c>
      <c r="N49" s="107">
        <v>35.754097000000002</v>
      </c>
    </row>
    <row r="50" spans="2:14" x14ac:dyDescent="0.2">
      <c r="B50" s="16" t="s">
        <v>91</v>
      </c>
      <c r="C50" s="107">
        <v>43.346622000000004</v>
      </c>
      <c r="D50" s="107">
        <v>26.909293999999999</v>
      </c>
      <c r="E50" s="107">
        <v>42.203288999999998</v>
      </c>
      <c r="F50" s="107">
        <v>36.741795000000003</v>
      </c>
      <c r="G50" s="107">
        <v>9.5053140000000003</v>
      </c>
      <c r="H50" s="107">
        <v>228.933762</v>
      </c>
      <c r="I50" s="107">
        <v>67.683982999999998</v>
      </c>
      <c r="J50" s="107">
        <v>46.682181999999997</v>
      </c>
      <c r="K50" s="107">
        <v>46.660907999999999</v>
      </c>
      <c r="L50" s="107">
        <v>50.977791000000003</v>
      </c>
      <c r="M50" s="107">
        <v>25.555872000000001</v>
      </c>
      <c r="N50" s="107">
        <v>36.551589999999997</v>
      </c>
    </row>
    <row r="51" spans="2:14" x14ac:dyDescent="0.2">
      <c r="B51" s="16" t="s">
        <v>92</v>
      </c>
      <c r="C51" s="107">
        <v>40.900291000000003</v>
      </c>
      <c r="D51" s="107">
        <v>26.721150999999999</v>
      </c>
      <c r="E51" s="107">
        <v>42.136578</v>
      </c>
      <c r="F51" s="107">
        <v>37.520752000000002</v>
      </c>
      <c r="G51" s="107">
        <v>9.3289880000000007</v>
      </c>
      <c r="H51" s="107">
        <v>237.29866000000001</v>
      </c>
      <c r="I51" s="107">
        <v>65.990951999999993</v>
      </c>
      <c r="J51" s="107">
        <v>45.785674999999998</v>
      </c>
      <c r="K51" s="107">
        <v>47.868701999999999</v>
      </c>
      <c r="L51" s="107">
        <v>52.459839000000002</v>
      </c>
      <c r="M51" s="107">
        <v>26.201214</v>
      </c>
      <c r="N51" s="107">
        <v>36.753535999999997</v>
      </c>
    </row>
    <row r="52" spans="2:14" x14ac:dyDescent="0.2">
      <c r="B52" s="16" t="s">
        <v>93</v>
      </c>
      <c r="C52" s="107">
        <v>36.236958000000001</v>
      </c>
      <c r="D52" s="107">
        <v>26.69688</v>
      </c>
      <c r="E52" s="107">
        <v>43.859234000000001</v>
      </c>
      <c r="F52" s="107">
        <v>37.416984999999997</v>
      </c>
      <c r="G52" s="107">
        <v>8.9322579999999991</v>
      </c>
      <c r="H52" s="107">
        <v>228.270309</v>
      </c>
      <c r="I52" s="107">
        <v>62.981087000000002</v>
      </c>
      <c r="J52" s="107">
        <v>43.247807000000002</v>
      </c>
      <c r="K52" s="107">
        <v>48.510406000000003</v>
      </c>
      <c r="L52" s="107">
        <v>48.240158000000001</v>
      </c>
      <c r="M52" s="107">
        <v>24.159261999999998</v>
      </c>
      <c r="N52" s="107">
        <v>34.747574</v>
      </c>
    </row>
    <row r="53" spans="2:14" x14ac:dyDescent="0.2">
      <c r="B53" s="16" t="s">
        <v>94</v>
      </c>
      <c r="C53" s="107">
        <v>39.116024000000003</v>
      </c>
      <c r="D53" s="107">
        <v>27.710820999999999</v>
      </c>
      <c r="E53" s="107">
        <v>43.762183999999998</v>
      </c>
      <c r="F53" s="107">
        <v>36.759815000000003</v>
      </c>
      <c r="G53" s="107">
        <v>8.6979319999999998</v>
      </c>
      <c r="H53" s="107">
        <v>231.63176000000001</v>
      </c>
      <c r="I53" s="107">
        <v>68.158348000000004</v>
      </c>
      <c r="J53" s="107">
        <v>41.313201999999997</v>
      </c>
      <c r="K53" s="107">
        <v>51.521481000000001</v>
      </c>
      <c r="L53" s="107">
        <v>49.079517000000003</v>
      </c>
      <c r="M53" s="107">
        <v>25.214248999999999</v>
      </c>
      <c r="N53" s="107">
        <v>33.488799999999998</v>
      </c>
    </row>
    <row r="54" spans="2:14" x14ac:dyDescent="0.2">
      <c r="B54" s="16" t="s">
        <v>95</v>
      </c>
      <c r="C54" s="107">
        <v>41.635727000000003</v>
      </c>
      <c r="D54" s="107">
        <v>28.325655000000001</v>
      </c>
      <c r="E54" s="107">
        <v>45.962024999999997</v>
      </c>
      <c r="F54" s="107">
        <v>36.662975000000003</v>
      </c>
      <c r="G54" s="107">
        <v>9.215306</v>
      </c>
      <c r="H54" s="107">
        <v>209.42834500000001</v>
      </c>
      <c r="I54" s="107">
        <v>68.082413000000003</v>
      </c>
      <c r="J54" s="107">
        <v>39.766902999999999</v>
      </c>
      <c r="K54" s="107">
        <v>55.260643000000002</v>
      </c>
      <c r="L54" s="107">
        <v>46.393577999999998</v>
      </c>
      <c r="M54" s="107">
        <v>25.847248</v>
      </c>
      <c r="N54" s="107">
        <v>30.967881999999999</v>
      </c>
    </row>
    <row r="55" spans="2:14" x14ac:dyDescent="0.2">
      <c r="B55" s="16" t="s">
        <v>96</v>
      </c>
      <c r="C55" s="107">
        <v>39.780425999999999</v>
      </c>
      <c r="D55" s="107">
        <v>27.042051000000001</v>
      </c>
      <c r="E55" s="107">
        <v>42.427726999999997</v>
      </c>
      <c r="F55" s="107">
        <v>37.506908000000003</v>
      </c>
      <c r="G55" s="107">
        <v>8.9809789999999996</v>
      </c>
      <c r="H55" s="107">
        <v>218.583969</v>
      </c>
      <c r="I55" s="107">
        <v>68.986214000000004</v>
      </c>
      <c r="J55" s="107">
        <v>41.070511000000003</v>
      </c>
      <c r="K55" s="107">
        <v>45.449962999999997</v>
      </c>
      <c r="L55" s="107">
        <v>47.980721000000003</v>
      </c>
      <c r="M55" s="107">
        <v>24.116125</v>
      </c>
      <c r="N55" s="107">
        <v>30.611115999999999</v>
      </c>
    </row>
    <row r="56" spans="2:14" x14ac:dyDescent="0.2">
      <c r="B56" s="16" t="s">
        <v>97</v>
      </c>
      <c r="C56" s="107">
        <v>40.946255000000001</v>
      </c>
      <c r="D56" s="107">
        <v>27.807901000000001</v>
      </c>
      <c r="E56" s="107">
        <v>47.660431000000003</v>
      </c>
      <c r="F56" s="107">
        <v>39.257052999999999</v>
      </c>
      <c r="G56" s="107">
        <v>9.4497560000000007</v>
      </c>
      <c r="H56" s="107">
        <v>238.177719</v>
      </c>
      <c r="I56" s="107">
        <v>72.388824</v>
      </c>
      <c r="J56" s="107">
        <v>44.738632000000003</v>
      </c>
      <c r="K56" s="107">
        <v>48.041473000000003</v>
      </c>
      <c r="L56" s="107">
        <v>50.056221000000001</v>
      </c>
      <c r="M56" s="107">
        <v>22.880312</v>
      </c>
      <c r="N56" s="107">
        <v>29.264841000000001</v>
      </c>
    </row>
    <row r="57" spans="2:14" x14ac:dyDescent="0.2">
      <c r="B57" s="16" t="s">
        <v>98</v>
      </c>
      <c r="C57" s="107">
        <v>34.557147999999998</v>
      </c>
      <c r="D57" s="107">
        <v>26.567440000000001</v>
      </c>
      <c r="E57" s="107">
        <v>48.105246999999999</v>
      </c>
      <c r="F57" s="107">
        <v>37.666023000000003</v>
      </c>
      <c r="G57" s="107">
        <v>9.2661490000000004</v>
      </c>
      <c r="H57" s="107">
        <v>260.77929699999999</v>
      </c>
      <c r="I57" s="107">
        <v>70.705414000000005</v>
      </c>
      <c r="J57" s="107">
        <v>41.971935000000002</v>
      </c>
      <c r="K57" s="107">
        <v>46.684013</v>
      </c>
      <c r="L57" s="107">
        <v>46.248589000000003</v>
      </c>
      <c r="M57" s="107">
        <v>21.624161000000001</v>
      </c>
      <c r="N57" s="107">
        <v>31.310866999999998</v>
      </c>
    </row>
    <row r="58" spans="2:14" x14ac:dyDescent="0.2">
      <c r="B58" s="16" t="s">
        <v>99</v>
      </c>
      <c r="C58" s="107">
        <v>39.446136000000003</v>
      </c>
      <c r="D58" s="107">
        <v>25.227202999999999</v>
      </c>
      <c r="E58" s="107">
        <v>52.221848000000001</v>
      </c>
      <c r="F58" s="107">
        <v>41.207794</v>
      </c>
      <c r="G58" s="107">
        <v>9.4068339999999999</v>
      </c>
      <c r="H58" s="107">
        <v>265.77722199999999</v>
      </c>
      <c r="I58" s="107">
        <v>81.695160000000001</v>
      </c>
      <c r="J58" s="107">
        <v>47.297302000000002</v>
      </c>
      <c r="K58" s="107">
        <v>50.595947000000002</v>
      </c>
      <c r="L58" s="107">
        <v>51.124493000000001</v>
      </c>
      <c r="M58" s="107">
        <v>23.487991000000001</v>
      </c>
      <c r="N58" s="107">
        <v>32.225906000000002</v>
      </c>
    </row>
    <row r="59" spans="2:14" x14ac:dyDescent="0.2">
      <c r="B59" s="16" t="s">
        <v>100</v>
      </c>
      <c r="C59" s="107">
        <v>46.240566000000001</v>
      </c>
      <c r="D59" s="107">
        <v>28.093741999999999</v>
      </c>
      <c r="E59" s="107">
        <v>58.449333000000003</v>
      </c>
      <c r="F59" s="107">
        <v>43.117038999999998</v>
      </c>
      <c r="G59" s="107">
        <v>9.4783690000000007</v>
      </c>
      <c r="H59" s="107">
        <v>255.073624</v>
      </c>
      <c r="I59" s="107">
        <v>81.197021000000007</v>
      </c>
      <c r="J59" s="107">
        <v>59.529007</v>
      </c>
      <c r="K59" s="107">
        <v>54.112971999999999</v>
      </c>
      <c r="L59" s="107">
        <v>54.924503000000001</v>
      </c>
      <c r="M59" s="107">
        <v>24.899849</v>
      </c>
      <c r="N59" s="107">
        <v>36.477749000000003</v>
      </c>
    </row>
    <row r="60" spans="2:14" x14ac:dyDescent="0.2">
      <c r="B60" s="16" t="s">
        <v>101</v>
      </c>
      <c r="C60" s="107">
        <v>50.511105000000001</v>
      </c>
      <c r="D60" s="107">
        <v>30.509948999999999</v>
      </c>
      <c r="E60" s="107">
        <v>61.765259</v>
      </c>
      <c r="F60" s="107">
        <v>43.317641999999999</v>
      </c>
      <c r="G60" s="107">
        <v>8.7773269999999997</v>
      </c>
      <c r="H60" s="107">
        <v>290.50170900000001</v>
      </c>
      <c r="I60" s="107">
        <v>84.415801999999999</v>
      </c>
      <c r="J60" s="107">
        <v>58.780132000000002</v>
      </c>
      <c r="K60" s="107">
        <v>56.72298</v>
      </c>
      <c r="L60" s="107">
        <v>55.206825000000002</v>
      </c>
      <c r="M60" s="107">
        <v>23.888059999999999</v>
      </c>
      <c r="N60" s="107">
        <v>36.622222999999998</v>
      </c>
    </row>
    <row r="61" spans="2:14" x14ac:dyDescent="0.2">
      <c r="B61" s="16" t="s">
        <v>102</v>
      </c>
      <c r="C61" s="107">
        <v>51.814827000000001</v>
      </c>
      <c r="D61" s="107">
        <v>30.43984</v>
      </c>
      <c r="E61" s="107">
        <v>64.296691999999993</v>
      </c>
      <c r="F61" s="107">
        <v>44.625061000000002</v>
      </c>
      <c r="G61" s="107">
        <v>8.6819469999999992</v>
      </c>
      <c r="H61" s="107">
        <v>299.71755999999999</v>
      </c>
      <c r="I61" s="107">
        <v>85.067206999999996</v>
      </c>
      <c r="J61" s="107">
        <v>65.249618999999996</v>
      </c>
      <c r="K61" s="107">
        <v>56.272556000000002</v>
      </c>
      <c r="L61" s="107">
        <v>51.002403000000001</v>
      </c>
      <c r="M61" s="107">
        <v>25.353573000000001</v>
      </c>
      <c r="N61" s="107">
        <v>37.716144999999997</v>
      </c>
    </row>
    <row r="62" spans="2:14" x14ac:dyDescent="0.2">
      <c r="B62" s="16" t="s">
        <v>103</v>
      </c>
      <c r="C62" s="107">
        <v>51.814827000000001</v>
      </c>
      <c r="D62" s="107">
        <v>29.625446</v>
      </c>
      <c r="E62" s="107">
        <v>63.908470000000001</v>
      </c>
      <c r="F62" s="107">
        <v>43.255386000000001</v>
      </c>
      <c r="G62" s="107">
        <v>9.0033019999999997</v>
      </c>
      <c r="H62" s="107">
        <v>316.25726300000002</v>
      </c>
      <c r="I62" s="107">
        <v>86.255081000000004</v>
      </c>
      <c r="J62" s="107">
        <v>65.547791000000004</v>
      </c>
      <c r="K62" s="107">
        <v>55.007668000000002</v>
      </c>
      <c r="L62" s="107">
        <v>54.033938999999997</v>
      </c>
      <c r="M62" s="107">
        <v>24.041053999999999</v>
      </c>
      <c r="N62" s="107">
        <v>38.025351999999998</v>
      </c>
    </row>
    <row r="63" spans="2:14" x14ac:dyDescent="0.2">
      <c r="B63" s="16" t="s">
        <v>104</v>
      </c>
      <c r="C63" s="107">
        <v>48.639088000000001</v>
      </c>
      <c r="D63" s="107">
        <v>29.988296999999999</v>
      </c>
      <c r="E63" s="107">
        <v>65.158660999999995</v>
      </c>
      <c r="F63" s="107">
        <v>41.078654999999998</v>
      </c>
      <c r="G63" s="107">
        <v>8.1531939999999992</v>
      </c>
      <c r="H63" s="107">
        <v>297.53881799999999</v>
      </c>
      <c r="I63" s="107">
        <v>79.396049000000005</v>
      </c>
      <c r="J63" s="107">
        <v>66.124404999999996</v>
      </c>
      <c r="K63" s="107">
        <v>56.202660000000002</v>
      </c>
      <c r="L63" s="107">
        <v>48.652549999999998</v>
      </c>
      <c r="M63" s="107">
        <v>22.783442999999998</v>
      </c>
      <c r="N63" s="107">
        <v>36.478465999999997</v>
      </c>
    </row>
    <row r="64" spans="2:14" x14ac:dyDescent="0.2">
      <c r="B64" s="16" t="s">
        <v>105</v>
      </c>
      <c r="C64" s="107">
        <v>55.053257000000002</v>
      </c>
      <c r="D64" s="107">
        <v>32.845908999999999</v>
      </c>
      <c r="E64" s="107">
        <v>71.463531000000003</v>
      </c>
      <c r="F64" s="107">
        <v>43.699649999999998</v>
      </c>
      <c r="G64" s="107">
        <v>8.5672230000000003</v>
      </c>
      <c r="H64" s="107">
        <v>320.90332000000001</v>
      </c>
      <c r="I64" s="107">
        <v>83.572777000000002</v>
      </c>
      <c r="J64" s="107">
        <v>59.301025000000003</v>
      </c>
      <c r="K64" s="107">
        <v>62.399994</v>
      </c>
      <c r="L64" s="107">
        <v>49.956650000000003</v>
      </c>
      <c r="M64" s="107">
        <v>23.890332999999998</v>
      </c>
      <c r="N64" s="107">
        <v>41.062874000000001</v>
      </c>
    </row>
    <row r="65" spans="2:14" x14ac:dyDescent="0.2">
      <c r="B65" s="16" t="s">
        <v>106</v>
      </c>
      <c r="C65" s="107">
        <v>49.505322</v>
      </c>
      <c r="D65" s="107">
        <v>31.162357</v>
      </c>
      <c r="E65" s="107">
        <v>65.774360999999999</v>
      </c>
      <c r="F65" s="107">
        <v>39.236880999999997</v>
      </c>
      <c r="G65" s="107">
        <v>7.8322589999999996</v>
      </c>
      <c r="H65" s="107">
        <v>286.68084700000003</v>
      </c>
      <c r="I65" s="107">
        <v>72.240630999999993</v>
      </c>
      <c r="J65" s="107">
        <v>52.442261000000002</v>
      </c>
      <c r="K65" s="107">
        <v>56.158070000000002</v>
      </c>
      <c r="L65" s="107">
        <v>44.253158999999997</v>
      </c>
      <c r="M65" s="107">
        <v>21.627182000000001</v>
      </c>
      <c r="N65" s="107">
        <v>40.366776000000002</v>
      </c>
    </row>
    <row r="66" spans="2:14" x14ac:dyDescent="0.2">
      <c r="B66" s="16" t="s">
        <v>107</v>
      </c>
      <c r="C66" s="107">
        <v>45.090839000000003</v>
      </c>
      <c r="D66" s="107">
        <v>29.052378000000001</v>
      </c>
      <c r="E66" s="107">
        <v>65.363883999999999</v>
      </c>
      <c r="F66" s="107">
        <v>39.966510999999997</v>
      </c>
      <c r="G66" s="107">
        <v>7.0752470000000001</v>
      </c>
      <c r="H66" s="107">
        <v>294.24056999999999</v>
      </c>
      <c r="I66" s="107">
        <v>69.660590999999997</v>
      </c>
      <c r="J66" s="107">
        <v>45.300381000000002</v>
      </c>
      <c r="K66" s="107">
        <v>54.068947000000001</v>
      </c>
      <c r="L66" s="107">
        <v>39.288124000000003</v>
      </c>
      <c r="M66" s="107">
        <v>21.306519999999999</v>
      </c>
      <c r="N66" s="107">
        <v>39.874583999999999</v>
      </c>
    </row>
    <row r="67" spans="2:14" x14ac:dyDescent="0.2">
      <c r="B67" s="16" t="s">
        <v>108</v>
      </c>
      <c r="C67" s="107">
        <v>53.996505999999997</v>
      </c>
      <c r="D67" s="107">
        <v>30.603020000000001</v>
      </c>
      <c r="E67" s="107">
        <v>66.521422999999999</v>
      </c>
      <c r="F67" s="107">
        <v>44.918056</v>
      </c>
      <c r="G67" s="107">
        <v>7.8175600000000003</v>
      </c>
      <c r="H67" s="107">
        <v>317.191284</v>
      </c>
      <c r="I67" s="107">
        <v>82.807914999999994</v>
      </c>
      <c r="J67" s="107">
        <v>60.681277999999999</v>
      </c>
      <c r="K67" s="107">
        <v>58.501980000000003</v>
      </c>
      <c r="L67" s="107">
        <v>43.271152000000001</v>
      </c>
      <c r="M67" s="107">
        <v>23.756253999999998</v>
      </c>
      <c r="N67" s="107">
        <v>43.158206999999997</v>
      </c>
    </row>
    <row r="68" spans="2:14" x14ac:dyDescent="0.2">
      <c r="B68" s="16" t="s">
        <v>109</v>
      </c>
      <c r="C68" s="107">
        <v>58.325778999999997</v>
      </c>
      <c r="D68" s="107">
        <v>31.07375</v>
      </c>
      <c r="E68" s="107">
        <v>71.685187999999997</v>
      </c>
      <c r="F68" s="107">
        <v>46.986511</v>
      </c>
      <c r="G68" s="107">
        <v>8.3536780000000004</v>
      </c>
      <c r="H68" s="107">
        <v>301.70971700000001</v>
      </c>
      <c r="I68" s="107">
        <v>83.194121999999993</v>
      </c>
      <c r="J68" s="107">
        <v>67.603745000000004</v>
      </c>
      <c r="K68" s="107">
        <v>53.744118</v>
      </c>
      <c r="L68" s="107">
        <v>47.136330000000001</v>
      </c>
      <c r="M68" s="107">
        <v>25.292645</v>
      </c>
      <c r="N68" s="107">
        <v>43.284779</v>
      </c>
    </row>
    <row r="69" spans="2:14" x14ac:dyDescent="0.2">
      <c r="B69" s="16" t="s">
        <v>110</v>
      </c>
      <c r="C69" s="107">
        <v>52.837490000000003</v>
      </c>
      <c r="D69" s="107">
        <v>28.925003</v>
      </c>
      <c r="E69" s="107">
        <v>70.273162999999997</v>
      </c>
      <c r="F69" s="107">
        <v>44.117592000000002</v>
      </c>
      <c r="G69" s="107">
        <v>8.2700890000000005</v>
      </c>
      <c r="H69" s="107">
        <v>282.24456800000002</v>
      </c>
      <c r="I69" s="107">
        <v>82.021645000000007</v>
      </c>
      <c r="J69" s="107">
        <v>65.565224000000001</v>
      </c>
      <c r="K69" s="107">
        <v>50.062660000000001</v>
      </c>
      <c r="L69" s="107">
        <v>41.291423999999999</v>
      </c>
      <c r="M69" s="107">
        <v>22.206403999999999</v>
      </c>
      <c r="N69" s="107">
        <v>41.970108000000003</v>
      </c>
    </row>
    <row r="70" spans="2:14" x14ac:dyDescent="0.2">
      <c r="B70" s="16" t="s">
        <v>111</v>
      </c>
      <c r="C70" s="107">
        <v>49.275219</v>
      </c>
      <c r="D70" s="107">
        <v>24.214928</v>
      </c>
      <c r="E70" s="107">
        <v>69.025313999999995</v>
      </c>
      <c r="F70" s="107">
        <v>44.946387999999999</v>
      </c>
      <c r="G70" s="107">
        <v>7.4443469999999996</v>
      </c>
      <c r="H70" s="107">
        <v>283.87423699999999</v>
      </c>
      <c r="I70" s="107">
        <v>84.165756000000002</v>
      </c>
      <c r="J70" s="107">
        <v>55.160290000000003</v>
      </c>
      <c r="K70" s="107">
        <v>48.756954</v>
      </c>
      <c r="L70" s="107">
        <v>38.581077999999998</v>
      </c>
      <c r="M70" s="107">
        <v>22.345205</v>
      </c>
      <c r="N70" s="107">
        <v>44.297843999999998</v>
      </c>
    </row>
    <row r="71" spans="2:14" x14ac:dyDescent="0.2">
      <c r="B71" s="16" t="s">
        <v>112</v>
      </c>
      <c r="C71" s="107">
        <v>50.945563999999997</v>
      </c>
      <c r="D71" s="107">
        <v>23.813419</v>
      </c>
      <c r="E71" s="107">
        <v>62.966721</v>
      </c>
      <c r="F71" s="107">
        <v>45.498919999999998</v>
      </c>
      <c r="G71" s="107">
        <v>7.2366460000000004</v>
      </c>
      <c r="H71" s="107">
        <v>284.73425300000002</v>
      </c>
      <c r="I71" s="107">
        <v>76.493767000000005</v>
      </c>
      <c r="J71" s="107">
        <v>59.555843000000003</v>
      </c>
      <c r="K71" s="107">
        <v>46.616878999999997</v>
      </c>
      <c r="L71" s="107">
        <v>43.027611</v>
      </c>
      <c r="M71" s="107">
        <v>22.59366</v>
      </c>
      <c r="N71" s="107">
        <v>45.291386000000003</v>
      </c>
    </row>
    <row r="72" spans="2:14" x14ac:dyDescent="0.2">
      <c r="B72" s="16" t="s">
        <v>113</v>
      </c>
      <c r="C72" s="107">
        <v>49.726897999999998</v>
      </c>
      <c r="D72" s="107">
        <v>24.494595</v>
      </c>
      <c r="E72" s="107">
        <v>67.793907000000004</v>
      </c>
      <c r="F72" s="107">
        <v>44.28051</v>
      </c>
      <c r="G72" s="107">
        <v>6.9098940000000004</v>
      </c>
      <c r="H72" s="107">
        <v>281.48062099999999</v>
      </c>
      <c r="I72" s="107">
        <v>76.407996999999995</v>
      </c>
      <c r="J72" s="107">
        <v>61.806705000000001</v>
      </c>
      <c r="K72" s="107">
        <v>45.132838999999997</v>
      </c>
      <c r="L72" s="107">
        <v>43.632525999999999</v>
      </c>
      <c r="M72" s="107">
        <v>21.875579999999999</v>
      </c>
      <c r="N72" s="107">
        <v>46.462349000000003</v>
      </c>
    </row>
    <row r="73" spans="2:14" x14ac:dyDescent="0.2">
      <c r="B73" s="16" t="s">
        <v>114</v>
      </c>
      <c r="C73" s="107">
        <v>46.539608000000001</v>
      </c>
      <c r="D73" s="107">
        <v>25.607735000000002</v>
      </c>
      <c r="E73" s="107">
        <v>66.931908000000007</v>
      </c>
      <c r="F73" s="107">
        <v>43.331294999999997</v>
      </c>
      <c r="G73" s="107">
        <v>7.2949029999999997</v>
      </c>
      <c r="H73" s="107">
        <v>282.89056399999998</v>
      </c>
      <c r="I73" s="107">
        <v>73.507614000000004</v>
      </c>
      <c r="J73" s="107">
        <v>59.654938000000001</v>
      </c>
      <c r="K73" s="107">
        <v>45.928992999999998</v>
      </c>
      <c r="L73" s="107">
        <v>44.653812000000002</v>
      </c>
      <c r="M73" s="107">
        <v>24.334978</v>
      </c>
      <c r="N73" s="107">
        <v>46.299114000000003</v>
      </c>
    </row>
    <row r="74" spans="2:14" x14ac:dyDescent="0.2">
      <c r="B74" s="16" t="s">
        <v>115</v>
      </c>
      <c r="C74" s="107">
        <v>47.741230000000002</v>
      </c>
      <c r="D74" s="107">
        <v>27.559882999999999</v>
      </c>
      <c r="E74" s="107">
        <v>70.355232000000001</v>
      </c>
      <c r="F74" s="107">
        <v>44.684288000000002</v>
      </c>
      <c r="G74" s="107">
        <v>7.0137460000000003</v>
      </c>
      <c r="H74" s="107">
        <v>295.57974200000001</v>
      </c>
      <c r="I74" s="107">
        <v>76.337836999999993</v>
      </c>
      <c r="J74" s="107">
        <v>59.697403000000001</v>
      </c>
      <c r="K74" s="107">
        <v>46.935344999999998</v>
      </c>
      <c r="L74" s="107">
        <v>45.651530999999999</v>
      </c>
      <c r="M74" s="107">
        <v>24.193719999999999</v>
      </c>
      <c r="N74" s="107">
        <v>48.915573000000002</v>
      </c>
    </row>
    <row r="75" spans="2:14" x14ac:dyDescent="0.2">
      <c r="B75" s="16" t="s">
        <v>116</v>
      </c>
      <c r="C75" s="107">
        <v>45.160259000000003</v>
      </c>
      <c r="D75" s="107">
        <v>22.016335999999999</v>
      </c>
      <c r="E75" s="107">
        <v>65.221480999999997</v>
      </c>
      <c r="F75" s="107">
        <v>46.138443000000002</v>
      </c>
      <c r="G75" s="107">
        <v>7.6267610000000001</v>
      </c>
      <c r="H75" s="107">
        <v>306.49511699999999</v>
      </c>
      <c r="I75" s="107">
        <v>78.045319000000006</v>
      </c>
      <c r="J75" s="107">
        <v>49.900390999999999</v>
      </c>
      <c r="K75" s="107">
        <v>49.760173999999999</v>
      </c>
      <c r="L75" s="107">
        <v>43.259892000000001</v>
      </c>
      <c r="M75" s="107">
        <v>24.030317</v>
      </c>
      <c r="N75" s="107">
        <v>46.093116999999999</v>
      </c>
    </row>
    <row r="76" spans="2:14" x14ac:dyDescent="0.2">
      <c r="B76" s="16" t="s">
        <v>117</v>
      </c>
      <c r="C76" s="107">
        <v>45.945968999999998</v>
      </c>
      <c r="D76" s="107">
        <v>25.782775999999998</v>
      </c>
      <c r="E76" s="107">
        <v>71.685248999999999</v>
      </c>
      <c r="F76" s="107">
        <v>50.118533999999997</v>
      </c>
      <c r="G76" s="107">
        <v>7.7397689999999999</v>
      </c>
      <c r="H76" s="107">
        <v>352.02966300000003</v>
      </c>
      <c r="I76" s="107">
        <v>79.682631999999998</v>
      </c>
      <c r="J76" s="107">
        <v>57.052975000000004</v>
      </c>
      <c r="K76" s="107">
        <v>50.577117999999999</v>
      </c>
      <c r="L76" s="107">
        <v>47.711436999999997</v>
      </c>
      <c r="M76" s="107">
        <v>24.033484000000001</v>
      </c>
      <c r="N76" s="107">
        <v>49.132694000000001</v>
      </c>
    </row>
    <row r="77" spans="2:14" x14ac:dyDescent="0.2">
      <c r="B77" s="16" t="s">
        <v>118</v>
      </c>
      <c r="C77" s="107">
        <v>45.649143000000002</v>
      </c>
      <c r="D77" s="107">
        <v>26.50938</v>
      </c>
      <c r="E77" s="107">
        <v>72.844566</v>
      </c>
      <c r="F77" s="107">
        <v>49.558266000000003</v>
      </c>
      <c r="G77" s="107">
        <v>7.5111230000000004</v>
      </c>
      <c r="H77" s="107">
        <v>346.35763500000002</v>
      </c>
      <c r="I77" s="107">
        <v>80.959389000000002</v>
      </c>
      <c r="J77" s="107">
        <v>53.451163999999999</v>
      </c>
      <c r="K77" s="107">
        <v>45.874741</v>
      </c>
      <c r="L77" s="107">
        <v>49.806767000000001</v>
      </c>
      <c r="M77" s="107">
        <v>24.027863</v>
      </c>
      <c r="N77" s="107">
        <v>49.205074000000003</v>
      </c>
    </row>
    <row r="78" spans="2:14" x14ac:dyDescent="0.2">
      <c r="B78" s="16" t="s">
        <v>119</v>
      </c>
      <c r="C78" s="107">
        <v>47.002293000000002</v>
      </c>
      <c r="D78" s="107">
        <v>26.605295000000002</v>
      </c>
      <c r="E78" s="107">
        <v>72.711121000000006</v>
      </c>
      <c r="F78" s="107">
        <v>48.059367999999999</v>
      </c>
      <c r="G78" s="107">
        <v>7.2483129999999996</v>
      </c>
      <c r="H78" s="107">
        <v>331.40011600000003</v>
      </c>
      <c r="I78" s="107">
        <v>82.886977999999999</v>
      </c>
      <c r="J78" s="107">
        <v>53.327216999999997</v>
      </c>
      <c r="K78" s="107">
        <v>44.924965</v>
      </c>
      <c r="L78" s="107">
        <v>50.597602999999999</v>
      </c>
      <c r="M78" s="107">
        <v>23.701861999999998</v>
      </c>
      <c r="N78" s="107">
        <v>49.299156000000004</v>
      </c>
    </row>
    <row r="79" spans="2:14" x14ac:dyDescent="0.2">
      <c r="B79" s="16" t="s">
        <v>120</v>
      </c>
      <c r="C79" s="107">
        <v>47.272922999999999</v>
      </c>
      <c r="D79" s="107">
        <v>30.714963999999998</v>
      </c>
      <c r="E79" s="107">
        <v>62.952919000000001</v>
      </c>
      <c r="F79" s="107">
        <v>45.898327000000002</v>
      </c>
      <c r="G79" s="107">
        <v>6.9040319999999999</v>
      </c>
      <c r="H79" s="107">
        <v>337.66668700000002</v>
      </c>
      <c r="I79" s="107">
        <v>85.247307000000006</v>
      </c>
      <c r="J79" s="107">
        <v>57.680011999999998</v>
      </c>
      <c r="K79" s="107">
        <v>47.130034999999999</v>
      </c>
      <c r="L79" s="107">
        <v>49.847523000000002</v>
      </c>
      <c r="M79" s="107">
        <v>24.937584000000001</v>
      </c>
      <c r="N79" s="107">
        <v>47.750416000000001</v>
      </c>
    </row>
    <row r="80" spans="2:14" x14ac:dyDescent="0.2">
      <c r="B80" s="16" t="s">
        <v>121</v>
      </c>
      <c r="C80" s="107">
        <v>52.615684999999999</v>
      </c>
      <c r="D80" s="107">
        <v>31.842644</v>
      </c>
      <c r="E80" s="107">
        <v>62.135559000000001</v>
      </c>
      <c r="F80" s="107">
        <v>43.191581999999997</v>
      </c>
      <c r="G80" s="107">
        <v>6.3635270000000004</v>
      </c>
      <c r="H80" s="107">
        <v>356.23791499999999</v>
      </c>
      <c r="I80" s="107">
        <v>77.890945000000002</v>
      </c>
      <c r="J80" s="107">
        <v>54.202151999999998</v>
      </c>
      <c r="K80" s="107">
        <v>50.550548999999997</v>
      </c>
      <c r="L80" s="107">
        <v>51.217236</v>
      </c>
      <c r="M80" s="107">
        <v>25.642016999999999</v>
      </c>
      <c r="N80" s="107">
        <v>44.31279</v>
      </c>
    </row>
    <row r="81" spans="2:14" x14ac:dyDescent="0.2">
      <c r="B81" s="16" t="s">
        <v>122</v>
      </c>
      <c r="C81" s="107">
        <v>54.859287000000002</v>
      </c>
      <c r="D81" s="107">
        <v>35.196643999999999</v>
      </c>
      <c r="E81" s="107">
        <v>66.847854999999996</v>
      </c>
      <c r="F81" s="107">
        <v>43.802784000000003</v>
      </c>
      <c r="G81" s="107">
        <v>6.6202519999999998</v>
      </c>
      <c r="H81" s="107">
        <v>356.78680400000002</v>
      </c>
      <c r="I81" s="107">
        <v>81.809532000000004</v>
      </c>
      <c r="J81" s="107">
        <v>61.617213999999997</v>
      </c>
      <c r="K81" s="107">
        <v>51.075245000000002</v>
      </c>
      <c r="L81" s="107">
        <v>53.899585999999999</v>
      </c>
      <c r="M81" s="107">
        <v>27.789555</v>
      </c>
      <c r="N81" s="107">
        <v>47.291930999999998</v>
      </c>
    </row>
    <row r="82" spans="2:14" x14ac:dyDescent="0.2">
      <c r="B82" s="16" t="s">
        <v>123</v>
      </c>
      <c r="C82" s="107">
        <v>54.789448</v>
      </c>
      <c r="D82" s="107">
        <v>34.400288000000003</v>
      </c>
      <c r="E82" s="107">
        <v>62.861187000000001</v>
      </c>
      <c r="F82" s="107">
        <v>42.194740000000003</v>
      </c>
      <c r="G82" s="107">
        <v>6.043984</v>
      </c>
      <c r="H82" s="107">
        <v>368.176605</v>
      </c>
      <c r="I82" s="107">
        <v>86.100646999999995</v>
      </c>
      <c r="J82" s="107">
        <v>60.793320000000001</v>
      </c>
      <c r="K82" s="107">
        <v>49.474583000000003</v>
      </c>
      <c r="L82" s="107">
        <v>53.989254000000003</v>
      </c>
      <c r="M82" s="107">
        <v>26.955176999999999</v>
      </c>
      <c r="N82" s="107">
        <v>47.438122</v>
      </c>
    </row>
    <row r="83" spans="2:14" x14ac:dyDescent="0.2">
      <c r="B83" s="16" t="s">
        <v>124</v>
      </c>
      <c r="C83" s="107">
        <v>60.516326999999997</v>
      </c>
      <c r="D83" s="107">
        <v>32.046092999999999</v>
      </c>
      <c r="E83" s="107">
        <v>67.298241000000004</v>
      </c>
      <c r="F83" s="107">
        <v>45.519962</v>
      </c>
      <c r="G83" s="107">
        <v>6.3034420000000004</v>
      </c>
      <c r="H83" s="107">
        <v>376.821777</v>
      </c>
      <c r="I83" s="107">
        <v>85.743049999999997</v>
      </c>
      <c r="J83" s="107">
        <v>61.033915999999998</v>
      </c>
      <c r="K83" s="107">
        <v>54.017550999999997</v>
      </c>
      <c r="L83" s="107">
        <v>52.089599999999997</v>
      </c>
      <c r="M83" s="107">
        <v>27.180489000000001</v>
      </c>
      <c r="N83" s="107">
        <v>49.711353000000003</v>
      </c>
    </row>
    <row r="84" spans="2:14" x14ac:dyDescent="0.2">
      <c r="B84" s="16" t="s">
        <v>125</v>
      </c>
      <c r="C84" s="107">
        <v>62.271061000000003</v>
      </c>
      <c r="D84" s="107">
        <v>36.289454999999997</v>
      </c>
      <c r="E84" s="107">
        <v>72.194016000000005</v>
      </c>
      <c r="F84" s="107">
        <v>46.393112000000002</v>
      </c>
      <c r="G84" s="107">
        <v>7.2538739999999997</v>
      </c>
      <c r="H84" s="107">
        <v>407.77835099999999</v>
      </c>
      <c r="I84" s="107">
        <v>88.127028999999993</v>
      </c>
      <c r="J84" s="107">
        <v>59.371552000000001</v>
      </c>
      <c r="K84" s="107">
        <v>56.202694000000001</v>
      </c>
      <c r="L84" s="107">
        <v>55.954127999999997</v>
      </c>
      <c r="M84" s="107">
        <v>27.391342000000002</v>
      </c>
      <c r="N84" s="107">
        <v>54.308979000000001</v>
      </c>
    </row>
    <row r="85" spans="2:14" x14ac:dyDescent="0.2">
      <c r="B85" s="16" t="s">
        <v>126</v>
      </c>
      <c r="C85" s="107">
        <v>64.802750000000003</v>
      </c>
      <c r="D85" s="107">
        <v>37.655467999999999</v>
      </c>
      <c r="E85" s="107">
        <v>76.647766000000004</v>
      </c>
      <c r="F85" s="107">
        <v>46.698711000000003</v>
      </c>
      <c r="G85" s="107">
        <v>7.07362</v>
      </c>
      <c r="H85" s="107">
        <v>403.27920499999999</v>
      </c>
      <c r="I85" s="107">
        <v>91.265884</v>
      </c>
      <c r="J85" s="107">
        <v>62.419243000000002</v>
      </c>
      <c r="K85" s="107">
        <v>57.524410000000003</v>
      </c>
      <c r="L85" s="107">
        <v>59.109347999999997</v>
      </c>
      <c r="M85" s="107">
        <v>27.605373</v>
      </c>
      <c r="N85" s="107">
        <v>57.086548000000001</v>
      </c>
    </row>
    <row r="86" spans="2:14" x14ac:dyDescent="0.2">
      <c r="B86" s="16" t="s">
        <v>127</v>
      </c>
      <c r="C86" s="107">
        <v>65.020660000000007</v>
      </c>
      <c r="D86" s="107">
        <v>36.516154999999998</v>
      </c>
      <c r="E86" s="107">
        <v>76.864615999999998</v>
      </c>
      <c r="F86" s="107">
        <v>48.081200000000003</v>
      </c>
      <c r="G86" s="107">
        <v>7.4204739999999996</v>
      </c>
      <c r="H86" s="107">
        <v>403.96783399999998</v>
      </c>
      <c r="I86" s="107">
        <v>96.073554999999999</v>
      </c>
      <c r="J86" s="107">
        <v>60.581879000000001</v>
      </c>
      <c r="K86" s="107">
        <v>58.560524000000001</v>
      </c>
      <c r="L86" s="107">
        <v>55.897064</v>
      </c>
      <c r="M86" s="107">
        <v>27.663886999999999</v>
      </c>
      <c r="N86" s="107">
        <v>57.900356000000002</v>
      </c>
    </row>
    <row r="87" spans="2:14" x14ac:dyDescent="0.2">
      <c r="B87" s="16" t="s">
        <v>128</v>
      </c>
      <c r="C87" s="107">
        <v>64.068541999999994</v>
      </c>
      <c r="D87" s="107">
        <v>38.210586999999997</v>
      </c>
      <c r="E87" s="107">
        <v>76.732765000000001</v>
      </c>
      <c r="F87" s="107">
        <v>49.160656000000003</v>
      </c>
      <c r="G87" s="107">
        <v>7.4873099999999999</v>
      </c>
      <c r="H87" s="107">
        <v>397.26483200000001</v>
      </c>
      <c r="I87" s="107">
        <v>93.173064999999994</v>
      </c>
      <c r="J87" s="107">
        <v>57.782077999999998</v>
      </c>
      <c r="K87" s="107">
        <v>57.471291000000001</v>
      </c>
      <c r="L87" s="107">
        <v>56.389408000000003</v>
      </c>
      <c r="M87" s="107">
        <v>25.331745000000002</v>
      </c>
      <c r="N87" s="107">
        <v>55.665680000000002</v>
      </c>
    </row>
    <row r="88" spans="2:14" x14ac:dyDescent="0.2">
      <c r="B88" s="16" t="s">
        <v>129</v>
      </c>
      <c r="C88" s="107">
        <v>62.822761999999997</v>
      </c>
      <c r="D88" s="107">
        <v>39.731487000000001</v>
      </c>
      <c r="E88" s="107">
        <v>78.021820000000005</v>
      </c>
      <c r="F88" s="107">
        <v>47.128791999999997</v>
      </c>
      <c r="G88" s="107">
        <v>7.7082759999999997</v>
      </c>
      <c r="H88" s="107">
        <v>394.98416099999997</v>
      </c>
      <c r="I88" s="107">
        <v>93.173064999999994</v>
      </c>
      <c r="J88" s="107">
        <v>57.744678</v>
      </c>
      <c r="K88" s="107">
        <v>55.385413999999997</v>
      </c>
      <c r="L88" s="107">
        <v>55.618217000000001</v>
      </c>
      <c r="M88" s="107">
        <v>25.479081999999998</v>
      </c>
      <c r="N88" s="107">
        <v>56.418025999999998</v>
      </c>
    </row>
    <row r="89" spans="2:14" x14ac:dyDescent="0.2">
      <c r="B89" s="16" t="s">
        <v>130</v>
      </c>
      <c r="C89" s="107">
        <v>62.831657</v>
      </c>
      <c r="D89" s="107">
        <v>38.725631999999997</v>
      </c>
      <c r="E89" s="107">
        <v>78.980125000000001</v>
      </c>
      <c r="F89" s="107">
        <v>49.414639000000001</v>
      </c>
      <c r="G89" s="107">
        <v>7.9434050000000003</v>
      </c>
      <c r="H89" s="107">
        <v>410.026794</v>
      </c>
      <c r="I89" s="107">
        <v>91.959343000000004</v>
      </c>
      <c r="J89" s="107">
        <v>56.372334000000002</v>
      </c>
      <c r="K89" s="107">
        <v>56.030388000000002</v>
      </c>
      <c r="L89" s="107">
        <v>56.775016999999998</v>
      </c>
      <c r="M89" s="107">
        <v>25.766726999999999</v>
      </c>
      <c r="N89" s="107">
        <v>57.617297999999998</v>
      </c>
    </row>
    <row r="90" spans="2:14" x14ac:dyDescent="0.2">
      <c r="B90" s="16" t="s">
        <v>131</v>
      </c>
      <c r="C90" s="107">
        <v>71.552093999999997</v>
      </c>
      <c r="D90" s="107">
        <v>41.355412000000001</v>
      </c>
      <c r="E90" s="107">
        <v>84.093964</v>
      </c>
      <c r="F90" s="107">
        <v>49.578983000000001</v>
      </c>
      <c r="G90" s="107">
        <v>8.1417059999999992</v>
      </c>
      <c r="H90" s="107">
        <v>393.64605699999998</v>
      </c>
      <c r="I90" s="107">
        <v>93.761680999999996</v>
      </c>
      <c r="J90" s="107">
        <v>63.014175000000002</v>
      </c>
      <c r="K90" s="107">
        <v>57.642817999999998</v>
      </c>
      <c r="L90" s="107">
        <v>61.720714999999998</v>
      </c>
      <c r="M90" s="107">
        <v>26.952912999999999</v>
      </c>
      <c r="N90" s="107">
        <v>59.889220999999999</v>
      </c>
    </row>
    <row r="91" spans="2:14" x14ac:dyDescent="0.2">
      <c r="B91" s="16" t="s">
        <v>132</v>
      </c>
      <c r="C91" s="107">
        <v>78.083527000000004</v>
      </c>
      <c r="D91" s="107">
        <v>40.622222999999998</v>
      </c>
      <c r="E91" s="107">
        <v>88.495399000000006</v>
      </c>
      <c r="F91" s="107">
        <v>52.395206000000002</v>
      </c>
      <c r="G91" s="107">
        <v>8.2210280000000004</v>
      </c>
      <c r="H91" s="107">
        <v>411.18032799999997</v>
      </c>
      <c r="I91" s="107">
        <v>103.133842</v>
      </c>
      <c r="J91" s="107">
        <v>64.553329000000005</v>
      </c>
      <c r="K91" s="107">
        <v>55.776505</v>
      </c>
      <c r="L91" s="107">
        <v>63.24633</v>
      </c>
      <c r="M91" s="107">
        <v>28.779603999999999</v>
      </c>
      <c r="N91" s="107">
        <v>62.608058999999997</v>
      </c>
    </row>
    <row r="92" spans="2:14" x14ac:dyDescent="0.2">
      <c r="B92" s="16" t="s">
        <v>133</v>
      </c>
      <c r="C92" s="107">
        <v>77.674194</v>
      </c>
      <c r="D92" s="107">
        <v>38.525669000000001</v>
      </c>
      <c r="E92" s="107">
        <v>82.160362000000006</v>
      </c>
      <c r="F92" s="107">
        <v>52.977871</v>
      </c>
      <c r="G92" s="107">
        <v>8.5389820000000007</v>
      </c>
      <c r="H92" s="107">
        <v>408.68869000000001</v>
      </c>
      <c r="I92" s="107">
        <v>104.97623400000001</v>
      </c>
      <c r="J92" s="107">
        <v>64.735298</v>
      </c>
      <c r="K92" s="107">
        <v>52.558506000000001</v>
      </c>
      <c r="L92" s="107">
        <v>60.530388000000002</v>
      </c>
      <c r="M92" s="107">
        <v>28.500039999999998</v>
      </c>
      <c r="N92" s="107">
        <v>63.941409999999998</v>
      </c>
    </row>
    <row r="93" spans="2:14" x14ac:dyDescent="0.2">
      <c r="B93" s="16" t="s">
        <v>134</v>
      </c>
      <c r="C93" s="107">
        <v>73.856789000000006</v>
      </c>
      <c r="D93" s="107">
        <v>37.719768999999999</v>
      </c>
      <c r="E93" s="107">
        <v>83.864982999999995</v>
      </c>
      <c r="F93" s="107">
        <v>52.253276999999997</v>
      </c>
      <c r="G93" s="107">
        <v>8.3241300000000003</v>
      </c>
      <c r="H93" s="107">
        <v>411.82641599999999</v>
      </c>
      <c r="I93" s="107">
        <v>106.59551999999999</v>
      </c>
      <c r="J93" s="107">
        <v>63.620739</v>
      </c>
      <c r="K93" s="107">
        <v>49.299332</v>
      </c>
      <c r="L93" s="107">
        <v>59.398746000000003</v>
      </c>
      <c r="M93" s="107">
        <v>27.682402</v>
      </c>
      <c r="N93" s="107">
        <v>63.942264999999999</v>
      </c>
    </row>
    <row r="94" spans="2:14" x14ac:dyDescent="0.2">
      <c r="B94" s="16" t="s">
        <v>135</v>
      </c>
      <c r="C94" s="107">
        <v>82.310271999999998</v>
      </c>
      <c r="D94" s="107">
        <v>40.355601999999998</v>
      </c>
      <c r="E94" s="107">
        <v>90.700355999999999</v>
      </c>
      <c r="F94" s="107">
        <v>51.887233999999999</v>
      </c>
      <c r="G94" s="107">
        <v>8.1179839999999999</v>
      </c>
      <c r="H94" s="107">
        <v>410.85745200000002</v>
      </c>
      <c r="I94" s="107">
        <v>103.646873</v>
      </c>
      <c r="J94" s="107">
        <v>67.153960999999995</v>
      </c>
      <c r="K94" s="107">
        <v>48.798442999999999</v>
      </c>
      <c r="L94" s="107">
        <v>63.271492000000002</v>
      </c>
      <c r="M94" s="107">
        <v>28.409056</v>
      </c>
      <c r="N94" s="107">
        <v>65.331490000000002</v>
      </c>
    </row>
    <row r="95" spans="2:14" x14ac:dyDescent="0.2">
      <c r="B95" s="16" t="s">
        <v>136</v>
      </c>
      <c r="C95" s="107">
        <v>87.506934999999999</v>
      </c>
      <c r="D95" s="107">
        <v>39.610306000000001</v>
      </c>
      <c r="E95" s="107">
        <v>87.308098000000001</v>
      </c>
      <c r="F95" s="107">
        <v>49.115841000000003</v>
      </c>
      <c r="G95" s="107">
        <v>7.4763270000000004</v>
      </c>
      <c r="H95" s="107">
        <v>407.99652099999997</v>
      </c>
      <c r="I95" s="107">
        <v>109.059471</v>
      </c>
      <c r="J95" s="107">
        <v>67.843941000000001</v>
      </c>
      <c r="K95" s="107">
        <v>44.619843000000003</v>
      </c>
      <c r="L95" s="107">
        <v>60.002288999999998</v>
      </c>
      <c r="M95" s="107">
        <v>28.613132</v>
      </c>
      <c r="N95" s="107">
        <v>61.066173999999997</v>
      </c>
    </row>
    <row r="96" spans="2:14" x14ac:dyDescent="0.2">
      <c r="B96" s="16" t="s">
        <v>137</v>
      </c>
      <c r="C96" s="107">
        <v>83.467072000000002</v>
      </c>
      <c r="D96" s="107">
        <v>36.459408000000003</v>
      </c>
      <c r="E96" s="107">
        <v>85.823989999999995</v>
      </c>
      <c r="F96" s="107">
        <v>49.100898999999998</v>
      </c>
      <c r="G96" s="107">
        <v>7.871194</v>
      </c>
      <c r="H96" s="107">
        <v>445.87176499999998</v>
      </c>
      <c r="I96" s="107">
        <v>109.261414</v>
      </c>
      <c r="J96" s="107">
        <v>74.682914999999994</v>
      </c>
      <c r="K96" s="107">
        <v>44.825684000000003</v>
      </c>
      <c r="L96" s="107">
        <v>59.801108999999997</v>
      </c>
      <c r="M96" s="107">
        <v>28.101423</v>
      </c>
      <c r="N96" s="107">
        <v>59.999851</v>
      </c>
    </row>
    <row r="97" spans="2:14" x14ac:dyDescent="0.2">
      <c r="B97" s="16" t="s">
        <v>138</v>
      </c>
      <c r="C97" s="107">
        <v>86.670501999999999</v>
      </c>
      <c r="D97" s="107">
        <v>38.768039999999999</v>
      </c>
      <c r="E97" s="107">
        <v>96.679198999999997</v>
      </c>
      <c r="F97" s="107">
        <v>50.116824999999999</v>
      </c>
      <c r="G97" s="107">
        <v>8.4489769999999993</v>
      </c>
      <c r="H97" s="107">
        <v>496.15386999999998</v>
      </c>
      <c r="I97" s="107">
        <v>111.119469</v>
      </c>
      <c r="J97" s="107">
        <v>68.116874999999993</v>
      </c>
      <c r="K97" s="107">
        <v>45.141303999999998</v>
      </c>
      <c r="L97" s="107">
        <v>63.103831999999997</v>
      </c>
      <c r="M97" s="107">
        <v>32.297432000000001</v>
      </c>
      <c r="N97" s="107">
        <v>62.402839999999998</v>
      </c>
    </row>
    <row r="98" spans="2:14" x14ac:dyDescent="0.2">
      <c r="B98" s="16" t="s">
        <v>139</v>
      </c>
      <c r="C98" s="107">
        <v>88.033569</v>
      </c>
      <c r="D98" s="107">
        <v>32.151176</v>
      </c>
      <c r="E98" s="107">
        <v>95.534332000000006</v>
      </c>
      <c r="F98" s="107">
        <v>48.846912000000003</v>
      </c>
      <c r="G98" s="107">
        <v>7.8595800000000002</v>
      </c>
      <c r="H98" s="107">
        <v>563.75231900000006</v>
      </c>
      <c r="I98" s="107">
        <v>116.087723</v>
      </c>
      <c r="J98" s="107">
        <v>62.650246000000003</v>
      </c>
      <c r="K98" s="107">
        <v>45.031525000000002</v>
      </c>
      <c r="L98" s="107">
        <v>61.846446999999998</v>
      </c>
      <c r="M98" s="107">
        <v>32.124622000000002</v>
      </c>
      <c r="N98" s="107">
        <v>64.203781000000006</v>
      </c>
    </row>
    <row r="99" spans="2:14" x14ac:dyDescent="0.2">
      <c r="B99" s="16" t="s">
        <v>140</v>
      </c>
      <c r="C99" s="107">
        <v>90.702354</v>
      </c>
      <c r="D99" s="107">
        <v>34.025787000000001</v>
      </c>
      <c r="E99" s="107">
        <v>97.696877000000001</v>
      </c>
      <c r="F99" s="107">
        <v>48.339801999999999</v>
      </c>
      <c r="G99" s="107">
        <v>7.8116680000000001</v>
      </c>
      <c r="H99" s="107">
        <v>485.04177900000002</v>
      </c>
      <c r="I99" s="107">
        <v>113.017906</v>
      </c>
      <c r="J99" s="107">
        <v>55.219859999999997</v>
      </c>
      <c r="K99" s="107">
        <v>49.378501999999997</v>
      </c>
      <c r="L99" s="107">
        <v>60.019649999999999</v>
      </c>
      <c r="M99" s="107">
        <v>32.223376999999999</v>
      </c>
      <c r="N99" s="107">
        <v>63.160809</v>
      </c>
    </row>
    <row r="100" spans="2:14" x14ac:dyDescent="0.2">
      <c r="B100" s="16" t="s">
        <v>141</v>
      </c>
      <c r="C100" s="107">
        <v>95.895172000000002</v>
      </c>
      <c r="D100" s="107">
        <v>35.612254999999998</v>
      </c>
      <c r="E100" s="107">
        <v>94.512664999999998</v>
      </c>
      <c r="F100" s="107">
        <v>51.676758</v>
      </c>
      <c r="G100" s="107">
        <v>8.2192070000000008</v>
      </c>
      <c r="H100" s="107">
        <v>508.000336</v>
      </c>
      <c r="I100" s="107">
        <v>111.442604</v>
      </c>
      <c r="J100" s="107">
        <v>59.707687</v>
      </c>
      <c r="K100" s="107">
        <v>53.492770999999998</v>
      </c>
      <c r="L100" s="107">
        <v>57.851481999999997</v>
      </c>
      <c r="M100" s="107">
        <v>34.883395999999998</v>
      </c>
      <c r="N100" s="107">
        <v>65.952292999999997</v>
      </c>
    </row>
    <row r="101" spans="2:14" x14ac:dyDescent="0.2">
      <c r="B101" s="16" t="s">
        <v>142</v>
      </c>
      <c r="C101" s="107">
        <v>96.130393999999995</v>
      </c>
      <c r="D101" s="107">
        <v>32.375359000000003</v>
      </c>
      <c r="E101" s="107">
        <v>95.115211000000002</v>
      </c>
      <c r="F101" s="107">
        <v>52.145775</v>
      </c>
      <c r="G101" s="107">
        <v>7.5141939999999998</v>
      </c>
      <c r="H101" s="107">
        <v>525.44647199999997</v>
      </c>
      <c r="I101" s="107">
        <v>110.67437700000001</v>
      </c>
      <c r="J101" s="107">
        <v>58.843268999999999</v>
      </c>
      <c r="K101" s="107">
        <v>53.219456000000001</v>
      </c>
      <c r="L101" s="107">
        <v>59.028008</v>
      </c>
      <c r="M101" s="107">
        <v>33.640694000000003</v>
      </c>
      <c r="N101" s="107">
        <v>63.314197999999998</v>
      </c>
    </row>
    <row r="102" spans="2:14" x14ac:dyDescent="0.2">
      <c r="B102" s="16" t="s">
        <v>143</v>
      </c>
      <c r="C102" s="107">
        <v>97.867355000000003</v>
      </c>
      <c r="D102" s="107">
        <v>33.718727000000001</v>
      </c>
      <c r="E102" s="107">
        <v>93.307593999999995</v>
      </c>
      <c r="F102" s="107">
        <v>51.284626000000003</v>
      </c>
      <c r="G102" s="107">
        <v>7.5350169999999999</v>
      </c>
      <c r="H102" s="107">
        <v>535.20117200000004</v>
      </c>
      <c r="I102" s="107">
        <v>114.98745700000001</v>
      </c>
      <c r="J102" s="107">
        <v>59.081187999999997</v>
      </c>
      <c r="K102" s="107">
        <v>55.067996999999998</v>
      </c>
      <c r="L102" s="107">
        <v>58.238056</v>
      </c>
      <c r="M102" s="107">
        <v>34.870918000000003</v>
      </c>
      <c r="N102" s="107">
        <v>62.900078000000001</v>
      </c>
    </row>
    <row r="103" spans="2:14" x14ac:dyDescent="0.2">
      <c r="B103" s="16" t="s">
        <v>144</v>
      </c>
      <c r="C103" s="107">
        <v>88.395438999999996</v>
      </c>
      <c r="D103" s="107">
        <v>29.509492999999999</v>
      </c>
      <c r="E103" s="107">
        <v>92.963286999999994</v>
      </c>
      <c r="F103" s="107">
        <v>48.116821000000002</v>
      </c>
      <c r="G103" s="107">
        <v>7.0055149999999999</v>
      </c>
      <c r="H103" s="107">
        <v>473.67099000000002</v>
      </c>
      <c r="I103" s="107">
        <v>109.69785299999999</v>
      </c>
      <c r="J103" s="107">
        <v>52.395893000000001</v>
      </c>
      <c r="K103" s="107">
        <v>56.707957999999998</v>
      </c>
      <c r="L103" s="107">
        <v>53.750450000000001</v>
      </c>
      <c r="M103" s="107">
        <v>32.826267000000001</v>
      </c>
      <c r="N103" s="107">
        <v>60.492061999999997</v>
      </c>
    </row>
    <row r="104" spans="2:14" x14ac:dyDescent="0.2">
      <c r="B104" s="16" t="s">
        <v>145</v>
      </c>
      <c r="C104" s="107">
        <v>85.600005999999993</v>
      </c>
      <c r="D104" s="107">
        <v>28.386807999999998</v>
      </c>
      <c r="E104" s="107">
        <v>88.702461</v>
      </c>
      <c r="F104" s="107">
        <v>50.792541999999997</v>
      </c>
      <c r="G104" s="107">
        <v>7.6090330000000002</v>
      </c>
      <c r="H104" s="107">
        <v>448.06463600000001</v>
      </c>
      <c r="I104" s="107">
        <v>114.906059</v>
      </c>
      <c r="J104" s="107">
        <v>49.207886000000002</v>
      </c>
      <c r="K104" s="107">
        <v>57.405655000000003</v>
      </c>
      <c r="L104" s="107">
        <v>54.019367000000003</v>
      </c>
      <c r="M104" s="107">
        <v>31.060507000000001</v>
      </c>
      <c r="N104" s="107">
        <v>59.126995000000001</v>
      </c>
    </row>
    <row r="105" spans="2:14" x14ac:dyDescent="0.2">
      <c r="B105" s="16" t="s">
        <v>146</v>
      </c>
      <c r="C105" s="107">
        <v>75.956207000000006</v>
      </c>
      <c r="D105" s="107">
        <v>25.252265999999999</v>
      </c>
      <c r="E105" s="107">
        <v>74.714920000000006</v>
      </c>
      <c r="F105" s="107">
        <v>47.294108999999999</v>
      </c>
      <c r="G105" s="107">
        <v>7.6733599999999997</v>
      </c>
      <c r="H105" s="107">
        <v>454.72409099999999</v>
      </c>
      <c r="I105" s="107">
        <v>117.73629</v>
      </c>
      <c r="J105" s="107">
        <v>43.260117000000001</v>
      </c>
      <c r="K105" s="107">
        <v>54.420642999999998</v>
      </c>
      <c r="L105" s="107">
        <v>50.187252000000001</v>
      </c>
      <c r="M105" s="107">
        <v>29.174697999999999</v>
      </c>
      <c r="N105" s="107">
        <v>55.765076000000001</v>
      </c>
    </row>
    <row r="106" spans="2:14" x14ac:dyDescent="0.2">
      <c r="B106" s="16" t="s">
        <v>147</v>
      </c>
      <c r="C106" s="107">
        <v>90.666175999999993</v>
      </c>
      <c r="D106" s="107">
        <v>26.205425000000002</v>
      </c>
      <c r="E106" s="107">
        <v>83.047195000000002</v>
      </c>
      <c r="F106" s="107">
        <v>48.824196000000001</v>
      </c>
      <c r="G106" s="107">
        <v>8.5678190000000001</v>
      </c>
      <c r="H106" s="107">
        <v>491.86743200000001</v>
      </c>
      <c r="I106" s="107">
        <v>119.133011</v>
      </c>
      <c r="J106" s="107">
        <v>49.049281999999998</v>
      </c>
      <c r="K106" s="107">
        <v>54.535721000000002</v>
      </c>
      <c r="L106" s="107">
        <v>52.170544</v>
      </c>
      <c r="M106" s="107">
        <v>30.716235999999999</v>
      </c>
      <c r="N106" s="107">
        <v>59.528174999999997</v>
      </c>
    </row>
    <row r="107" spans="2:14" x14ac:dyDescent="0.2">
      <c r="B107" s="16" t="s">
        <v>148</v>
      </c>
      <c r="C107" s="107">
        <v>102.77067599999999</v>
      </c>
      <c r="D107" s="107">
        <v>28.821805999999999</v>
      </c>
      <c r="E107" s="107">
        <v>90.553116000000003</v>
      </c>
      <c r="F107" s="107">
        <v>51.000145000000003</v>
      </c>
      <c r="G107" s="107">
        <v>8.1175270000000008</v>
      </c>
      <c r="H107" s="107">
        <v>522.25732400000004</v>
      </c>
      <c r="I107" s="107">
        <v>124.39130400000001</v>
      </c>
      <c r="J107" s="107">
        <v>47.764561</v>
      </c>
      <c r="K107" s="107">
        <v>52.867012000000003</v>
      </c>
      <c r="L107" s="107">
        <v>57.498516000000002</v>
      </c>
      <c r="M107" s="107">
        <v>32.003010000000003</v>
      </c>
      <c r="N107" s="107">
        <v>64.979256000000007</v>
      </c>
    </row>
    <row r="108" spans="2:14" x14ac:dyDescent="0.2">
      <c r="B108" s="16" t="s">
        <v>149</v>
      </c>
      <c r="C108" s="107">
        <v>106.66076700000001</v>
      </c>
      <c r="D108" s="107">
        <v>27.257736000000001</v>
      </c>
      <c r="E108" s="107">
        <v>93.049355000000006</v>
      </c>
      <c r="F108" s="107">
        <v>52.814712999999998</v>
      </c>
      <c r="G108" s="107">
        <v>8.1359060000000003</v>
      </c>
      <c r="H108" s="107">
        <v>553.23101799999995</v>
      </c>
      <c r="I108" s="107">
        <v>131.45715300000001</v>
      </c>
      <c r="J108" s="107">
        <v>46.717751</v>
      </c>
      <c r="K108" s="107">
        <v>56.636021</v>
      </c>
      <c r="L108" s="107">
        <v>58.775913000000003</v>
      </c>
      <c r="M108" s="107">
        <v>31.702124000000001</v>
      </c>
      <c r="N108" s="107">
        <v>67.147293000000005</v>
      </c>
    </row>
    <row r="109" spans="2:14" x14ac:dyDescent="0.2">
      <c r="B109" s="16" t="s">
        <v>150</v>
      </c>
      <c r="C109" s="107">
        <v>110.261353</v>
      </c>
      <c r="D109" s="107">
        <v>30.353895000000001</v>
      </c>
      <c r="E109" s="107">
        <v>93.049355000000006</v>
      </c>
      <c r="F109" s="107">
        <v>55.421230000000001</v>
      </c>
      <c r="G109" s="107">
        <v>8.0899560000000008</v>
      </c>
      <c r="H109" s="107">
        <v>589.91241500000001</v>
      </c>
      <c r="I109" s="107">
        <v>127.636681</v>
      </c>
      <c r="J109" s="107">
        <v>48.232452000000002</v>
      </c>
      <c r="K109" s="107">
        <v>55.736930999999998</v>
      </c>
      <c r="L109" s="107">
        <v>63.414757000000002</v>
      </c>
      <c r="M109" s="107">
        <v>32.111300999999997</v>
      </c>
      <c r="N109" s="107">
        <v>69.702483999999998</v>
      </c>
    </row>
    <row r="110" spans="2:14" x14ac:dyDescent="0.2">
      <c r="B110" s="16" t="s">
        <v>151</v>
      </c>
      <c r="C110" s="107">
        <v>105.376587</v>
      </c>
      <c r="D110" s="107">
        <v>26.147849999999998</v>
      </c>
      <c r="E110" s="107">
        <v>86.163177000000005</v>
      </c>
      <c r="F110" s="107">
        <v>54.898387999999997</v>
      </c>
      <c r="G110" s="107">
        <v>7.6274110000000004</v>
      </c>
      <c r="H110" s="107">
        <v>559.43872099999999</v>
      </c>
      <c r="I110" s="107">
        <v>129.649597</v>
      </c>
      <c r="J110" s="107">
        <v>42.760505999999999</v>
      </c>
      <c r="K110" s="107">
        <v>51.960709000000001</v>
      </c>
      <c r="L110" s="107">
        <v>61.377693000000001</v>
      </c>
      <c r="M110" s="107">
        <v>30.2285</v>
      </c>
      <c r="N110" s="107">
        <v>69.998565999999997</v>
      </c>
    </row>
    <row r="111" spans="2:14" x14ac:dyDescent="0.2">
      <c r="B111" s="16" t="s">
        <v>152</v>
      </c>
      <c r="C111" s="107">
        <v>114.385803</v>
      </c>
      <c r="D111" s="107">
        <v>28.672495000000001</v>
      </c>
      <c r="E111" s="107">
        <v>94.125313000000006</v>
      </c>
      <c r="F111" s="107">
        <v>58.858196</v>
      </c>
      <c r="G111" s="107">
        <v>8.6513449999999992</v>
      </c>
      <c r="H111" s="107">
        <v>596.49633800000004</v>
      </c>
      <c r="I111" s="107">
        <v>133.14141799999999</v>
      </c>
      <c r="J111" s="107">
        <v>43.846961999999998</v>
      </c>
      <c r="K111" s="107">
        <v>56.901553999999997</v>
      </c>
      <c r="L111" s="107">
        <v>69.145263999999997</v>
      </c>
      <c r="M111" s="107">
        <v>31.936302000000001</v>
      </c>
      <c r="N111" s="107">
        <v>71.264656000000002</v>
      </c>
    </row>
    <row r="112" spans="2:14" x14ac:dyDescent="0.2">
      <c r="B112" s="16" t="s">
        <v>153</v>
      </c>
      <c r="C112" s="107">
        <v>117.486732</v>
      </c>
      <c r="D112" s="107">
        <v>28.957401000000001</v>
      </c>
      <c r="E112" s="107">
        <v>100.958771</v>
      </c>
      <c r="F112" s="107">
        <v>61.939368999999999</v>
      </c>
      <c r="G112" s="107">
        <v>9.0274909999999995</v>
      </c>
      <c r="H112" s="107">
        <v>601.77630599999998</v>
      </c>
      <c r="I112" s="107">
        <v>130.67662000000001</v>
      </c>
      <c r="J112" s="107">
        <v>42.783009</v>
      </c>
      <c r="K112" s="107">
        <v>56.564236000000001</v>
      </c>
      <c r="L112" s="107">
        <v>67.688850000000002</v>
      </c>
      <c r="M112" s="107">
        <v>30.894297000000002</v>
      </c>
      <c r="N112" s="107">
        <v>73.780974999999998</v>
      </c>
    </row>
    <row r="113" spans="2:14" x14ac:dyDescent="0.2">
      <c r="B113" s="16" t="s">
        <v>154</v>
      </c>
      <c r="C113" s="107">
        <v>114.99131800000001</v>
      </c>
      <c r="D113" s="107">
        <v>28.171330999999999</v>
      </c>
      <c r="E113" s="107">
        <v>95.615189000000001</v>
      </c>
      <c r="F113" s="107">
        <v>64.356894999999994</v>
      </c>
      <c r="G113" s="107">
        <v>8.9658800000000003</v>
      </c>
      <c r="H113" s="107">
        <v>587.02960199999995</v>
      </c>
      <c r="I113" s="107">
        <v>143.76355000000001</v>
      </c>
      <c r="J113" s="107">
        <v>44.154369000000003</v>
      </c>
      <c r="K113" s="107">
        <v>58.558154999999999</v>
      </c>
      <c r="L113" s="107">
        <v>66.024360999999999</v>
      </c>
      <c r="M113" s="107">
        <v>29.813804999999999</v>
      </c>
      <c r="N113" s="107">
        <v>78.734558000000007</v>
      </c>
    </row>
    <row r="114" spans="2:14" x14ac:dyDescent="0.2">
      <c r="B114" s="16" t="s">
        <v>155</v>
      </c>
      <c r="C114" s="107">
        <v>109.358253</v>
      </c>
      <c r="D114" s="107">
        <v>30.666831999999999</v>
      </c>
      <c r="E114" s="107">
        <v>94.695380999999998</v>
      </c>
      <c r="F114" s="107">
        <v>63.851275999999999</v>
      </c>
      <c r="G114" s="107">
        <v>9.7149300000000007</v>
      </c>
      <c r="H114" s="107">
        <v>599.31860400000005</v>
      </c>
      <c r="I114" s="107">
        <v>135.23869300000001</v>
      </c>
      <c r="J114" s="107">
        <v>44.577624999999998</v>
      </c>
      <c r="K114" s="107">
        <v>63.760319000000003</v>
      </c>
      <c r="L114" s="107">
        <v>69.786781000000005</v>
      </c>
      <c r="M114" s="107">
        <v>31.452614000000001</v>
      </c>
      <c r="N114" s="107">
        <v>78.196456999999995</v>
      </c>
    </row>
    <row r="115" spans="2:14" x14ac:dyDescent="0.2">
      <c r="B115" s="16" t="s">
        <v>156</v>
      </c>
      <c r="C115" s="107">
        <v>117.817001</v>
      </c>
      <c r="D115" s="107">
        <v>32.13599</v>
      </c>
      <c r="E115" s="107">
        <v>88.431991999999994</v>
      </c>
      <c r="F115" s="107">
        <v>58.747593000000002</v>
      </c>
      <c r="G115" s="107">
        <v>9.7246570000000006</v>
      </c>
      <c r="H115" s="107">
        <v>609.716858</v>
      </c>
      <c r="I115" s="107">
        <v>136.976776</v>
      </c>
      <c r="J115" s="107">
        <v>38.736656000000004</v>
      </c>
      <c r="K115" s="107">
        <v>61.931316000000002</v>
      </c>
      <c r="L115" s="107">
        <v>72.179473999999999</v>
      </c>
      <c r="M115" s="107">
        <v>31.397345000000001</v>
      </c>
      <c r="N115" s="107">
        <v>79.604979999999998</v>
      </c>
    </row>
    <row r="116" spans="2:14" x14ac:dyDescent="0.2">
      <c r="B116" s="16" t="s">
        <v>157</v>
      </c>
      <c r="C116" s="107">
        <v>122.385834</v>
      </c>
      <c r="D116" s="107">
        <v>34.991912999999997</v>
      </c>
      <c r="E116" s="107">
        <v>94.038391000000004</v>
      </c>
      <c r="F116" s="107">
        <v>59.032004999999998</v>
      </c>
      <c r="G116" s="107">
        <v>9.3128419999999998</v>
      </c>
      <c r="H116" s="107">
        <v>642.80212400000005</v>
      </c>
      <c r="I116" s="107">
        <v>137.96997099999999</v>
      </c>
      <c r="J116" s="107">
        <v>36.785431000000003</v>
      </c>
      <c r="K116" s="107">
        <v>63.348044999999999</v>
      </c>
      <c r="L116" s="107">
        <v>75.941879</v>
      </c>
      <c r="M116" s="107">
        <v>31.733732</v>
      </c>
      <c r="N116" s="107">
        <v>78.323074000000005</v>
      </c>
    </row>
    <row r="117" spans="2:14" x14ac:dyDescent="0.2">
      <c r="B117" s="16" t="s">
        <v>158</v>
      </c>
      <c r="C117" s="107">
        <v>119.706924</v>
      </c>
      <c r="D117" s="107">
        <v>36.268836999999998</v>
      </c>
      <c r="E117" s="107">
        <v>95.396179000000004</v>
      </c>
      <c r="F117" s="107">
        <v>58.384177999999999</v>
      </c>
      <c r="G117" s="107">
        <v>9.3387829999999994</v>
      </c>
      <c r="H117" s="107">
        <v>629.75720200000001</v>
      </c>
      <c r="I117" s="107">
        <v>133.483383</v>
      </c>
      <c r="J117" s="107">
        <v>35.706116000000002</v>
      </c>
      <c r="K117" s="107">
        <v>67.178466999999998</v>
      </c>
      <c r="L117" s="107">
        <v>79.322868</v>
      </c>
      <c r="M117" s="107">
        <v>32.772872999999997</v>
      </c>
      <c r="N117" s="107">
        <v>78.947959999999995</v>
      </c>
    </row>
    <row r="118" spans="2:14" x14ac:dyDescent="0.2">
      <c r="B118" s="16" t="s">
        <v>159</v>
      </c>
      <c r="C118" s="107">
        <v>122.239052</v>
      </c>
      <c r="D118" s="107">
        <v>32.983837000000001</v>
      </c>
      <c r="E118" s="107">
        <v>98.418380999999997</v>
      </c>
      <c r="F118" s="107">
        <v>57.199103999999998</v>
      </c>
      <c r="G118" s="107">
        <v>10.091074000000001</v>
      </c>
      <c r="H118" s="107">
        <v>639.58819600000004</v>
      </c>
      <c r="I118" s="107">
        <v>131.05488600000001</v>
      </c>
      <c r="J118" s="107">
        <v>29.835515999999998</v>
      </c>
      <c r="K118" s="107">
        <v>65.177047999999999</v>
      </c>
      <c r="L118" s="107">
        <v>78.473274000000004</v>
      </c>
      <c r="M118" s="107">
        <v>29.405663000000001</v>
      </c>
      <c r="N118" s="107">
        <v>79.904906999999994</v>
      </c>
    </row>
    <row r="119" spans="2:14" x14ac:dyDescent="0.2">
      <c r="B119" s="16" t="s">
        <v>160</v>
      </c>
      <c r="C119" s="107">
        <v>99.174735999999996</v>
      </c>
      <c r="D119" s="107">
        <v>30.059265</v>
      </c>
      <c r="E119" s="107">
        <v>86.916527000000002</v>
      </c>
      <c r="F119" s="107">
        <v>50.341537000000002</v>
      </c>
      <c r="G119" s="107">
        <v>9.7473550000000007</v>
      </c>
      <c r="H119" s="107">
        <v>595.53735400000005</v>
      </c>
      <c r="I119" s="107">
        <v>122.59704600000001</v>
      </c>
      <c r="J119" s="107">
        <v>22.428488000000002</v>
      </c>
      <c r="K119" s="107">
        <v>62.913283999999997</v>
      </c>
      <c r="L119" s="107">
        <v>78.455948000000006</v>
      </c>
      <c r="M119" s="107">
        <v>25.904862999999999</v>
      </c>
      <c r="N119" s="107">
        <v>72.552398999999994</v>
      </c>
    </row>
    <row r="120" spans="2:14" x14ac:dyDescent="0.2">
      <c r="B120" s="16" t="s">
        <v>161</v>
      </c>
      <c r="C120" s="107">
        <v>54.440593999999997</v>
      </c>
      <c r="D120" s="107">
        <v>18.886158000000002</v>
      </c>
      <c r="E120" s="107">
        <v>67.451842999999997</v>
      </c>
      <c r="F120" s="107">
        <v>46.328113999999999</v>
      </c>
      <c r="G120" s="107">
        <v>6.1039320000000004</v>
      </c>
      <c r="H120" s="107">
        <v>594.40295400000002</v>
      </c>
      <c r="I120" s="107">
        <v>108.402924</v>
      </c>
      <c r="J120" s="107">
        <v>14.990135</v>
      </c>
      <c r="K120" s="107">
        <v>60.072338000000002</v>
      </c>
      <c r="L120" s="107">
        <v>68.122298999999998</v>
      </c>
      <c r="M120" s="107">
        <v>23.886751</v>
      </c>
      <c r="N120" s="107">
        <v>60.128044000000003</v>
      </c>
    </row>
    <row r="121" spans="2:14" x14ac:dyDescent="0.2">
      <c r="B121" s="16" t="s">
        <v>162</v>
      </c>
      <c r="C121" s="107">
        <v>53.101146999999997</v>
      </c>
      <c r="D121" s="107">
        <v>19.685950999999999</v>
      </c>
      <c r="E121" s="107">
        <v>75.108069999999998</v>
      </c>
      <c r="F121" s="107">
        <v>49.978115000000003</v>
      </c>
      <c r="G121" s="107">
        <v>6.4230080000000003</v>
      </c>
      <c r="H121" s="107">
        <v>632.764771</v>
      </c>
      <c r="I121" s="107">
        <v>116.48395499999999</v>
      </c>
      <c r="J121" s="107">
        <v>15.327052999999999</v>
      </c>
      <c r="K121" s="107">
        <v>66.856133</v>
      </c>
      <c r="L121" s="107">
        <v>72.352851999999999</v>
      </c>
      <c r="M121" s="107">
        <v>22.649937000000001</v>
      </c>
      <c r="N121" s="107">
        <v>59.569828000000001</v>
      </c>
    </row>
    <row r="122" spans="2:14" x14ac:dyDescent="0.2">
      <c r="B122" s="16" t="s">
        <v>163</v>
      </c>
      <c r="C122" s="107">
        <v>52.018569999999997</v>
      </c>
      <c r="D122" s="107">
        <v>22.143694</v>
      </c>
      <c r="E122" s="107">
        <v>80.679419999999993</v>
      </c>
      <c r="F122" s="107">
        <v>48.635039999999996</v>
      </c>
      <c r="G122" s="107">
        <v>6.897081</v>
      </c>
      <c r="H122" s="107">
        <v>711.73388699999998</v>
      </c>
      <c r="I122" s="107">
        <v>117.32137299999999</v>
      </c>
      <c r="J122" s="107">
        <v>17.103891000000001</v>
      </c>
      <c r="K122" s="107">
        <v>65.611816000000005</v>
      </c>
      <c r="L122" s="107">
        <v>77.363631999999996</v>
      </c>
      <c r="M122" s="107">
        <v>23.184291999999999</v>
      </c>
      <c r="N122" s="107">
        <v>66.220589000000004</v>
      </c>
    </row>
    <row r="123" spans="2:14" x14ac:dyDescent="0.2">
      <c r="B123" s="16" t="s">
        <v>164</v>
      </c>
      <c r="C123" s="107">
        <v>58.275481999999997</v>
      </c>
      <c r="D123" s="107">
        <v>24.282202000000002</v>
      </c>
      <c r="E123" s="107">
        <v>89.307998999999995</v>
      </c>
      <c r="F123" s="107">
        <v>48.635039999999996</v>
      </c>
      <c r="G123" s="107">
        <v>7.1337919999999997</v>
      </c>
      <c r="H123" s="107">
        <v>707.92687999999998</v>
      </c>
      <c r="I123" s="107">
        <v>117.279488</v>
      </c>
      <c r="J123" s="107">
        <v>19.114370000000001</v>
      </c>
      <c r="K123" s="107">
        <v>70.452354</v>
      </c>
      <c r="L123" s="107">
        <v>88.523476000000002</v>
      </c>
      <c r="M123" s="107">
        <v>23.425619000000001</v>
      </c>
      <c r="N123" s="107">
        <v>65.391250999999997</v>
      </c>
    </row>
    <row r="124" spans="2:14" x14ac:dyDescent="0.2">
      <c r="B124" s="16" t="s">
        <v>165</v>
      </c>
      <c r="C124" s="107">
        <v>56.890143999999999</v>
      </c>
      <c r="D124" s="107">
        <v>23.420622000000002</v>
      </c>
      <c r="E124" s="107">
        <v>97.326430999999999</v>
      </c>
      <c r="F124" s="107">
        <v>44.669029000000002</v>
      </c>
      <c r="G124" s="107">
        <v>7.3218649999999998</v>
      </c>
      <c r="H124" s="107">
        <v>653.104919</v>
      </c>
      <c r="I124" s="107">
        <v>122.262108</v>
      </c>
      <c r="J124" s="107">
        <v>16.976913</v>
      </c>
      <c r="K124" s="107">
        <v>68.820258999999993</v>
      </c>
      <c r="L124" s="107">
        <v>87.950500000000005</v>
      </c>
      <c r="M124" s="107">
        <v>22.007014999999999</v>
      </c>
      <c r="N124" s="107">
        <v>58.916626000000001</v>
      </c>
    </row>
    <row r="125" spans="2:14" x14ac:dyDescent="0.2">
      <c r="B125" s="16" t="s">
        <v>166</v>
      </c>
      <c r="C125" s="107">
        <v>63.156227000000001</v>
      </c>
      <c r="D125" s="107">
        <v>25.102594</v>
      </c>
      <c r="E125" s="107">
        <v>103.103798</v>
      </c>
      <c r="F125" s="107">
        <v>45.071907000000003</v>
      </c>
      <c r="G125" s="107">
        <v>7.5585769999999997</v>
      </c>
      <c r="H125" s="107">
        <v>684.70361300000002</v>
      </c>
      <c r="I125" s="107">
        <v>121.177277</v>
      </c>
      <c r="J125" s="107">
        <v>20.180983999999999</v>
      </c>
      <c r="K125" s="107">
        <v>65.960189999999997</v>
      </c>
      <c r="L125" s="107">
        <v>92.883392000000001</v>
      </c>
      <c r="M125" s="107">
        <v>23.272594000000002</v>
      </c>
      <c r="N125" s="107">
        <v>63.594349000000001</v>
      </c>
    </row>
    <row r="126" spans="2:14" x14ac:dyDescent="0.2">
      <c r="B126" s="16" t="s">
        <v>167</v>
      </c>
      <c r="C126" s="107">
        <v>56.945197999999998</v>
      </c>
      <c r="D126" s="107">
        <v>21.264948</v>
      </c>
      <c r="E126" s="107">
        <v>97.548630000000003</v>
      </c>
      <c r="F126" s="107">
        <v>45.170071</v>
      </c>
      <c r="G126" s="107">
        <v>7.406174</v>
      </c>
      <c r="H126" s="107">
        <v>700.69348100000002</v>
      </c>
      <c r="I126" s="107">
        <v>114.970657</v>
      </c>
      <c r="J126" s="107">
        <v>18.788460000000001</v>
      </c>
      <c r="K126" s="107">
        <v>66.317711000000003</v>
      </c>
      <c r="L126" s="107">
        <v>94.942504999999997</v>
      </c>
      <c r="M126" s="107">
        <v>20.530508000000001</v>
      </c>
      <c r="N126" s="107">
        <v>57.88073</v>
      </c>
    </row>
    <row r="127" spans="2:14" x14ac:dyDescent="0.2">
      <c r="B127" s="16" t="s">
        <v>168</v>
      </c>
      <c r="C127" s="107">
        <v>57.422255999999997</v>
      </c>
      <c r="D127" s="107">
        <v>20.496046</v>
      </c>
      <c r="E127" s="107">
        <v>88.118178999999998</v>
      </c>
      <c r="F127" s="107">
        <v>38.773293000000002</v>
      </c>
      <c r="G127" s="107">
        <v>6.7349500000000004</v>
      </c>
      <c r="H127" s="107">
        <v>760.46453899999995</v>
      </c>
      <c r="I127" s="107">
        <v>116.870628</v>
      </c>
      <c r="J127" s="107">
        <v>17.992733000000001</v>
      </c>
      <c r="K127" s="107">
        <v>60.131270999999998</v>
      </c>
      <c r="L127" s="107">
        <v>93.286263000000005</v>
      </c>
      <c r="M127" s="107">
        <v>18.576439000000001</v>
      </c>
      <c r="N127" s="107">
        <v>54.886341000000002</v>
      </c>
    </row>
    <row r="128" spans="2:14" x14ac:dyDescent="0.2">
      <c r="B128" s="16" t="s">
        <v>169</v>
      </c>
      <c r="C128" s="107">
        <v>80.486587999999998</v>
      </c>
      <c r="D128" s="107">
        <v>29.496320999999998</v>
      </c>
      <c r="E128" s="107">
        <v>103.370445</v>
      </c>
      <c r="F128" s="107">
        <v>44.057589999999998</v>
      </c>
      <c r="G128" s="107">
        <v>8.0222750000000005</v>
      </c>
      <c r="H128" s="107">
        <v>777.97723399999995</v>
      </c>
      <c r="I128" s="107">
        <v>135.11056500000001</v>
      </c>
      <c r="J128" s="107">
        <v>28.235600999999999</v>
      </c>
      <c r="K128" s="107">
        <v>65.835846000000004</v>
      </c>
      <c r="L128" s="107">
        <v>104.43227400000001</v>
      </c>
      <c r="M128" s="107">
        <v>25.774636999999998</v>
      </c>
      <c r="N128" s="107">
        <v>69.194648999999998</v>
      </c>
    </row>
    <row r="129" spans="2:14" x14ac:dyDescent="0.2">
      <c r="B129" s="16" t="s">
        <v>170</v>
      </c>
      <c r="C129" s="107">
        <v>82.367324999999994</v>
      </c>
      <c r="D129" s="107">
        <v>29.59243</v>
      </c>
      <c r="E129" s="107">
        <v>112.70311700000001</v>
      </c>
      <c r="F129" s="107">
        <v>43.975783999999997</v>
      </c>
      <c r="G129" s="107">
        <v>8.1195550000000001</v>
      </c>
      <c r="H129" s="107">
        <v>837.177368</v>
      </c>
      <c r="I129" s="107">
        <v>132.40837099999999</v>
      </c>
      <c r="J129" s="107">
        <v>30.271470999999998</v>
      </c>
      <c r="K129" s="107">
        <v>61.164935999999997</v>
      </c>
      <c r="L129" s="107">
        <v>105.909462</v>
      </c>
      <c r="M129" s="107">
        <v>25.396915</v>
      </c>
      <c r="N129" s="107">
        <v>65.844200000000001</v>
      </c>
    </row>
    <row r="130" spans="2:14" x14ac:dyDescent="0.2">
      <c r="B130" s="16" t="s">
        <v>171</v>
      </c>
      <c r="C130" s="107">
        <v>76.330596999999997</v>
      </c>
      <c r="D130" s="107">
        <v>27.309753000000001</v>
      </c>
      <c r="E130" s="107">
        <v>106.214691</v>
      </c>
      <c r="F130" s="107">
        <v>44.957394000000001</v>
      </c>
      <c r="G130" s="107">
        <v>8.3141110000000005</v>
      </c>
      <c r="H130" s="107">
        <v>801.96179199999995</v>
      </c>
      <c r="I130" s="107">
        <v>132.731506</v>
      </c>
      <c r="J130" s="107">
        <v>29.831291</v>
      </c>
      <c r="K130" s="107">
        <v>59.960289000000003</v>
      </c>
      <c r="L130" s="107">
        <v>108.281898</v>
      </c>
      <c r="M130" s="107">
        <v>25.105533999999999</v>
      </c>
      <c r="N130" s="107">
        <v>61.975760999999999</v>
      </c>
    </row>
    <row r="131" spans="2:14" x14ac:dyDescent="0.2">
      <c r="B131" s="16" t="s">
        <v>172</v>
      </c>
      <c r="C131" s="107">
        <v>87.991211000000007</v>
      </c>
      <c r="D131" s="107">
        <v>33.828259000000003</v>
      </c>
      <c r="E131" s="107">
        <v>118.34715300000001</v>
      </c>
      <c r="F131" s="107">
        <v>46.184390999999998</v>
      </c>
      <c r="G131" s="107">
        <v>7.8374439999999996</v>
      </c>
      <c r="H131" s="107">
        <v>878.67443800000001</v>
      </c>
      <c r="I131" s="107">
        <v>134.138092</v>
      </c>
      <c r="J131" s="107">
        <v>31.426971000000002</v>
      </c>
      <c r="K131" s="107">
        <v>58.911076000000001</v>
      </c>
      <c r="L131" s="107">
        <v>109.982895</v>
      </c>
      <c r="M131" s="107">
        <v>28.135300000000001</v>
      </c>
      <c r="N131" s="107">
        <v>69.631682999999995</v>
      </c>
    </row>
    <row r="132" spans="2:14" x14ac:dyDescent="0.2">
      <c r="B132" s="16" t="s">
        <v>173</v>
      </c>
      <c r="C132" s="107">
        <v>88.569191000000004</v>
      </c>
      <c r="D132" s="107">
        <v>35.616641999999999</v>
      </c>
      <c r="E132" s="107">
        <v>128.96864299999999</v>
      </c>
      <c r="F132" s="107">
        <v>47.853119</v>
      </c>
      <c r="G132" s="107">
        <v>7.8504149999999999</v>
      </c>
      <c r="H132" s="107">
        <v>898.47131300000001</v>
      </c>
      <c r="I132" s="107">
        <v>136.43980400000001</v>
      </c>
      <c r="J132" s="107">
        <v>31.261904000000001</v>
      </c>
      <c r="K132" s="107">
        <v>65.478340000000003</v>
      </c>
      <c r="L132" s="107">
        <v>116.607834</v>
      </c>
      <c r="M132" s="107">
        <v>29.161728</v>
      </c>
      <c r="N132" s="107">
        <v>70.699959000000007</v>
      </c>
    </row>
    <row r="133" spans="2:14" x14ac:dyDescent="0.2">
      <c r="B133" s="16" t="s">
        <v>174</v>
      </c>
      <c r="C133" s="107">
        <v>91.688468999999998</v>
      </c>
      <c r="D133" s="107">
        <v>36.653289999999998</v>
      </c>
      <c r="E133" s="107">
        <v>135.45704699999999</v>
      </c>
      <c r="F133" s="107">
        <v>47.959457</v>
      </c>
      <c r="G133" s="107">
        <v>8.0222750000000005</v>
      </c>
      <c r="H133" s="107">
        <v>995.25567599999999</v>
      </c>
      <c r="I133" s="107">
        <v>145.518753</v>
      </c>
      <c r="J133" s="107">
        <v>28.379507</v>
      </c>
      <c r="K133" s="107">
        <v>67.825462000000002</v>
      </c>
      <c r="L133" s="107">
        <v>119.087715</v>
      </c>
      <c r="M133" s="107">
        <v>27.451097000000001</v>
      </c>
      <c r="N133" s="107">
        <v>73.969489999999993</v>
      </c>
    </row>
    <row r="134" spans="2:14" x14ac:dyDescent="0.2">
      <c r="B134" s="16" t="s">
        <v>175</v>
      </c>
      <c r="C134" s="107">
        <v>97.853629999999995</v>
      </c>
      <c r="D134" s="107">
        <v>38.342117000000002</v>
      </c>
      <c r="E134" s="107">
        <v>135.67926</v>
      </c>
      <c r="F134" s="107">
        <v>47.689518</v>
      </c>
      <c r="G134" s="107">
        <v>7.8795979999999997</v>
      </c>
      <c r="H134" s="107">
        <v>1098.6898189999999</v>
      </c>
      <c r="I134" s="107">
        <v>153.57467700000001</v>
      </c>
      <c r="J134" s="107">
        <v>28.641928</v>
      </c>
      <c r="K134" s="107">
        <v>67.592308000000003</v>
      </c>
      <c r="L134" s="107">
        <v>115.84685500000001</v>
      </c>
      <c r="M134" s="107">
        <v>28.256176</v>
      </c>
      <c r="N134" s="107">
        <v>76.903396999999998</v>
      </c>
    </row>
    <row r="135" spans="2:14" x14ac:dyDescent="0.2">
      <c r="B135" s="16" t="s">
        <v>176</v>
      </c>
      <c r="C135" s="107">
        <v>99.486664000000005</v>
      </c>
      <c r="D135" s="107">
        <v>37.027092000000003</v>
      </c>
      <c r="E135" s="107">
        <v>143.989777</v>
      </c>
      <c r="F135" s="107">
        <v>50.211326999999997</v>
      </c>
      <c r="G135" s="107">
        <v>7.8079109999999998</v>
      </c>
      <c r="H135" s="107">
        <v>1174.4846190000001</v>
      </c>
      <c r="I135" s="107">
        <v>159.584686</v>
      </c>
      <c r="J135" s="107">
        <v>28.853553999999999</v>
      </c>
      <c r="K135" s="107">
        <v>71.314544999999995</v>
      </c>
      <c r="L135" s="107">
        <v>121.116631</v>
      </c>
      <c r="M135" s="107">
        <v>28.442537000000002</v>
      </c>
      <c r="N135" s="107">
        <v>74.478438999999995</v>
      </c>
    </row>
    <row r="136" spans="2:14" x14ac:dyDescent="0.2">
      <c r="B136" s="16" t="s">
        <v>177</v>
      </c>
      <c r="C136" s="107">
        <v>106.14724</v>
      </c>
      <c r="D136" s="107">
        <v>36.032608000000003</v>
      </c>
      <c r="E136" s="107">
        <v>164.08528100000001</v>
      </c>
      <c r="F136" s="107">
        <v>52.486359</v>
      </c>
      <c r="G136" s="107">
        <v>7.6038269999999999</v>
      </c>
      <c r="H136" s="107">
        <v>1232.3244629999999</v>
      </c>
      <c r="I136" s="107">
        <v>158.646973</v>
      </c>
      <c r="J136" s="107">
        <v>27.109732000000001</v>
      </c>
      <c r="K136" s="107">
        <v>70.120056000000005</v>
      </c>
      <c r="L136" s="107">
        <v>128.98538199999999</v>
      </c>
      <c r="M136" s="107">
        <v>27.816428999999999</v>
      </c>
      <c r="N136" s="107">
        <v>73.83287</v>
      </c>
    </row>
    <row r="137" spans="2:14" x14ac:dyDescent="0.2">
      <c r="B137" s="16" t="s">
        <v>178</v>
      </c>
      <c r="C137" s="107">
        <v>106.14724</v>
      </c>
      <c r="D137" s="107">
        <v>37.629382999999997</v>
      </c>
      <c r="E137" s="107">
        <v>171.197891</v>
      </c>
      <c r="F137" s="107">
        <v>52.325668</v>
      </c>
      <c r="G137" s="107">
        <v>8.1985100000000006</v>
      </c>
      <c r="H137" s="107">
        <v>1189.7811280000001</v>
      </c>
      <c r="I137" s="107">
        <v>152.80311599999999</v>
      </c>
      <c r="J137" s="107">
        <v>26.622982</v>
      </c>
      <c r="K137" s="107">
        <v>70.717292999999998</v>
      </c>
      <c r="L137" s="107">
        <v>138.11386100000001</v>
      </c>
      <c r="M137" s="107">
        <v>28.305302000000001</v>
      </c>
      <c r="N137" s="107">
        <v>75.223297000000002</v>
      </c>
    </row>
    <row r="138" spans="2:14" x14ac:dyDescent="0.2">
      <c r="B138" s="16" t="s">
        <v>179</v>
      </c>
      <c r="C138" s="107">
        <v>105.596771</v>
      </c>
      <c r="D138" s="107">
        <v>38.826973000000002</v>
      </c>
      <c r="E138" s="107">
        <v>162.19458</v>
      </c>
      <c r="F138" s="107">
        <v>49.940688999999999</v>
      </c>
      <c r="G138" s="107">
        <v>7.6646470000000004</v>
      </c>
      <c r="H138" s="107">
        <v>1143.8916019999999</v>
      </c>
      <c r="I138" s="107">
        <v>163.751373</v>
      </c>
      <c r="J138" s="107">
        <v>26.153168000000001</v>
      </c>
      <c r="K138" s="107">
        <v>67.053100999999998</v>
      </c>
      <c r="L138" s="107">
        <v>131.35878</v>
      </c>
      <c r="M138" s="107">
        <v>31.329481000000001</v>
      </c>
      <c r="N138" s="107">
        <v>74.610862999999995</v>
      </c>
    </row>
    <row r="139" spans="2:14" x14ac:dyDescent="0.2">
      <c r="B139" s="16" t="s">
        <v>180</v>
      </c>
      <c r="C139" s="107">
        <v>101.468323</v>
      </c>
      <c r="D139" s="107">
        <v>41.693618999999998</v>
      </c>
      <c r="E139" s="107">
        <v>181.23658800000001</v>
      </c>
      <c r="F139" s="107">
        <v>47.657210999999997</v>
      </c>
      <c r="G139" s="107">
        <v>8.3093369999999993</v>
      </c>
      <c r="H139" s="107">
        <v>1310.240967</v>
      </c>
      <c r="I139" s="107">
        <v>170.62086500000001</v>
      </c>
      <c r="J139" s="107">
        <v>26.292839000000001</v>
      </c>
      <c r="K139" s="107">
        <v>69.756859000000006</v>
      </c>
      <c r="L139" s="107">
        <v>135.92301900000001</v>
      </c>
      <c r="M139" s="107">
        <v>33.455337999999998</v>
      </c>
      <c r="N139" s="107">
        <v>76.448188999999999</v>
      </c>
    </row>
    <row r="140" spans="2:14" x14ac:dyDescent="0.2">
      <c r="B140" s="16" t="s">
        <v>181</v>
      </c>
      <c r="C140" s="107">
        <v>90.569198999999998</v>
      </c>
      <c r="D140" s="107">
        <v>39.662951999999997</v>
      </c>
      <c r="E140" s="107">
        <v>183.757507</v>
      </c>
      <c r="F140" s="107">
        <v>43.969802999999999</v>
      </c>
      <c r="G140" s="107">
        <v>8.6566869999999998</v>
      </c>
      <c r="H140" s="107">
        <v>1580.3195800000001</v>
      </c>
      <c r="I140" s="107">
        <v>173.88385</v>
      </c>
      <c r="J140" s="107">
        <v>24.091894</v>
      </c>
      <c r="K140" s="107">
        <v>67.682640000000006</v>
      </c>
      <c r="L140" s="107">
        <v>142.60507200000001</v>
      </c>
      <c r="M140" s="107">
        <v>31.32629</v>
      </c>
      <c r="N140" s="107">
        <v>69.239540000000005</v>
      </c>
    </row>
    <row r="141" spans="2:14" x14ac:dyDescent="0.2">
      <c r="B141" s="16" t="s">
        <v>182</v>
      </c>
      <c r="C141" s="107">
        <v>103.083</v>
      </c>
      <c r="D141" s="107">
        <v>43.760300000000001</v>
      </c>
      <c r="E141" s="107">
        <v>194.021286</v>
      </c>
      <c r="F141" s="107">
        <v>46.168712999999997</v>
      </c>
      <c r="G141" s="107">
        <v>8.7945430000000009</v>
      </c>
      <c r="H141" s="107">
        <v>1468.464111</v>
      </c>
      <c r="I141" s="107">
        <v>183.157028</v>
      </c>
      <c r="J141" s="107">
        <v>25.856884000000001</v>
      </c>
      <c r="K141" s="107">
        <v>71.492103999999998</v>
      </c>
      <c r="L141" s="107">
        <v>157.42971800000001</v>
      </c>
      <c r="M141" s="107">
        <v>34.427295999999998</v>
      </c>
      <c r="N141" s="107">
        <v>77.426963999999998</v>
      </c>
    </row>
    <row r="142" spans="2:14" x14ac:dyDescent="0.2">
      <c r="B142" s="16" t="s">
        <v>183</v>
      </c>
      <c r="C142" s="107">
        <v>102.86282300000001</v>
      </c>
      <c r="D142" s="107">
        <v>45.366115999999998</v>
      </c>
      <c r="E142" s="107">
        <v>177.77029400000001</v>
      </c>
      <c r="F142" s="107">
        <v>46.726897999999998</v>
      </c>
      <c r="G142" s="107">
        <v>9.1594630000000006</v>
      </c>
      <c r="H142" s="107">
        <v>1260.5275879999999</v>
      </c>
      <c r="I142" s="107">
        <v>163.672256</v>
      </c>
      <c r="J142" s="107">
        <v>29.556168</v>
      </c>
      <c r="K142" s="107">
        <v>74.857665999999995</v>
      </c>
      <c r="L142" s="107">
        <v>136.342941</v>
      </c>
      <c r="M142" s="107">
        <v>38.739376</v>
      </c>
      <c r="N142" s="107">
        <v>80.552031999999997</v>
      </c>
    </row>
    <row r="143" spans="2:14" x14ac:dyDescent="0.2">
      <c r="B143" s="16" t="s">
        <v>184</v>
      </c>
      <c r="C143" s="107">
        <v>105.413292</v>
      </c>
      <c r="D143" s="107">
        <v>37.812297999999998</v>
      </c>
      <c r="E143" s="107">
        <v>169.53228799999999</v>
      </c>
      <c r="F143" s="107">
        <v>45.931910999999999</v>
      </c>
      <c r="G143" s="107">
        <v>9.6419669999999993</v>
      </c>
      <c r="H143" s="107">
        <v>1187.390991</v>
      </c>
      <c r="I143" s="107">
        <v>169.43109100000001</v>
      </c>
      <c r="J143" s="107">
        <v>24.159617999999998</v>
      </c>
      <c r="K143" s="107">
        <v>75.438782000000003</v>
      </c>
      <c r="L143" s="107">
        <v>127.59783899999999</v>
      </c>
      <c r="M143" s="107">
        <v>35.695704999999997</v>
      </c>
      <c r="N143" s="107">
        <v>78.768653999999998</v>
      </c>
    </row>
    <row r="144" spans="2:14" x14ac:dyDescent="0.2">
      <c r="B144" s="16" t="s">
        <v>185</v>
      </c>
      <c r="C144" s="107">
        <v>101.248138</v>
      </c>
      <c r="D144" s="107">
        <v>37.394641999999997</v>
      </c>
      <c r="E144" s="107">
        <v>182.316971</v>
      </c>
      <c r="F144" s="107">
        <v>42.312159999999999</v>
      </c>
      <c r="G144" s="107">
        <v>8.0647059999999993</v>
      </c>
      <c r="H144" s="107">
        <v>1237.2857670000001</v>
      </c>
      <c r="I144" s="107">
        <v>172.591949</v>
      </c>
      <c r="J144" s="107">
        <v>20.210611</v>
      </c>
      <c r="K144" s="107">
        <v>74.663962999999995</v>
      </c>
      <c r="L144" s="107">
        <v>138.89889500000001</v>
      </c>
      <c r="M144" s="107">
        <v>36.040210999999999</v>
      </c>
      <c r="N144" s="107">
        <v>77.493613999999994</v>
      </c>
    </row>
    <row r="145" spans="2:14" x14ac:dyDescent="0.2">
      <c r="B145" s="16" t="s">
        <v>186</v>
      </c>
      <c r="C145" s="107">
        <v>96.826103000000003</v>
      </c>
      <c r="D145" s="107">
        <v>35.792427000000004</v>
      </c>
      <c r="E145" s="107">
        <v>176.55487099999999</v>
      </c>
      <c r="F145" s="107">
        <v>48.748207000000001</v>
      </c>
      <c r="G145" s="107">
        <v>7.6511319999999996</v>
      </c>
      <c r="H145" s="107">
        <v>1136.6936040000001</v>
      </c>
      <c r="I145" s="107">
        <v>171.163071</v>
      </c>
      <c r="J145" s="107">
        <v>19.956657</v>
      </c>
      <c r="K145" s="107">
        <v>81.661445999999998</v>
      </c>
      <c r="L145" s="107">
        <v>125.699127</v>
      </c>
      <c r="M145" s="107">
        <v>37.516800000000003</v>
      </c>
      <c r="N145" s="107">
        <v>77.368613999999994</v>
      </c>
    </row>
    <row r="146" spans="2:14" x14ac:dyDescent="0.2">
      <c r="B146" s="16" t="s">
        <v>187</v>
      </c>
      <c r="C146" s="107">
        <v>101.229462</v>
      </c>
      <c r="D146" s="107">
        <v>38.244354000000001</v>
      </c>
      <c r="E146" s="107">
        <v>162.509705</v>
      </c>
      <c r="F146" s="107">
        <v>46.287120999999999</v>
      </c>
      <c r="G146" s="107">
        <v>9.0837719999999997</v>
      </c>
      <c r="H146" s="107">
        <v>1068.1713870000001</v>
      </c>
      <c r="I146" s="107">
        <v>158.04331999999999</v>
      </c>
      <c r="J146" s="107">
        <v>21.628526999999998</v>
      </c>
      <c r="K146" s="107">
        <v>80.646866000000003</v>
      </c>
      <c r="L146" s="107">
        <v>117.793854</v>
      </c>
      <c r="M146" s="107">
        <v>44.162182000000001</v>
      </c>
      <c r="N146" s="107">
        <v>76.565971000000005</v>
      </c>
    </row>
    <row r="147" spans="2:14" x14ac:dyDescent="0.2">
      <c r="B147" s="16" t="s">
        <v>188</v>
      </c>
      <c r="C147" s="107">
        <v>86.032944000000001</v>
      </c>
      <c r="D147" s="107">
        <v>35.063065000000002</v>
      </c>
      <c r="E147" s="107">
        <v>147.159042</v>
      </c>
      <c r="F147" s="107">
        <v>46.663628000000003</v>
      </c>
      <c r="G147" s="107">
        <v>7.9715619999999996</v>
      </c>
      <c r="H147" s="107">
        <v>1026.791626</v>
      </c>
      <c r="I147" s="107">
        <v>151.80818199999999</v>
      </c>
      <c r="J147" s="107">
        <v>20.138656999999998</v>
      </c>
      <c r="K147" s="107">
        <v>80.887634000000006</v>
      </c>
      <c r="L147" s="107">
        <v>105.456879</v>
      </c>
      <c r="M147" s="107">
        <v>40.015270000000001</v>
      </c>
      <c r="N147" s="107">
        <v>72.536179000000004</v>
      </c>
    </row>
    <row r="148" spans="2:14" x14ac:dyDescent="0.2">
      <c r="B148" s="16" t="s">
        <v>189</v>
      </c>
      <c r="C148" s="107">
        <v>97.600159000000005</v>
      </c>
      <c r="D148" s="107">
        <v>35.55386</v>
      </c>
      <c r="E148" s="107">
        <v>169.12506099999999</v>
      </c>
      <c r="F148" s="107">
        <v>47.145515000000003</v>
      </c>
      <c r="G148" s="107">
        <v>8.7668280000000003</v>
      </c>
      <c r="H148" s="107">
        <v>1283.730225</v>
      </c>
      <c r="I148" s="107">
        <v>165.837234</v>
      </c>
      <c r="J148" s="107">
        <v>24.333152999999999</v>
      </c>
      <c r="K148" s="107">
        <v>81.618094999999997</v>
      </c>
      <c r="L148" s="107">
        <v>125.670219</v>
      </c>
      <c r="M148" s="107">
        <v>40.056789000000002</v>
      </c>
      <c r="N148" s="107">
        <v>79.724898999999994</v>
      </c>
    </row>
    <row r="149" spans="2:14" x14ac:dyDescent="0.2">
      <c r="B149" s="16" t="s">
        <v>190</v>
      </c>
      <c r="C149" s="107">
        <v>91.095344999999995</v>
      </c>
      <c r="D149" s="107">
        <v>35.928722</v>
      </c>
      <c r="E149" s="107">
        <v>157.85612499999999</v>
      </c>
      <c r="F149" s="107">
        <v>46.006518999999997</v>
      </c>
      <c r="G149" s="107">
        <v>8.6272559999999991</v>
      </c>
      <c r="H149" s="107">
        <v>1234.1710210000001</v>
      </c>
      <c r="I149" s="107">
        <v>160.370453</v>
      </c>
      <c r="J149" s="107">
        <v>24.218874</v>
      </c>
      <c r="K149" s="107">
        <v>68.998810000000006</v>
      </c>
      <c r="L149" s="107">
        <v>110.949219</v>
      </c>
      <c r="M149" s="107">
        <v>40.805442999999997</v>
      </c>
      <c r="N149" s="107">
        <v>78.760154999999997</v>
      </c>
    </row>
    <row r="150" spans="2:14" x14ac:dyDescent="0.2">
      <c r="B150" s="16" t="s">
        <v>191</v>
      </c>
      <c r="C150" s="107">
        <v>82.720039</v>
      </c>
      <c r="D150" s="107">
        <v>33.702744000000003</v>
      </c>
      <c r="E150" s="107">
        <v>151.01265000000001</v>
      </c>
      <c r="F150" s="107">
        <v>42.554496999999998</v>
      </c>
      <c r="G150" s="107">
        <v>8.6083560000000006</v>
      </c>
      <c r="H150" s="107">
        <v>1171.139404</v>
      </c>
      <c r="I150" s="107">
        <v>165.00114400000001</v>
      </c>
      <c r="J150" s="107">
        <v>23.677101</v>
      </c>
      <c r="K150" s="107">
        <v>65.825103999999996</v>
      </c>
      <c r="L150" s="107">
        <v>109.23053</v>
      </c>
      <c r="M150" s="107">
        <v>38.861365999999997</v>
      </c>
      <c r="N150" s="107">
        <v>71.007926999999995</v>
      </c>
    </row>
    <row r="151" spans="2:14" x14ac:dyDescent="0.2">
      <c r="B151" s="16" t="s">
        <v>192</v>
      </c>
      <c r="C151" s="107">
        <v>101.973938</v>
      </c>
      <c r="D151" s="107">
        <v>36.709358000000002</v>
      </c>
      <c r="E151" s="107">
        <v>151.69700599999999</v>
      </c>
      <c r="F151" s="107">
        <v>44.105282000000003</v>
      </c>
      <c r="G151" s="107">
        <v>9.5620940000000001</v>
      </c>
      <c r="H151" s="107">
        <v>1261.115845</v>
      </c>
      <c r="I151" s="107">
        <v>155.25920099999999</v>
      </c>
      <c r="J151" s="107">
        <v>26.385960000000001</v>
      </c>
      <c r="K151" s="107">
        <v>73.322792000000007</v>
      </c>
      <c r="L151" s="107">
        <v>119.80423</v>
      </c>
      <c r="M151" s="107">
        <v>44.990710999999997</v>
      </c>
      <c r="N151" s="107">
        <v>79.554152999999999</v>
      </c>
    </row>
    <row r="152" spans="2:14" x14ac:dyDescent="0.2">
      <c r="B152" s="16" t="s">
        <v>193</v>
      </c>
      <c r="C152" s="107">
        <v>101.62030799999999</v>
      </c>
      <c r="D152" s="107">
        <v>41.296576999999999</v>
      </c>
      <c r="E152" s="107">
        <v>156.031204</v>
      </c>
      <c r="F152" s="107">
        <v>43.877482999999998</v>
      </c>
      <c r="G152" s="107">
        <v>10.555085999999999</v>
      </c>
      <c r="H152" s="107">
        <v>1484.373413</v>
      </c>
      <c r="I152" s="107">
        <v>165.08850100000001</v>
      </c>
      <c r="J152" s="107">
        <v>29.467281</v>
      </c>
      <c r="K152" s="107">
        <v>72.609131000000005</v>
      </c>
      <c r="L152" s="107">
        <v>129.761459</v>
      </c>
      <c r="M152" s="107">
        <v>49.244830999999998</v>
      </c>
      <c r="N152" s="107">
        <v>82.491118999999998</v>
      </c>
    </row>
    <row r="153" spans="2:14" x14ac:dyDescent="0.2">
      <c r="B153" s="16" t="s">
        <v>194</v>
      </c>
      <c r="C153" s="107">
        <v>103.31397200000001</v>
      </c>
      <c r="D153" s="107">
        <v>41.157454999999999</v>
      </c>
      <c r="E153" s="107">
        <v>142.29863</v>
      </c>
      <c r="F153" s="107">
        <v>43.132755000000003</v>
      </c>
      <c r="G153" s="107">
        <v>9.7321969999999993</v>
      </c>
      <c r="H153" s="107">
        <v>1390.5474850000001</v>
      </c>
      <c r="I153" s="107">
        <v>162.73026999999999</v>
      </c>
      <c r="J153" s="107">
        <v>26.474844000000001</v>
      </c>
      <c r="K153" s="107">
        <v>75.430190999999994</v>
      </c>
      <c r="L153" s="107">
        <v>122.10206599999999</v>
      </c>
      <c r="M153" s="107">
        <v>47.889392999999998</v>
      </c>
      <c r="N153" s="107">
        <v>80.494124999999997</v>
      </c>
    </row>
    <row r="154" spans="2:14" x14ac:dyDescent="0.2">
      <c r="B154" s="16" t="s">
        <v>195</v>
      </c>
      <c r="C154" s="107">
        <v>106.86882</v>
      </c>
      <c r="D154" s="107">
        <v>48.616034999999997</v>
      </c>
      <c r="E154" s="107">
        <v>158.67733799999999</v>
      </c>
      <c r="F154" s="107">
        <v>44.078994999999999</v>
      </c>
      <c r="G154" s="107">
        <v>9.4646840000000001</v>
      </c>
      <c r="H154" s="107">
        <v>1649.8916019999999</v>
      </c>
      <c r="I154" s="107">
        <v>168.17675800000001</v>
      </c>
      <c r="J154" s="107">
        <v>31.524321</v>
      </c>
      <c r="K154" s="107">
        <v>75.287459999999996</v>
      </c>
      <c r="L154" s="107">
        <v>138.541763</v>
      </c>
      <c r="M154" s="107">
        <v>47.331291</v>
      </c>
      <c r="N154" s="107">
        <v>89.424507000000006</v>
      </c>
    </row>
    <row r="155" spans="2:14" x14ac:dyDescent="0.2">
      <c r="B155" s="16" t="s">
        <v>196</v>
      </c>
      <c r="C155" s="107">
        <v>115.411629</v>
      </c>
      <c r="D155" s="107">
        <v>51.127997999999998</v>
      </c>
      <c r="E155" s="107">
        <v>162.281586</v>
      </c>
      <c r="F155" s="107">
        <v>46.646107000000001</v>
      </c>
      <c r="G155" s="107">
        <v>10.057862999999999</v>
      </c>
      <c r="H155" s="107">
        <v>1650.854126</v>
      </c>
      <c r="I155" s="107">
        <v>175.084518</v>
      </c>
      <c r="J155" s="107">
        <v>35.951611</v>
      </c>
      <c r="K155" s="107">
        <v>74.632576</v>
      </c>
      <c r="L155" s="107">
        <v>142.09123199999999</v>
      </c>
      <c r="M155" s="107">
        <v>49.231236000000003</v>
      </c>
      <c r="N155" s="107">
        <v>93.048416000000003</v>
      </c>
    </row>
    <row r="156" spans="2:14" x14ac:dyDescent="0.2">
      <c r="B156" s="16" t="s">
        <v>197</v>
      </c>
      <c r="C156" s="107">
        <v>114.723</v>
      </c>
      <c r="D156" s="107">
        <v>42.672359</v>
      </c>
      <c r="E156" s="107">
        <v>155.803101</v>
      </c>
      <c r="F156" s="107">
        <v>50.212029000000001</v>
      </c>
      <c r="G156" s="107">
        <v>10.594341</v>
      </c>
      <c r="H156" s="107">
        <v>1797.359009</v>
      </c>
      <c r="I156" s="107">
        <v>184.82615699999999</v>
      </c>
      <c r="J156" s="107">
        <v>31.829063000000001</v>
      </c>
      <c r="K156" s="107">
        <v>84.162102000000004</v>
      </c>
      <c r="L156" s="107">
        <v>143.54837000000001</v>
      </c>
      <c r="M156" s="107">
        <v>45.692512999999998</v>
      </c>
      <c r="N156" s="107">
        <v>91.219207999999995</v>
      </c>
    </row>
    <row r="157" spans="2:14" x14ac:dyDescent="0.2">
      <c r="B157" s="16" t="s">
        <v>198</v>
      </c>
      <c r="C157" s="107">
        <v>118.315071</v>
      </c>
      <c r="D157" s="107">
        <v>45.284798000000002</v>
      </c>
      <c r="E157" s="107">
        <v>150.46517900000001</v>
      </c>
      <c r="F157" s="107">
        <v>52.560104000000003</v>
      </c>
      <c r="G157" s="107">
        <v>10.552178</v>
      </c>
      <c r="H157" s="107">
        <v>1896.4837649999999</v>
      </c>
      <c r="I157" s="107">
        <v>185.44610599999999</v>
      </c>
      <c r="J157" s="107">
        <v>28.468391</v>
      </c>
      <c r="K157" s="107">
        <v>83.960587000000004</v>
      </c>
      <c r="L157" s="107">
        <v>147.415436</v>
      </c>
      <c r="M157" s="107">
        <v>49.318053999999997</v>
      </c>
      <c r="N157" s="107">
        <v>96.810387000000006</v>
      </c>
    </row>
    <row r="158" spans="2:14" x14ac:dyDescent="0.2">
      <c r="B158" s="16" t="s">
        <v>199</v>
      </c>
      <c r="C158" s="107">
        <v>115.657753</v>
      </c>
      <c r="D158" s="107">
        <v>41.744869000000001</v>
      </c>
      <c r="E158" s="107">
        <v>148.549026</v>
      </c>
      <c r="F158" s="107">
        <v>48.486015000000002</v>
      </c>
      <c r="G158" s="107">
        <v>11.227790000000001</v>
      </c>
      <c r="H158" s="107">
        <v>1842.4986570000001</v>
      </c>
      <c r="I158" s="107">
        <v>178.98117099999999</v>
      </c>
      <c r="J158" s="107">
        <v>26.483307</v>
      </c>
      <c r="K158" s="107">
        <v>79.661811999999998</v>
      </c>
      <c r="L158" s="107">
        <v>150.703384</v>
      </c>
      <c r="M158" s="107">
        <v>45.181258999999997</v>
      </c>
      <c r="N158" s="107">
        <v>94.283264000000003</v>
      </c>
    </row>
    <row r="159" spans="2:14" x14ac:dyDescent="0.2">
      <c r="B159" s="16" t="s">
        <v>200</v>
      </c>
      <c r="C159" s="107">
        <v>124.926224</v>
      </c>
      <c r="D159" s="107">
        <v>47.722076000000001</v>
      </c>
      <c r="E159" s="107">
        <v>161.69454999999999</v>
      </c>
      <c r="F159" s="107">
        <v>50.869114000000003</v>
      </c>
      <c r="G159" s="107">
        <v>12.176099000000001</v>
      </c>
      <c r="H159" s="107">
        <v>1927.948486</v>
      </c>
      <c r="I159" s="107">
        <v>179.24685700000001</v>
      </c>
      <c r="J159" s="107">
        <v>32.910851000000001</v>
      </c>
      <c r="K159" s="107">
        <v>85.526352000000003</v>
      </c>
      <c r="L159" s="107">
        <v>158.63252299999999</v>
      </c>
      <c r="M159" s="107">
        <v>44.730125000000001</v>
      </c>
      <c r="N159" s="107">
        <v>94.336478999999997</v>
      </c>
    </row>
    <row r="160" spans="2:14" x14ac:dyDescent="0.2">
      <c r="B160" s="16" t="s">
        <v>201</v>
      </c>
      <c r="C160" s="107">
        <v>126.45523799999999</v>
      </c>
      <c r="D160" s="107">
        <v>49.62368</v>
      </c>
      <c r="E160" s="107">
        <v>153.58886699999999</v>
      </c>
      <c r="F160" s="107">
        <v>50.316386999999999</v>
      </c>
      <c r="G160" s="107">
        <v>11.923429</v>
      </c>
      <c r="H160" s="107">
        <v>1953.6220699999999</v>
      </c>
      <c r="I160" s="107">
        <v>177.652771</v>
      </c>
      <c r="J160" s="107">
        <v>34.041142000000001</v>
      </c>
      <c r="K160" s="107">
        <v>84.559601000000001</v>
      </c>
      <c r="L160" s="107">
        <v>154.42034899999999</v>
      </c>
      <c r="M160" s="107">
        <v>47.700862999999998</v>
      </c>
      <c r="N160" s="107">
        <v>94.691185000000004</v>
      </c>
    </row>
    <row r="161" spans="2:14" x14ac:dyDescent="0.2">
      <c r="B161" s="16" t="s">
        <v>202</v>
      </c>
      <c r="C161" s="107">
        <v>127.776634</v>
      </c>
      <c r="D161" s="107">
        <v>49.367378000000002</v>
      </c>
      <c r="E161" s="107">
        <v>160.576538</v>
      </c>
      <c r="F161" s="107">
        <v>48.775996999999997</v>
      </c>
      <c r="G161" s="107">
        <v>11.905839</v>
      </c>
      <c r="H161" s="107">
        <v>1841.5299070000001</v>
      </c>
      <c r="I161" s="107">
        <v>162.10734600000001</v>
      </c>
      <c r="J161" s="107">
        <v>31.848789</v>
      </c>
      <c r="K161" s="107">
        <v>85.909569000000005</v>
      </c>
      <c r="L161" s="107">
        <v>151.12304700000001</v>
      </c>
      <c r="M161" s="107">
        <v>50.126483999999998</v>
      </c>
      <c r="N161" s="107">
        <v>91.303657999999999</v>
      </c>
    </row>
    <row r="162" spans="2:14" x14ac:dyDescent="0.2">
      <c r="B162" s="16" t="s">
        <v>203</v>
      </c>
      <c r="C162" s="107">
        <v>119.848404</v>
      </c>
      <c r="D162" s="107">
        <v>49.962665999999999</v>
      </c>
      <c r="E162" s="107">
        <v>154.47396900000001</v>
      </c>
      <c r="F162" s="107">
        <v>47.353397000000001</v>
      </c>
      <c r="G162" s="107">
        <v>11.617988</v>
      </c>
      <c r="H162" s="107">
        <v>1675.8618160000001</v>
      </c>
      <c r="I162" s="107">
        <v>141.217682</v>
      </c>
      <c r="J162" s="107">
        <v>33.162495</v>
      </c>
      <c r="K162" s="107">
        <v>88.383041000000006</v>
      </c>
      <c r="L162" s="107">
        <v>149.59828200000001</v>
      </c>
      <c r="M162" s="107">
        <v>53.786487999999999</v>
      </c>
      <c r="N162" s="107">
        <v>93.130439999999993</v>
      </c>
    </row>
    <row r="163" spans="2:14" x14ac:dyDescent="0.2">
      <c r="B163" s="16" t="s">
        <v>204</v>
      </c>
      <c r="C163" s="107">
        <v>119.18770600000001</v>
      </c>
      <c r="D163" s="107">
        <v>44.886200000000002</v>
      </c>
      <c r="E163" s="107">
        <v>155.12614400000001</v>
      </c>
      <c r="F163" s="107">
        <v>50.878174000000001</v>
      </c>
      <c r="G163" s="107">
        <v>11.996992000000001</v>
      </c>
      <c r="H163" s="107">
        <v>1704.732544</v>
      </c>
      <c r="I163" s="107">
        <v>149.85089099999999</v>
      </c>
      <c r="J163" s="107">
        <v>28.193453000000002</v>
      </c>
      <c r="K163" s="107">
        <v>74.639595</v>
      </c>
      <c r="L163" s="107">
        <v>138.16258199999999</v>
      </c>
      <c r="M163" s="107">
        <v>55.202739999999999</v>
      </c>
      <c r="N163" s="107">
        <v>92.651580999999993</v>
      </c>
    </row>
    <row r="164" spans="2:14" x14ac:dyDescent="0.2">
      <c r="B164" s="16" t="s">
        <v>205</v>
      </c>
      <c r="C164" s="107">
        <v>128.550568</v>
      </c>
      <c r="D164" s="107">
        <v>47.763409000000003</v>
      </c>
      <c r="E164" s="107">
        <v>175.15744000000001</v>
      </c>
      <c r="F164" s="107">
        <v>53.433411</v>
      </c>
      <c r="G164" s="107">
        <v>12.727814</v>
      </c>
      <c r="H164" s="107">
        <v>1844.8237300000001</v>
      </c>
      <c r="I164" s="107">
        <v>141.84394800000001</v>
      </c>
      <c r="J164" s="107">
        <v>30.701435</v>
      </c>
      <c r="K164" s="107">
        <v>74.430572999999995</v>
      </c>
      <c r="L164" s="107">
        <v>160.690933</v>
      </c>
      <c r="M164" s="107">
        <v>54.381680000000003</v>
      </c>
      <c r="N164" s="107">
        <v>99.586265999999995</v>
      </c>
    </row>
    <row r="165" spans="2:14" x14ac:dyDescent="0.2">
      <c r="B165" s="16" t="s">
        <v>206</v>
      </c>
      <c r="C165" s="107">
        <v>131.92948899999999</v>
      </c>
      <c r="D165" s="107">
        <v>51.748516000000002</v>
      </c>
      <c r="E165" s="107">
        <v>175.85621599999999</v>
      </c>
      <c r="F165" s="107">
        <v>53.170639000000001</v>
      </c>
      <c r="G165" s="107">
        <v>12.727814</v>
      </c>
      <c r="H165" s="107">
        <v>1858.96875</v>
      </c>
      <c r="I165" s="107">
        <v>145.20889299999999</v>
      </c>
      <c r="J165" s="107">
        <v>31.481977000000001</v>
      </c>
      <c r="K165" s="107">
        <v>78.175612999999998</v>
      </c>
      <c r="L165" s="107">
        <v>173.23211699999999</v>
      </c>
      <c r="M165" s="107">
        <v>53.805199000000002</v>
      </c>
      <c r="N165" s="107">
        <v>101.82605</v>
      </c>
    </row>
    <row r="166" spans="2:14" x14ac:dyDescent="0.2">
      <c r="B166" s="16" t="s">
        <v>207</v>
      </c>
      <c r="C166" s="107">
        <v>139.49906899999999</v>
      </c>
      <c r="D166" s="107">
        <v>51.715446</v>
      </c>
      <c r="E166" s="107">
        <v>193.045883</v>
      </c>
      <c r="F166" s="107">
        <v>55.943339999999999</v>
      </c>
      <c r="G166" s="107">
        <v>11.841872</v>
      </c>
      <c r="H166" s="107">
        <v>1896.752563</v>
      </c>
      <c r="I166" s="107">
        <v>138.61880500000001</v>
      </c>
      <c r="J166" s="107">
        <v>29.916622</v>
      </c>
      <c r="K166" s="107">
        <v>81.310997</v>
      </c>
      <c r="L166" s="107">
        <v>174.29943800000001</v>
      </c>
      <c r="M166" s="107">
        <v>52.495007000000001</v>
      </c>
      <c r="N166" s="107">
        <v>104.85307299999999</v>
      </c>
    </row>
    <row r="167" spans="2:14" x14ac:dyDescent="0.2">
      <c r="B167" s="16" t="s">
        <v>208</v>
      </c>
      <c r="C167" s="107">
        <v>144.350403</v>
      </c>
      <c r="D167" s="107">
        <v>45.787394999999997</v>
      </c>
      <c r="E167" s="107">
        <v>209.35041799999999</v>
      </c>
      <c r="F167" s="107">
        <v>53.478718000000001</v>
      </c>
      <c r="G167" s="107">
        <v>11.862660999999999</v>
      </c>
      <c r="H167" s="107">
        <v>2240.876953</v>
      </c>
      <c r="I167" s="107">
        <v>140.48223899999999</v>
      </c>
      <c r="J167" s="107">
        <v>32.868195</v>
      </c>
      <c r="K167" s="107">
        <v>76.546959000000001</v>
      </c>
      <c r="L167" s="107">
        <v>199.93452500000001</v>
      </c>
      <c r="M167" s="107">
        <v>52.151969999999999</v>
      </c>
      <c r="N167" s="107">
        <v>106.035217</v>
      </c>
    </row>
    <row r="168" spans="2:14" x14ac:dyDescent="0.2">
      <c r="B168" s="16" t="s">
        <v>209</v>
      </c>
      <c r="C168" s="107">
        <v>161.131821</v>
      </c>
      <c r="D168" s="107">
        <v>54.452109999999998</v>
      </c>
      <c r="E168" s="107">
        <v>198.72917200000001</v>
      </c>
      <c r="F168" s="107">
        <v>54.267032999999998</v>
      </c>
      <c r="G168" s="107">
        <v>12.401583</v>
      </c>
      <c r="H168" s="107">
        <v>2295.9008789999998</v>
      </c>
      <c r="I168" s="107">
        <v>136.30093400000001</v>
      </c>
      <c r="J168" s="107">
        <v>39.918686000000001</v>
      </c>
      <c r="K168" s="107">
        <v>79.220741000000004</v>
      </c>
      <c r="L168" s="107">
        <v>199.79156499999999</v>
      </c>
      <c r="M168" s="107">
        <v>56.112656000000001</v>
      </c>
      <c r="N168" s="107">
        <v>106.35762800000001</v>
      </c>
    </row>
    <row r="169" spans="2:14" x14ac:dyDescent="0.2">
      <c r="B169" s="16" t="s">
        <v>210</v>
      </c>
      <c r="C169" s="107">
        <v>145.992661</v>
      </c>
      <c r="D169" s="107">
        <v>55.898986999999998</v>
      </c>
      <c r="E169" s="107">
        <v>184.38116500000001</v>
      </c>
      <c r="F169" s="107">
        <v>53.152518999999998</v>
      </c>
      <c r="G169" s="107">
        <v>13.009269</v>
      </c>
      <c r="H169" s="107">
        <v>2184.3081050000001</v>
      </c>
      <c r="I169" s="107">
        <v>129.07456999999999</v>
      </c>
      <c r="J169" s="107">
        <v>39.871772999999997</v>
      </c>
      <c r="K169" s="107">
        <v>81.067138999999997</v>
      </c>
      <c r="L169" s="107">
        <v>204.98530600000001</v>
      </c>
      <c r="M169" s="107">
        <v>61.345139000000003</v>
      </c>
      <c r="N169" s="107">
        <v>98.736343000000005</v>
      </c>
    </row>
    <row r="170" spans="2:14" x14ac:dyDescent="0.2">
      <c r="B170" s="16" t="s">
        <v>211</v>
      </c>
      <c r="C170" s="107">
        <v>149.70637500000001</v>
      </c>
      <c r="D170" s="107">
        <v>55.973391999999997</v>
      </c>
      <c r="E170" s="107">
        <v>172.92141699999999</v>
      </c>
      <c r="F170" s="107">
        <v>53.569327999999999</v>
      </c>
      <c r="G170" s="107">
        <v>12.421573</v>
      </c>
      <c r="H170" s="107">
        <v>2111.530518</v>
      </c>
      <c r="I170" s="107">
        <v>124.484245</v>
      </c>
      <c r="J170" s="107">
        <v>45.706665000000001</v>
      </c>
      <c r="K170" s="107">
        <v>78.175612999999998</v>
      </c>
      <c r="L170" s="107">
        <v>216.754547</v>
      </c>
      <c r="M170" s="107">
        <v>59.932034000000002</v>
      </c>
      <c r="N170" s="107">
        <v>105.70951100000001</v>
      </c>
    </row>
    <row r="171" spans="2:14" x14ac:dyDescent="0.2">
      <c r="B171" s="16" t="s">
        <v>212</v>
      </c>
      <c r="C171" s="107">
        <v>123.164452</v>
      </c>
      <c r="D171" s="107">
        <v>52.533423999999997</v>
      </c>
      <c r="E171" s="107">
        <v>175.86047400000001</v>
      </c>
      <c r="F171" s="107">
        <v>53.614407</v>
      </c>
      <c r="G171" s="107">
        <v>11.689932000000001</v>
      </c>
      <c r="H171" s="107">
        <v>2096.6223140000002</v>
      </c>
      <c r="I171" s="107">
        <v>115.167236</v>
      </c>
      <c r="J171" s="107">
        <v>42.402256000000001</v>
      </c>
      <c r="K171" s="107">
        <v>81.584343000000004</v>
      </c>
      <c r="L171" s="107">
        <v>216.94778400000001</v>
      </c>
      <c r="M171" s="107">
        <v>55.746361</v>
      </c>
      <c r="N171" s="107">
        <v>90.866767999999993</v>
      </c>
    </row>
    <row r="172" spans="2:14" x14ac:dyDescent="0.2">
      <c r="B172" s="16" t="s">
        <v>213</v>
      </c>
      <c r="C172" s="107">
        <v>134.399643</v>
      </c>
      <c r="D172" s="107">
        <v>56.001525999999998</v>
      </c>
      <c r="E172" s="107">
        <v>173.87174999999999</v>
      </c>
      <c r="F172" s="107">
        <v>56.507404000000001</v>
      </c>
      <c r="G172" s="107">
        <v>12.746276999999999</v>
      </c>
      <c r="H172" s="107">
        <v>1981.993774</v>
      </c>
      <c r="I172" s="107">
        <v>112.713013</v>
      </c>
      <c r="J172" s="107">
        <v>39.743256000000002</v>
      </c>
      <c r="K172" s="107">
        <v>86.473595000000003</v>
      </c>
      <c r="L172" s="107">
        <v>215.54531900000001</v>
      </c>
      <c r="M172" s="107">
        <v>56.591740000000001</v>
      </c>
      <c r="N172" s="107">
        <v>97.535377999999994</v>
      </c>
    </row>
    <row r="173" spans="2:14" x14ac:dyDescent="0.2">
      <c r="B173" s="16" t="s">
        <v>214</v>
      </c>
      <c r="C173" s="107">
        <v>133.30493200000001</v>
      </c>
      <c r="D173" s="107">
        <v>55.224957000000003</v>
      </c>
      <c r="E173" s="107">
        <v>177.56510900000001</v>
      </c>
      <c r="F173" s="107">
        <v>58.987113999999998</v>
      </c>
      <c r="G173" s="107">
        <v>13.964801</v>
      </c>
      <c r="H173" s="107">
        <v>2125.0341800000001</v>
      </c>
      <c r="I173" s="107">
        <v>119.31564299999999</v>
      </c>
      <c r="J173" s="107">
        <v>38.068080999999999</v>
      </c>
      <c r="K173" s="107">
        <v>91.798255999999995</v>
      </c>
      <c r="L173" s="107">
        <v>222.17079200000001</v>
      </c>
      <c r="M173" s="107">
        <v>56.329070999999999</v>
      </c>
      <c r="N173" s="107">
        <v>99.890647999999999</v>
      </c>
    </row>
    <row r="174" spans="2:14" x14ac:dyDescent="0.2">
      <c r="B174" s="16" t="s">
        <v>215</v>
      </c>
      <c r="C174" s="107">
        <v>126.00685900000001</v>
      </c>
      <c r="D174" s="107">
        <v>54.316009999999999</v>
      </c>
      <c r="E174" s="107">
        <v>183.67334</v>
      </c>
      <c r="F174" s="107">
        <v>61.372897999999999</v>
      </c>
      <c r="G174" s="107">
        <v>13.600998000000001</v>
      </c>
      <c r="H174" s="107">
        <v>2161.2841800000001</v>
      </c>
      <c r="I174" s="107">
        <v>125.614937</v>
      </c>
      <c r="J174" s="107">
        <v>34.558197</v>
      </c>
      <c r="K174" s="107">
        <v>93.340323999999995</v>
      </c>
      <c r="L174" s="107">
        <v>228.457718</v>
      </c>
      <c r="M174" s="107">
        <v>52.986823999999999</v>
      </c>
      <c r="N174" s="107">
        <v>96.935012999999998</v>
      </c>
    </row>
    <row r="175" spans="2:14" x14ac:dyDescent="0.2">
      <c r="B175" s="16" t="s">
        <v>216</v>
      </c>
      <c r="C175" s="107">
        <v>134.59169</v>
      </c>
      <c r="D175" s="107">
        <v>55.374977000000001</v>
      </c>
      <c r="E175" s="107">
        <v>150.76460299999999</v>
      </c>
      <c r="F175" s="107">
        <v>61.711039999999997</v>
      </c>
      <c r="G175" s="107">
        <v>13.513334</v>
      </c>
      <c r="H175" s="107">
        <v>2031.959961</v>
      </c>
      <c r="I175" s="107">
        <v>105.837051</v>
      </c>
      <c r="J175" s="107">
        <v>37.137431999999997</v>
      </c>
      <c r="K175" s="107">
        <v>88.088234</v>
      </c>
      <c r="L175" s="107">
        <v>229.42495700000001</v>
      </c>
      <c r="M175" s="107">
        <v>52.653914999999998</v>
      </c>
      <c r="N175" s="107">
        <v>94.856849999999994</v>
      </c>
    </row>
    <row r="176" spans="2:14" x14ac:dyDescent="0.2">
      <c r="B176" s="16" t="s">
        <v>217</v>
      </c>
      <c r="C176" s="107">
        <v>141.69770800000001</v>
      </c>
      <c r="D176" s="107">
        <v>49.983086</v>
      </c>
      <c r="E176" s="107">
        <v>143.851395</v>
      </c>
      <c r="F176" s="107">
        <v>60.734192</v>
      </c>
      <c r="G176" s="107">
        <v>13.224043999999999</v>
      </c>
      <c r="H176" s="107">
        <v>2023.1423339999999</v>
      </c>
      <c r="I176" s="107">
        <v>98.101921000000004</v>
      </c>
      <c r="J176" s="107">
        <v>35.923149000000002</v>
      </c>
      <c r="K176" s="107">
        <v>83.534599</v>
      </c>
      <c r="L176" s="107">
        <v>235.51843299999999</v>
      </c>
      <c r="M176" s="107">
        <v>50.424838999999999</v>
      </c>
      <c r="N176" s="107">
        <v>93.145233000000005</v>
      </c>
    </row>
    <row r="177" spans="2:14" x14ac:dyDescent="0.2">
      <c r="B177" s="16" t="s">
        <v>218</v>
      </c>
      <c r="C177" s="107">
        <v>148.63085899999999</v>
      </c>
      <c r="D177" s="107">
        <v>52.259861000000001</v>
      </c>
      <c r="E177" s="107">
        <v>149.77024800000001</v>
      </c>
      <c r="F177" s="107">
        <v>61.166263999999998</v>
      </c>
      <c r="G177" s="107">
        <v>13.421288000000001</v>
      </c>
      <c r="H177" s="107">
        <v>2274.9331050000001</v>
      </c>
      <c r="I177" s="107">
        <v>103.248695</v>
      </c>
      <c r="J177" s="107">
        <v>41.702052999999999</v>
      </c>
      <c r="K177" s="107">
        <v>85.031311000000002</v>
      </c>
      <c r="L177" s="107">
        <v>233.00366199999999</v>
      </c>
      <c r="M177" s="107">
        <v>48.957134000000003</v>
      </c>
      <c r="N177" s="107">
        <v>93.033302000000006</v>
      </c>
    </row>
    <row r="178" spans="2:14" x14ac:dyDescent="0.2">
      <c r="B178" s="16" t="s">
        <v>219</v>
      </c>
      <c r="C178" s="107">
        <v>160.48060599999999</v>
      </c>
      <c r="D178" s="107">
        <v>57.995911</v>
      </c>
      <c r="E178" s="107">
        <v>166.62709000000001</v>
      </c>
      <c r="F178" s="107">
        <v>63.382976999999997</v>
      </c>
      <c r="G178" s="107">
        <v>13.951651</v>
      </c>
      <c r="H178" s="107">
        <v>2668.7844239999999</v>
      </c>
      <c r="I178" s="107">
        <v>104.38537599999999</v>
      </c>
      <c r="J178" s="107">
        <v>44.006523000000001</v>
      </c>
      <c r="K178" s="107">
        <v>94.700974000000002</v>
      </c>
      <c r="L178" s="107">
        <v>237.30779999999999</v>
      </c>
      <c r="M178" s="107">
        <v>51.727428000000003</v>
      </c>
      <c r="N178" s="107">
        <v>97.473236</v>
      </c>
    </row>
    <row r="179" spans="2:14" x14ac:dyDescent="0.2">
      <c r="B179" s="16" t="s">
        <v>220</v>
      </c>
      <c r="C179" s="107">
        <v>159.11702</v>
      </c>
      <c r="D179" s="107">
        <v>64.296745000000001</v>
      </c>
      <c r="E179" s="107">
        <v>141.24711600000001</v>
      </c>
      <c r="F179" s="107">
        <v>64.679184000000006</v>
      </c>
      <c r="G179" s="107">
        <v>15.113193000000001</v>
      </c>
      <c r="H179" s="107">
        <v>2681.5209960000002</v>
      </c>
      <c r="I179" s="107">
        <v>97.802093999999997</v>
      </c>
      <c r="J179" s="107">
        <v>44.174926999999997</v>
      </c>
      <c r="K179" s="107">
        <v>94.664687999999998</v>
      </c>
      <c r="L179" s="107">
        <v>226.281464</v>
      </c>
      <c r="M179" s="107">
        <v>53.798842999999998</v>
      </c>
      <c r="N179" s="107">
        <v>103.62943300000001</v>
      </c>
    </row>
    <row r="180" spans="2:14" x14ac:dyDescent="0.2">
      <c r="B180" s="16" t="s">
        <v>221</v>
      </c>
      <c r="C180" s="107">
        <v>156.31303399999999</v>
      </c>
      <c r="D180" s="107">
        <v>67.870750000000001</v>
      </c>
      <c r="E180" s="107">
        <v>130.73526000000001</v>
      </c>
      <c r="F180" s="107">
        <v>66.538971000000004</v>
      </c>
      <c r="G180" s="107">
        <v>15.810117999999999</v>
      </c>
      <c r="H180" s="107">
        <v>2365.0446780000002</v>
      </c>
      <c r="I180" s="107">
        <v>86.444732999999999</v>
      </c>
      <c r="J180" s="107">
        <v>41.258884000000002</v>
      </c>
      <c r="K180" s="107">
        <v>92.451363000000001</v>
      </c>
      <c r="L180" s="107">
        <v>203.841949</v>
      </c>
      <c r="M180" s="107">
        <v>55.549309000000001</v>
      </c>
      <c r="N180" s="107">
        <v>108.479782</v>
      </c>
    </row>
    <row r="181" spans="2:14" x14ac:dyDescent="0.2">
      <c r="B181" s="16" t="s">
        <v>222</v>
      </c>
      <c r="C181" s="107">
        <v>141.294388</v>
      </c>
      <c r="D181" s="107">
        <v>65.558670000000006</v>
      </c>
      <c r="E181" s="107">
        <v>132.439896</v>
      </c>
      <c r="F181" s="107">
        <v>71.348106000000001</v>
      </c>
      <c r="G181" s="107">
        <v>15.941613</v>
      </c>
      <c r="H181" s="107">
        <v>2345.4257809999999</v>
      </c>
      <c r="I181" s="107">
        <v>90.195785999999998</v>
      </c>
      <c r="J181" s="107">
        <v>41.329791999999998</v>
      </c>
      <c r="K181" s="107">
        <v>86.990645999999998</v>
      </c>
      <c r="L181" s="107">
        <v>197.50663800000001</v>
      </c>
      <c r="M181" s="107">
        <v>48.277596000000003</v>
      </c>
      <c r="N181" s="107">
        <v>114.356148</v>
      </c>
    </row>
    <row r="182" spans="2:14" x14ac:dyDescent="0.2">
      <c r="B182" s="16" t="s">
        <v>223</v>
      </c>
      <c r="C182" s="107">
        <v>159.13945000000001</v>
      </c>
      <c r="D182" s="107">
        <v>68.073715000000007</v>
      </c>
      <c r="E182" s="107">
        <v>138.500778</v>
      </c>
      <c r="F182" s="107">
        <v>70.671822000000006</v>
      </c>
      <c r="G182" s="107">
        <v>18.07291</v>
      </c>
      <c r="H182" s="107">
        <v>2381.7204590000001</v>
      </c>
      <c r="I182" s="107">
        <v>86.217392000000004</v>
      </c>
      <c r="J182" s="107">
        <v>40.221874</v>
      </c>
      <c r="K182" s="107">
        <v>79.389160000000004</v>
      </c>
      <c r="L182" s="107">
        <v>214.094482</v>
      </c>
      <c r="M182" s="107">
        <v>48.749415999999997</v>
      </c>
      <c r="N182" s="107">
        <v>121.131874</v>
      </c>
    </row>
    <row r="183" spans="2:14" x14ac:dyDescent="0.2">
      <c r="B183" s="16" t="s">
        <v>224</v>
      </c>
      <c r="C183" s="107">
        <v>174.044037</v>
      </c>
      <c r="D183" s="107">
        <v>71.674582999999998</v>
      </c>
      <c r="E183" s="107">
        <v>140.529663</v>
      </c>
      <c r="F183" s="107">
        <v>67.021675000000002</v>
      </c>
      <c r="G183" s="107">
        <v>18.967749000000001</v>
      </c>
      <c r="H183" s="107">
        <v>2276.0649410000001</v>
      </c>
      <c r="I183" s="107">
        <v>80.136139</v>
      </c>
      <c r="J183" s="107">
        <v>36.365516999999997</v>
      </c>
      <c r="K183" s="107">
        <v>77.857024999999993</v>
      </c>
      <c r="L183" s="107">
        <v>222.32105999999999</v>
      </c>
      <c r="M183" s="107">
        <v>49.164627000000003</v>
      </c>
      <c r="N183" s="107">
        <v>120.409988</v>
      </c>
    </row>
    <row r="184" spans="2:14" x14ac:dyDescent="0.2">
      <c r="B184" s="16" t="s">
        <v>225</v>
      </c>
      <c r="C184" s="107">
        <v>172.846161</v>
      </c>
      <c r="D184" s="107">
        <v>75.186927999999995</v>
      </c>
      <c r="E184" s="107">
        <v>126.820618</v>
      </c>
      <c r="F184" s="107">
        <v>69.456710999999999</v>
      </c>
      <c r="G184" s="107">
        <v>18.677402000000001</v>
      </c>
      <c r="H184" s="107">
        <v>2129.5415039999998</v>
      </c>
      <c r="I184" s="107">
        <v>85.592224000000002</v>
      </c>
      <c r="J184" s="107">
        <v>30.399080000000001</v>
      </c>
      <c r="K184" s="107">
        <v>74.665458999999998</v>
      </c>
      <c r="L184" s="107">
        <v>224.733307</v>
      </c>
      <c r="M184" s="107">
        <v>49.865433000000003</v>
      </c>
      <c r="N184" s="107">
        <v>117.04119900000001</v>
      </c>
    </row>
    <row r="185" spans="2:14" x14ac:dyDescent="0.2">
      <c r="B185" s="16" t="s">
        <v>226</v>
      </c>
      <c r="C185" s="107">
        <v>175.81137100000001</v>
      </c>
      <c r="D185" s="107">
        <v>72.153533999999993</v>
      </c>
      <c r="E185" s="107">
        <v>117.66512299999999</v>
      </c>
      <c r="F185" s="107">
        <v>68.780311999999995</v>
      </c>
      <c r="G185" s="107">
        <v>16.840123999999999</v>
      </c>
      <c r="H185" s="107">
        <v>2070.139893</v>
      </c>
      <c r="I185" s="107">
        <v>94.387634000000006</v>
      </c>
      <c r="J185" s="107">
        <v>31.226203999999999</v>
      </c>
      <c r="K185" s="107">
        <v>80.016295999999997</v>
      </c>
      <c r="L185" s="107">
        <v>206.81372099999999</v>
      </c>
      <c r="M185" s="107">
        <v>51.284134000000002</v>
      </c>
      <c r="N185" s="107">
        <v>111.554901</v>
      </c>
    </row>
    <row r="186" spans="2:14" x14ac:dyDescent="0.2">
      <c r="B186" t="s">
        <v>227</v>
      </c>
      <c r="C186" s="108">
        <v>193.818634</v>
      </c>
      <c r="D186" s="108">
        <v>72.623108000000002</v>
      </c>
      <c r="E186" s="108">
        <v>119.699684</v>
      </c>
      <c r="F186" s="108">
        <v>71.659851000000003</v>
      </c>
      <c r="G186" s="108">
        <v>17.377979</v>
      </c>
      <c r="H186" s="108">
        <v>2062.219971</v>
      </c>
      <c r="I186" s="108">
        <v>81.122871000000004</v>
      </c>
      <c r="J186" s="108">
        <v>32.341427000000003</v>
      </c>
      <c r="K186" s="108">
        <v>74.390822999999997</v>
      </c>
      <c r="L186" s="108">
        <v>233.939255</v>
      </c>
      <c r="M186" s="108">
        <v>49.587440000000001</v>
      </c>
      <c r="N186" s="108">
        <v>113.528046</v>
      </c>
    </row>
    <row r="187" spans="2:14" x14ac:dyDescent="0.2">
      <c r="B187" t="s">
        <v>228</v>
      </c>
      <c r="C187" s="108">
        <v>209.52835099999999</v>
      </c>
      <c r="D187" s="108">
        <v>65.128967000000003</v>
      </c>
      <c r="E187" s="108">
        <v>129.33959999999999</v>
      </c>
      <c r="F187" s="108">
        <v>74.094893999999996</v>
      </c>
      <c r="G187" s="108">
        <v>19.324732000000001</v>
      </c>
      <c r="H187" s="108">
        <v>2127.5615229999999</v>
      </c>
      <c r="I187" s="108">
        <v>82.501784999999998</v>
      </c>
      <c r="J187" s="108">
        <v>31.319140999999998</v>
      </c>
      <c r="K187" s="108">
        <v>82.961624</v>
      </c>
      <c r="L187" s="108">
        <v>242.308289</v>
      </c>
      <c r="M187" s="108">
        <v>51.715496000000002</v>
      </c>
      <c r="N187" s="108">
        <v>111.554901</v>
      </c>
    </row>
    <row r="188" spans="2:14" x14ac:dyDescent="0.2">
      <c r="B188" t="s">
        <v>229</v>
      </c>
      <c r="C188" s="108">
        <v>200.74073799999999</v>
      </c>
      <c r="D188" s="108">
        <v>71.568061999999998</v>
      </c>
      <c r="E188" s="108">
        <v>130.59909099999999</v>
      </c>
      <c r="F188" s="108">
        <v>74.404105999999999</v>
      </c>
      <c r="G188" s="108">
        <v>20.847864000000001</v>
      </c>
      <c r="H188" s="108">
        <v>2079.0500489999999</v>
      </c>
      <c r="I188" s="108">
        <v>75.335319999999996</v>
      </c>
      <c r="J188" s="108">
        <v>32.034739999999999</v>
      </c>
      <c r="K188" s="108">
        <v>81.219054999999997</v>
      </c>
      <c r="L188" s="108">
        <v>227.440933</v>
      </c>
      <c r="M188" s="108">
        <v>55.357047999999999</v>
      </c>
      <c r="N188" s="108">
        <v>118.720123</v>
      </c>
    </row>
    <row r="189" spans="2:14" x14ac:dyDescent="0.2">
      <c r="B189" t="s">
        <v>230</v>
      </c>
      <c r="C189" s="108">
        <v>194.80049099999999</v>
      </c>
      <c r="D189" s="108">
        <v>78.463607999999994</v>
      </c>
      <c r="E189" s="108">
        <v>137.81691000000001</v>
      </c>
      <c r="F189" s="108">
        <v>74.191520999999995</v>
      </c>
      <c r="G189" s="108">
        <v>21.333362999999999</v>
      </c>
      <c r="H189" s="108">
        <v>2100.8308109999998</v>
      </c>
      <c r="I189" s="108">
        <v>73.099997999999999</v>
      </c>
      <c r="J189" s="108">
        <v>32.917622000000001</v>
      </c>
      <c r="K189" s="108">
        <v>78.340018999999998</v>
      </c>
      <c r="L189" s="108">
        <v>231.28083799999999</v>
      </c>
      <c r="M189" s="108">
        <v>54.177788</v>
      </c>
      <c r="N189" s="108">
        <v>116.58364899999999</v>
      </c>
    </row>
    <row r="190" spans="2:14" x14ac:dyDescent="0.2">
      <c r="B190" t="s">
        <v>231</v>
      </c>
      <c r="C190" s="108">
        <v>189.89120500000001</v>
      </c>
      <c r="D190" s="108">
        <v>88.573845000000006</v>
      </c>
      <c r="E190" s="108">
        <v>127.11127500000001</v>
      </c>
      <c r="F190" s="108">
        <v>63.620337999999997</v>
      </c>
      <c r="G190" s="108">
        <v>23.894129</v>
      </c>
      <c r="H190" s="108">
        <v>2008.7585449999999</v>
      </c>
      <c r="I190" s="108">
        <v>75.080001999999993</v>
      </c>
      <c r="J190" s="108">
        <v>29.62772</v>
      </c>
      <c r="K190" s="108">
        <v>75.006400999999997</v>
      </c>
      <c r="L190" s="108">
        <v>238.566833</v>
      </c>
      <c r="M190" s="108">
        <v>60.508460999999997</v>
      </c>
      <c r="N190" s="108">
        <v>117.651886</v>
      </c>
    </row>
    <row r="191" spans="2:14" x14ac:dyDescent="0.2">
      <c r="B191" t="s">
        <v>232</v>
      </c>
      <c r="C191" s="108">
        <v>180.8974</v>
      </c>
      <c r="D191" s="108">
        <v>92.750022999999999</v>
      </c>
      <c r="E191" s="108">
        <v>103.61700399999999</v>
      </c>
      <c r="F191" s="108">
        <v>70.191092999999995</v>
      </c>
      <c r="G191" s="108">
        <v>27.540125</v>
      </c>
      <c r="H191" s="108">
        <v>2028.559082</v>
      </c>
      <c r="I191" s="108">
        <v>78.260002</v>
      </c>
      <c r="J191" s="108">
        <v>29.841473000000001</v>
      </c>
      <c r="K191" s="108">
        <v>77.847549000000001</v>
      </c>
      <c r="L191" s="108">
        <v>272.43682899999999</v>
      </c>
      <c r="M191" s="108">
        <v>66.574150000000003</v>
      </c>
      <c r="N191" s="108">
        <v>136.68594400000001</v>
      </c>
    </row>
    <row r="192" spans="2:14" x14ac:dyDescent="0.2">
      <c r="B192" t="s">
        <v>233</v>
      </c>
      <c r="C192" s="108">
        <v>157.90231299999999</v>
      </c>
      <c r="D192" s="108">
        <v>78.657844999999995</v>
      </c>
      <c r="E192" s="108">
        <v>97.368010999999996</v>
      </c>
      <c r="F192" s="108">
        <v>66.712463</v>
      </c>
      <c r="G192" s="108">
        <v>26.378734999999999</v>
      </c>
      <c r="H192" s="108">
        <v>1596.66687</v>
      </c>
      <c r="I192" s="108">
        <v>64.220000999999996</v>
      </c>
      <c r="J192" s="108">
        <v>26.969776</v>
      </c>
      <c r="K192" s="108">
        <v>78.340018999999998</v>
      </c>
      <c r="L192" s="108">
        <v>225.570221</v>
      </c>
      <c r="M192" s="108">
        <v>80.061156999999994</v>
      </c>
      <c r="N192" s="108">
        <v>124.64399</v>
      </c>
    </row>
    <row r="193" spans="2:14" x14ac:dyDescent="0.2">
      <c r="B193" t="s">
        <v>234</v>
      </c>
      <c r="C193" s="108">
        <v>171.70721399999999</v>
      </c>
      <c r="D193" s="108">
        <v>86.660576000000006</v>
      </c>
      <c r="E193" s="108">
        <v>99.790099999999995</v>
      </c>
      <c r="F193" s="108">
        <v>64.489998</v>
      </c>
      <c r="G193" s="108">
        <v>26.721440999999999</v>
      </c>
      <c r="H193" s="108">
        <v>1611.055664</v>
      </c>
      <c r="I193" s="108">
        <v>62.84</v>
      </c>
      <c r="J193" s="108">
        <v>27.666789999999999</v>
      </c>
      <c r="K193" s="108">
        <v>75.593575000000001</v>
      </c>
      <c r="L193" s="108">
        <v>264.46163899999999</v>
      </c>
      <c r="M193" s="108">
        <v>79.290001000000004</v>
      </c>
      <c r="N193" s="108">
        <v>124.789658</v>
      </c>
    </row>
    <row r="194" spans="2:14" x14ac:dyDescent="0.2">
      <c r="B194" t="s">
        <v>235</v>
      </c>
      <c r="C194" s="108">
        <v>179.699997</v>
      </c>
      <c r="D194" s="108">
        <v>90.273453000000003</v>
      </c>
      <c r="E194" s="108">
        <v>98.772819999999996</v>
      </c>
      <c r="F194" s="108">
        <v>58.885531999999998</v>
      </c>
      <c r="G194" s="108">
        <v>26.469999000000001</v>
      </c>
      <c r="H194" s="108">
        <v>1620</v>
      </c>
      <c r="I194" s="108">
        <v>63.419998</v>
      </c>
      <c r="J194" s="108">
        <v>27.499506</v>
      </c>
      <c r="K194" s="108">
        <v>71.303436000000005</v>
      </c>
      <c r="L194" s="108">
        <v>265.79083300000002</v>
      </c>
      <c r="M194" s="108">
        <v>75.180000000000007</v>
      </c>
      <c r="N194" s="108">
        <v>125.050003</v>
      </c>
    </row>
    <row r="195" spans="2:14" x14ac:dyDescent="0.2">
      <c r="B195" t="s">
        <v>236</v>
      </c>
      <c r="C195" s="108">
        <v>178.96000699999999</v>
      </c>
      <c r="D195" s="108">
        <v>93.650002000000001</v>
      </c>
      <c r="E195" s="108">
        <v>101.800003</v>
      </c>
      <c r="F195" s="108">
        <v>64.419998000000007</v>
      </c>
      <c r="G195" s="108">
        <v>26.940000999999999</v>
      </c>
      <c r="H195" s="108">
        <v>1619</v>
      </c>
      <c r="I195" s="108">
        <v>62.099997999999999</v>
      </c>
      <c r="J195" s="108">
        <v>26.809999000000001</v>
      </c>
      <c r="K195" s="108">
        <v>77.949996999999996</v>
      </c>
      <c r="L195" s="108">
        <v>269.04998799999998</v>
      </c>
      <c r="M195" s="108">
        <v>77.370002999999997</v>
      </c>
      <c r="N195" s="108">
        <v>124.25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N34"/>
  <sheetViews>
    <sheetView showGridLines="0" workbookViewId="0">
      <selection activeCell="G13" sqref="G13"/>
    </sheetView>
  </sheetViews>
  <sheetFormatPr baseColWidth="10" defaultColWidth="10.83203125" defaultRowHeight="15" x14ac:dyDescent="0.2"/>
  <cols>
    <col min="3" max="13" width="11.6640625" bestFit="1" customWidth="1"/>
  </cols>
  <sheetData>
    <row r="2" spans="2:14" ht="16" customHeight="1" thickBot="1" x14ac:dyDescent="0.25"/>
    <row r="3" spans="2:14" x14ac:dyDescent="0.2">
      <c r="B3" s="130" t="s">
        <v>238</v>
      </c>
      <c r="C3" s="131"/>
      <c r="D3" s="131"/>
      <c r="E3" s="131"/>
      <c r="F3" s="131"/>
      <c r="G3" s="131"/>
      <c r="H3" s="131"/>
      <c r="I3" s="131"/>
      <c r="J3" s="131"/>
      <c r="K3" s="131"/>
      <c r="L3" s="131"/>
      <c r="M3" s="131"/>
      <c r="N3" s="132"/>
    </row>
    <row r="4" spans="2:14" ht="16" customHeight="1" thickBot="1" x14ac:dyDescent="0.25">
      <c r="B4" s="123"/>
      <c r="C4" s="133"/>
      <c r="D4" s="133"/>
      <c r="E4" s="133"/>
      <c r="F4" s="133"/>
      <c r="G4" s="133"/>
      <c r="H4" s="133"/>
      <c r="I4" s="133"/>
      <c r="J4" s="133"/>
      <c r="K4" s="133"/>
      <c r="L4" s="133"/>
      <c r="M4" s="133"/>
      <c r="N4" s="134"/>
    </row>
    <row r="5" spans="2:14" x14ac:dyDescent="0.2">
      <c r="B5" s="35"/>
      <c r="C5" s="39" t="s">
        <v>22</v>
      </c>
      <c r="D5" s="39" t="s">
        <v>23</v>
      </c>
      <c r="E5" s="39" t="s">
        <v>24</v>
      </c>
      <c r="F5" s="39" t="s">
        <v>25</v>
      </c>
      <c r="G5" s="39" t="s">
        <v>26</v>
      </c>
      <c r="H5" s="39" t="s">
        <v>27</v>
      </c>
      <c r="I5" s="39" t="s">
        <v>28</v>
      </c>
      <c r="J5" s="39" t="s">
        <v>29</v>
      </c>
      <c r="K5" s="39" t="s">
        <v>30</v>
      </c>
      <c r="L5" s="39" t="s">
        <v>31</v>
      </c>
      <c r="M5" s="39" t="s">
        <v>32</v>
      </c>
      <c r="N5" s="40" t="s">
        <v>33</v>
      </c>
    </row>
    <row r="6" spans="2:14" x14ac:dyDescent="0.2">
      <c r="B6" s="36" t="s">
        <v>22</v>
      </c>
      <c r="C6">
        <f>CORREL('Returns-VOL'!C$6:C$185,'Returns-VOL'!$C$6:$C$185)</f>
        <v>0.99999999999999978</v>
      </c>
      <c r="N6" s="30"/>
    </row>
    <row r="7" spans="2:14" x14ac:dyDescent="0.2">
      <c r="B7" s="37" t="s">
        <v>23</v>
      </c>
      <c r="C7" s="31">
        <f>CORREL('Returns-VOL'!C$6:C$185,'Returns-VOL'!$D$6:$D$185)</f>
        <v>0.58299456232551272</v>
      </c>
      <c r="D7">
        <f>CORREL('Returns-VOL'!D$6:D$185,'Returns-VOL'!$D$6:$D$185)</f>
        <v>1</v>
      </c>
      <c r="N7" s="30"/>
    </row>
    <row r="8" spans="2:14" x14ac:dyDescent="0.2">
      <c r="B8" s="37" t="s">
        <v>24</v>
      </c>
      <c r="C8" s="31">
        <f>CORREL('Returns-VOL'!C$6:C$185,'Returns-VOL'!$E$6:$E$185)</f>
        <v>0.46443111918235835</v>
      </c>
      <c r="D8" s="31">
        <f>CORREL('Returns-VOL'!D$6:D$185,'Returns-VOL'!$E$6:$E$185)</f>
        <v>0.52334999802976545</v>
      </c>
      <c r="E8">
        <f>CORREL('Returns-VOL'!E$6:E$185,'Returns-VOL'!$E$6:$E$185)</f>
        <v>1</v>
      </c>
      <c r="N8" s="30"/>
    </row>
    <row r="9" spans="2:14" x14ac:dyDescent="0.2">
      <c r="B9" s="37" t="s">
        <v>25</v>
      </c>
      <c r="C9" s="31">
        <f>CORREL('Returns-VOL'!C$6:C$185,'Returns-VOL'!$F$6:$F$185)</f>
        <v>0.38191064828555238</v>
      </c>
      <c r="D9" s="31">
        <f>CORREL('Returns-VOL'!D$6:D$185,'Returns-VOL'!$F$6:$F$185)</f>
        <v>0.26505459042213669</v>
      </c>
      <c r="E9" s="31">
        <f>CORREL('Returns-VOL'!E$6:E$185,'Returns-VOL'!$F$6:$F$185)</f>
        <v>0.34545820301091501</v>
      </c>
      <c r="F9">
        <f>CORREL('Returns-VOL'!F$6:F$185,'Returns-VOL'!$F$6:$F$185)</f>
        <v>1</v>
      </c>
      <c r="N9" s="30"/>
    </row>
    <row r="10" spans="2:14" x14ac:dyDescent="0.2">
      <c r="B10" s="37" t="s">
        <v>26</v>
      </c>
      <c r="C10" s="31">
        <f>CORREL('Returns-VOL'!C$6:C$185,'Returns-VOL'!$G$6:$G$185)</f>
        <v>0.44846474194158331</v>
      </c>
      <c r="D10" s="31">
        <f>CORREL('Returns-VOL'!D$6:D$185,'Returns-VOL'!$G$6:$G$185)</f>
        <v>0.41883235185362849</v>
      </c>
      <c r="E10" s="31">
        <f>CORREL('Returns-VOL'!E$6:E$185,'Returns-VOL'!$G$6:$G$185)</f>
        <v>0.30434292896729248</v>
      </c>
      <c r="F10" s="31">
        <f>CORREL('Returns-VOL'!F$6:F$185,'Returns-VOL'!$G$6:$G$185)</f>
        <v>0.27301013963923504</v>
      </c>
      <c r="G10">
        <f>CORREL('Returns-VOL'!G$6:G$185,'Returns-VOL'!$G$6:$G$185)</f>
        <v>0.99999999999999978</v>
      </c>
      <c r="N10" s="30"/>
    </row>
    <row r="11" spans="2:14" x14ac:dyDescent="0.2">
      <c r="B11" s="37" t="s">
        <v>27</v>
      </c>
      <c r="C11" s="31">
        <f>CORREL('Returns-VOL'!C$6:C$185,'Returns-VOL'!$H$6:$H$185)</f>
        <v>0.18880403330207454</v>
      </c>
      <c r="D11" s="31">
        <f>CORREL('Returns-VOL'!D$6:D$185,'Returns-VOL'!$H$6:$H$185)</f>
        <v>0.13724989799561416</v>
      </c>
      <c r="E11" s="31">
        <f>CORREL('Returns-VOL'!E$6:E$185,'Returns-VOL'!$H$6:$H$185)</f>
        <v>0.32580064357681204</v>
      </c>
      <c r="F11" s="31">
        <f>CORREL('Returns-VOL'!F$6:F$185,'Returns-VOL'!$H$6:$H$185)</f>
        <v>0.16010014079313906</v>
      </c>
      <c r="G11" s="31">
        <f>CORREL('Returns-VOL'!G$6:G$185,'Returns-VOL'!$H$6:$H$185)</f>
        <v>8.8827742519146227E-2</v>
      </c>
      <c r="H11">
        <f>CORREL('Returns-VOL'!H$6:H$185,'Returns-VOL'!$H$6:$H$185)</f>
        <v>0.99999999999999989</v>
      </c>
      <c r="N11" s="30"/>
    </row>
    <row r="12" spans="2:14" x14ac:dyDescent="0.2">
      <c r="B12" s="37" t="s">
        <v>28</v>
      </c>
      <c r="C12" s="31">
        <f>CORREL('Returns-VOL'!C$6:C$185,'Returns-VOL'!$I$6:$I$185)</f>
        <v>0.33754083699398912</v>
      </c>
      <c r="D12" s="31">
        <f>CORREL('Returns-VOL'!D$6:D$185,'Returns-VOL'!$I$6:$I$185)</f>
        <v>0.19864222834909473</v>
      </c>
      <c r="E12" s="31">
        <f>CORREL('Returns-VOL'!E$6:E$185,'Returns-VOL'!$I$6:$I$185)</f>
        <v>0.37098459856706484</v>
      </c>
      <c r="F12" s="31">
        <f>CORREL('Returns-VOL'!F$6:F$185,'Returns-VOL'!$I$6:$I$185)</f>
        <v>0.37559670550125318</v>
      </c>
      <c r="G12" s="31">
        <f>CORREL('Returns-VOL'!G$6:G$185,'Returns-VOL'!$I$6:$I$185)</f>
        <v>0.1767188991022233</v>
      </c>
      <c r="H12" s="31">
        <f>CORREL('Returns-VOL'!H$6:H$185,'Returns-VOL'!$I$6:$I$185)</f>
        <v>0.34245012094129212</v>
      </c>
      <c r="I12">
        <f>CORREL('Returns-VOL'!I$6:I$185,'Returns-VOL'!$I$6:$I$185)</f>
        <v>0.99999999999999989</v>
      </c>
      <c r="N12" s="30"/>
    </row>
    <row r="13" spans="2:14" x14ac:dyDescent="0.2">
      <c r="B13" s="37" t="s">
        <v>29</v>
      </c>
      <c r="C13" s="31">
        <f>CORREL('Returns-VOL'!C$6:C$185,'Returns-VOL'!$J$6:$J$185)</f>
        <v>0.58161842144577136</v>
      </c>
      <c r="D13" s="31">
        <f>CORREL('Returns-VOL'!D$6:D$185,'Returns-VOL'!$J$6:$J$185)</f>
        <v>0.63758054682227183</v>
      </c>
      <c r="E13" s="31">
        <f>CORREL('Returns-VOL'!E$6:E$185,'Returns-VOL'!$J$6:$J$185)</f>
        <v>0.47371487196579459</v>
      </c>
      <c r="F13" s="31">
        <f>CORREL('Returns-VOL'!F$6:F$185,'Returns-VOL'!$J$6:$J$185)</f>
        <v>0.40355539804657625</v>
      </c>
      <c r="G13" s="31">
        <f>CORREL('Returns-VOL'!G$6:G$185,'Returns-VOL'!$J$6:$J$185)</f>
        <v>0.34064003713873431</v>
      </c>
      <c r="H13" s="31">
        <f>CORREL('Returns-VOL'!H$6:H$185,'Returns-VOL'!$J$6:$J$185)</f>
        <v>0.22249507150273784</v>
      </c>
      <c r="I13" s="31">
        <f>CORREL('Returns-VOL'!I$6:I$185,'Returns-VOL'!$J$6:$J$185)</f>
        <v>0.31955754168920281</v>
      </c>
      <c r="J13">
        <f>CORREL('Returns-VOL'!J$6:J$185,'Returns-VOL'!$J$6:$J$185)</f>
        <v>1</v>
      </c>
      <c r="N13" s="30"/>
    </row>
    <row r="14" spans="2:14" x14ac:dyDescent="0.2">
      <c r="B14" s="37" t="s">
        <v>30</v>
      </c>
      <c r="C14" s="31">
        <f>CORREL('Returns-VOL'!C$6:C$185,'Returns-VOL'!$K$6:$K$185)</f>
        <v>0.32452280746834933</v>
      </c>
      <c r="D14" s="31">
        <f>CORREL('Returns-VOL'!D$6:D$185,'Returns-VOL'!$K$6:$K$185)</f>
        <v>0.323898940608215</v>
      </c>
      <c r="E14" s="31">
        <f>CORREL('Returns-VOL'!E$6:E$185,'Returns-VOL'!$K$6:$K$185)</f>
        <v>0.29327416924322003</v>
      </c>
      <c r="F14" s="31">
        <f>CORREL('Returns-VOL'!F$6:F$185,'Returns-VOL'!$K$6:$K$185)</f>
        <v>0.41727792823881799</v>
      </c>
      <c r="G14" s="31">
        <f>CORREL('Returns-VOL'!G$6:G$185,'Returns-VOL'!$K$6:$K$185)</f>
        <v>0.26389026451278363</v>
      </c>
      <c r="H14" s="31">
        <f>CORREL('Returns-VOL'!H$6:H$185,'Returns-VOL'!$K$6:$K$185)</f>
        <v>6.6193615217691903E-2</v>
      </c>
      <c r="I14" s="31">
        <f>CORREL('Returns-VOL'!I$6:I$185,'Returns-VOL'!$K$6:$K$185)</f>
        <v>0.22377850581354583</v>
      </c>
      <c r="J14" s="31">
        <f>CORREL('Returns-VOL'!J$6:J$185,'Returns-VOL'!$K$6:$K$185)</f>
        <v>0.2458692002543649</v>
      </c>
      <c r="K14">
        <f>CORREL('Returns-VOL'!K$6:K$185,'Returns-VOL'!$K$6:$K$185)</f>
        <v>1</v>
      </c>
      <c r="N14" s="30"/>
    </row>
    <row r="15" spans="2:14" x14ac:dyDescent="0.2">
      <c r="B15" s="37" t="s">
        <v>31</v>
      </c>
      <c r="C15" s="31">
        <f>CORREL('Returns-VOL'!C$6:C$185,'Returns-VOL'!$L$6:$L$185)</f>
        <v>0.49230835732757178</v>
      </c>
      <c r="D15" s="31">
        <f>CORREL('Returns-VOL'!D$6:D$185,'Returns-VOL'!$L$6:$L$185)</f>
        <v>0.49137491129971556</v>
      </c>
      <c r="E15" s="31">
        <f>CORREL('Returns-VOL'!E$6:E$185,'Returns-VOL'!$L$6:$L$185)</f>
        <v>0.57984560385189199</v>
      </c>
      <c r="F15" s="31">
        <f>CORREL('Returns-VOL'!F$6:F$185,'Returns-VOL'!$L$6:$L$185)</f>
        <v>0.27780689370591566</v>
      </c>
      <c r="G15" s="31">
        <f>CORREL('Returns-VOL'!G$6:G$185,'Returns-VOL'!$L$6:$L$185)</f>
        <v>0.36346966351436871</v>
      </c>
      <c r="H15" s="31">
        <f>CORREL('Returns-VOL'!H$6:H$185,'Returns-VOL'!$L$6:$L$185)</f>
        <v>0.43484529811478329</v>
      </c>
      <c r="I15" s="31">
        <f>CORREL('Returns-VOL'!I$6:I$185,'Returns-VOL'!$L$6:$L$185)</f>
        <v>0.31355972479170957</v>
      </c>
      <c r="J15" s="31">
        <f>CORREL('Returns-VOL'!J$6:J$185,'Returns-VOL'!$L$6:$L$185)</f>
        <v>0.50789721761513873</v>
      </c>
      <c r="K15" s="31">
        <f>CORREL('Returns-VOL'!K$6:K$185,'Returns-VOL'!$L$6:$L$185)</f>
        <v>0.21898469038678198</v>
      </c>
      <c r="L15">
        <f>CORREL('Returns-VOL'!L$6:L$185,'Returns-VOL'!$L$6:$L$185)</f>
        <v>1</v>
      </c>
      <c r="N15" s="30"/>
    </row>
    <row r="16" spans="2:14" x14ac:dyDescent="0.2">
      <c r="B16" s="37" t="s">
        <v>32</v>
      </c>
      <c r="C16" s="31">
        <f>CORREL('Returns-VOL'!C$6:C$185,'Returns-VOL'!$M$6:$M$185)</f>
        <v>0.53502277690054867</v>
      </c>
      <c r="D16" s="31">
        <f>CORREL('Returns-VOL'!D$6:D$185,'Returns-VOL'!$M$6:$M$185)</f>
        <v>0.61680594426566027</v>
      </c>
      <c r="E16" s="31">
        <f>CORREL('Returns-VOL'!E$6:E$185,'Returns-VOL'!$M$6:$M$185)</f>
        <v>0.31083951510982388</v>
      </c>
      <c r="F16" s="31">
        <f>CORREL('Returns-VOL'!F$6:F$185,'Returns-VOL'!$M$6:$M$185)</f>
        <v>0.34915269291994139</v>
      </c>
      <c r="G16" s="31">
        <f>CORREL('Returns-VOL'!G$6:G$185,'Returns-VOL'!$M$6:$M$185)</f>
        <v>0.38185975524370136</v>
      </c>
      <c r="H16" s="31">
        <f>CORREL('Returns-VOL'!H$6:H$185,'Returns-VOL'!$M$6:$M$185)</f>
        <v>4.8617710675227459E-2</v>
      </c>
      <c r="I16" s="31">
        <f>CORREL('Returns-VOL'!I$6:I$185,'Returns-VOL'!$M$6:$M$185)</f>
        <v>0.23947103342668033</v>
      </c>
      <c r="J16" s="31">
        <f>CORREL('Returns-VOL'!J$6:J$185,'Returns-VOL'!$M$6:$M$185)</f>
        <v>0.56409078318825312</v>
      </c>
      <c r="K16" s="31">
        <f>CORREL('Returns-VOL'!K$6:K$185,'Returns-VOL'!$M$6:$M$185)</f>
        <v>0.32506445384026272</v>
      </c>
      <c r="L16" s="31">
        <f>CORREL('Returns-VOL'!L$6:L$185,'Returns-VOL'!$M$6:$M$185)</f>
        <v>0.3214990662433021</v>
      </c>
      <c r="M16">
        <f>CORREL('Returns-VOL'!M$6:M$185,'Returns-VOL'!$M$6:$M$185)</f>
        <v>1</v>
      </c>
      <c r="N16" s="30"/>
    </row>
    <row r="17" spans="2:14" ht="16" customHeight="1" thickBot="1" x14ac:dyDescent="0.25">
      <c r="B17" s="38" t="s">
        <v>33</v>
      </c>
      <c r="C17" s="32">
        <f>CORREL('Returns-VOL'!C$6:C$185,'Returns-VOL'!$N$6:$N$185)</f>
        <v>0.60380066070586969</v>
      </c>
      <c r="D17" s="32">
        <f>CORREL('Returns-VOL'!D$6:D$185,'Returns-VOL'!$N$6:$N$185)</f>
        <v>0.65740410464651122</v>
      </c>
      <c r="E17" s="32">
        <f>CORREL('Returns-VOL'!E$6:E$185,'Returns-VOL'!$N$6:$N$185)</f>
        <v>0.51746260355566431</v>
      </c>
      <c r="F17" s="32">
        <f>CORREL('Returns-VOL'!F$6:F$185,'Returns-VOL'!$N$6:$N$185)</f>
        <v>0.44568892882159505</v>
      </c>
      <c r="G17" s="32">
        <f>CORREL('Returns-VOL'!G$6:G$185,'Returns-VOL'!$N$6:$N$185)</f>
        <v>0.42849862217792328</v>
      </c>
      <c r="H17" s="32">
        <f>CORREL('Returns-VOL'!H$6:H$185,'Returns-VOL'!$N$6:$N$185)</f>
        <v>0.22144119029261458</v>
      </c>
      <c r="I17" s="32">
        <f>CORREL('Returns-VOL'!I$6:I$185,'Returns-VOL'!$N$6:$N$185)</f>
        <v>0.32345741459465344</v>
      </c>
      <c r="J17" s="32">
        <f>CORREL('Returns-VOL'!J$6:J$185,'Returns-VOL'!$N$6:$N$185)</f>
        <v>0.5784352963324646</v>
      </c>
      <c r="K17" s="32">
        <f>CORREL('Returns-VOL'!K$6:K$185,'Returns-VOL'!$N$6:$N$185)</f>
        <v>0.25081960534779302</v>
      </c>
      <c r="L17" s="32">
        <f>CORREL('Returns-VOL'!L$6:L$185,'Returns-VOL'!$N$6:$N$185)</f>
        <v>0.46741636721305879</v>
      </c>
      <c r="M17" s="32">
        <f>CORREL('Returns-VOL'!M$6:M$185,'Returns-VOL'!$N$6:$N$185)</f>
        <v>0.54879115606271833</v>
      </c>
      <c r="N17" s="57">
        <f>CORREL('Returns-VOL'!N$6:N$185,'Returns-VOL'!$N$6:$N$185)</f>
        <v>1.0000000000000002</v>
      </c>
    </row>
    <row r="22" spans="2:14" x14ac:dyDescent="0.2">
      <c r="F22" s="20"/>
    </row>
    <row r="23" spans="2:14" x14ac:dyDescent="0.2">
      <c r="F23" s="20"/>
    </row>
    <row r="24" spans="2:14" x14ac:dyDescent="0.2">
      <c r="C24" s="31"/>
      <c r="F24" s="20"/>
    </row>
    <row r="25" spans="2:14" x14ac:dyDescent="0.2">
      <c r="C25" s="31"/>
      <c r="D25" s="31"/>
      <c r="F25" s="20"/>
    </row>
    <row r="26" spans="2:14" x14ac:dyDescent="0.2">
      <c r="C26" s="31"/>
      <c r="D26" s="31"/>
      <c r="E26" s="31"/>
      <c r="F26" s="20"/>
    </row>
    <row r="27" spans="2:14" x14ac:dyDescent="0.2">
      <c r="C27" s="31"/>
      <c r="D27" s="31"/>
      <c r="E27" s="31"/>
      <c r="F27" s="41"/>
    </row>
    <row r="28" spans="2:14" x14ac:dyDescent="0.2">
      <c r="C28" s="31"/>
      <c r="D28" s="31"/>
      <c r="E28" s="31"/>
      <c r="F28" s="41"/>
      <c r="G28" s="31"/>
    </row>
    <row r="29" spans="2:14" x14ac:dyDescent="0.2">
      <c r="C29" s="31"/>
      <c r="D29" s="31"/>
      <c r="E29" s="31"/>
      <c r="F29" s="41"/>
      <c r="G29" s="31"/>
      <c r="H29" s="31"/>
    </row>
    <row r="30" spans="2:14" x14ac:dyDescent="0.2">
      <c r="C30" s="31"/>
      <c r="D30" s="31"/>
      <c r="E30" s="31"/>
      <c r="F30" s="41"/>
      <c r="G30" s="31"/>
      <c r="H30" s="31"/>
      <c r="I30" s="31"/>
    </row>
    <row r="31" spans="2:14" x14ac:dyDescent="0.2">
      <c r="C31" s="31"/>
      <c r="D31" s="31"/>
      <c r="E31" s="31"/>
      <c r="F31" s="41"/>
      <c r="G31" s="31"/>
      <c r="H31" s="31"/>
      <c r="I31" s="31"/>
      <c r="J31" s="31"/>
    </row>
    <row r="32" spans="2:14" x14ac:dyDescent="0.2">
      <c r="C32" s="31"/>
      <c r="D32" s="31"/>
      <c r="E32" s="31"/>
      <c r="F32" s="41"/>
      <c r="G32" s="31"/>
      <c r="H32" s="31"/>
      <c r="I32" s="31"/>
      <c r="J32" s="31"/>
      <c r="K32" s="31"/>
    </row>
    <row r="33" spans="3:13" x14ac:dyDescent="0.2">
      <c r="C33" s="31"/>
      <c r="D33" s="31"/>
      <c r="E33" s="31"/>
      <c r="F33" s="41"/>
      <c r="G33" s="31"/>
      <c r="H33" s="31"/>
      <c r="I33" s="31"/>
      <c r="J33" s="31"/>
      <c r="K33" s="31"/>
      <c r="L33" s="31"/>
    </row>
    <row r="34" spans="3:13" x14ac:dyDescent="0.2">
      <c r="C34" s="31"/>
      <c r="D34" s="31"/>
      <c r="E34" s="31"/>
      <c r="F34" s="31"/>
      <c r="G34" s="31"/>
      <c r="H34" s="31"/>
      <c r="I34" s="31"/>
      <c r="J34" s="31"/>
      <c r="K34" s="31"/>
      <c r="L34" s="31"/>
      <c r="M34" s="31"/>
    </row>
  </sheetData>
  <mergeCells count="1">
    <mergeCell ref="B3:N4"/>
  </mergeCells>
  <conditionalFormatting sqref="C6:N12 C13:C14 C15:N17 K13 L14:N14 M13:N13">
    <cfRule type="colorScale" priority="4">
      <colorScale>
        <cfvo type="min"/>
        <cfvo type="percentile" val="50"/>
        <cfvo type="max"/>
        <color rgb="FFF8696B"/>
        <color rgb="FFFFEB84"/>
        <color rgb="FF63BE7B"/>
      </colorScale>
    </cfRule>
  </conditionalFormatting>
  <conditionalFormatting sqref="D13:J13">
    <cfRule type="colorScale" priority="2">
      <colorScale>
        <cfvo type="min"/>
        <cfvo type="percentile" val="50"/>
        <cfvo type="max"/>
        <color rgb="FFF8696B"/>
        <color rgb="FFFFEB84"/>
        <color rgb="FF63BE7B"/>
      </colorScale>
    </cfRule>
  </conditionalFormatting>
  <conditionalFormatting sqref="D14:K14">
    <cfRule type="colorScale" priority="3">
      <colorScale>
        <cfvo type="min"/>
        <cfvo type="percentile" val="50"/>
        <cfvo type="max"/>
        <color rgb="FFF8696B"/>
        <color rgb="FFFFEB84"/>
        <color rgb="FF63BE7B"/>
      </colorScale>
    </cfRule>
  </conditionalFormatting>
  <conditionalFormatting sqref="N2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N16"/>
  <sheetViews>
    <sheetView showGridLines="0" zoomScale="88" workbookViewId="0">
      <selection activeCell="C5" sqref="C5"/>
    </sheetView>
  </sheetViews>
  <sheetFormatPr baseColWidth="10" defaultColWidth="10.83203125" defaultRowHeight="15" x14ac:dyDescent="0.2"/>
  <cols>
    <col min="3" max="14" width="12.6640625" bestFit="1" customWidth="1"/>
  </cols>
  <sheetData>
    <row r="1" spans="2:14" ht="16" customHeight="1" thickBot="1" x14ac:dyDescent="0.25"/>
    <row r="2" spans="2:14" x14ac:dyDescent="0.2">
      <c r="B2" s="130" t="s">
        <v>239</v>
      </c>
      <c r="C2" s="131"/>
      <c r="D2" s="131"/>
      <c r="E2" s="131"/>
      <c r="F2" s="131"/>
      <c r="G2" s="131"/>
      <c r="H2" s="131"/>
      <c r="I2" s="131"/>
      <c r="J2" s="131"/>
      <c r="K2" s="131"/>
      <c r="L2" s="131"/>
      <c r="M2" s="131"/>
      <c r="N2" s="132"/>
    </row>
    <row r="3" spans="2:14" ht="16" customHeight="1" thickBot="1" x14ac:dyDescent="0.25">
      <c r="B3" s="123"/>
      <c r="C3" s="133"/>
      <c r="D3" s="133"/>
      <c r="E3" s="133"/>
      <c r="F3" s="133"/>
      <c r="G3" s="133"/>
      <c r="H3" s="133"/>
      <c r="I3" s="133"/>
      <c r="J3" s="133"/>
      <c r="K3" s="133"/>
      <c r="L3" s="133"/>
      <c r="M3" s="133"/>
      <c r="N3" s="134"/>
    </row>
    <row r="4" spans="2:14" x14ac:dyDescent="0.2">
      <c r="B4" s="35"/>
      <c r="C4" s="39" t="s">
        <v>22</v>
      </c>
      <c r="D4" s="39" t="s">
        <v>23</v>
      </c>
      <c r="E4" s="39" t="s">
        <v>24</v>
      </c>
      <c r="F4" s="39" t="s">
        <v>25</v>
      </c>
      <c r="G4" s="39" t="s">
        <v>26</v>
      </c>
      <c r="H4" s="39" t="s">
        <v>27</v>
      </c>
      <c r="I4" s="39" t="s">
        <v>28</v>
      </c>
      <c r="J4" s="39" t="s">
        <v>29</v>
      </c>
      <c r="K4" s="39" t="s">
        <v>30</v>
      </c>
      <c r="L4" s="39" t="s">
        <v>31</v>
      </c>
      <c r="M4" s="39" t="s">
        <v>32</v>
      </c>
      <c r="N4" s="40" t="s">
        <v>33</v>
      </c>
    </row>
    <row r="5" spans="2:14" x14ac:dyDescent="0.2">
      <c r="B5" s="36" t="s">
        <v>22</v>
      </c>
      <c r="C5" s="53">
        <f>_xlfn.COVARIANCE.S('Returns-VOL'!$C$6:$C$185,'Returns-VOL'!C6:C185)</f>
        <v>7.9092910127102067E-3</v>
      </c>
      <c r="D5" s="53">
        <f>_xlfn.COVARIANCE.S('Returns-VOL'!$C$6:$C$185,'Returns-VOL'!D6:D185)</f>
        <v>4.8602965779138566E-3</v>
      </c>
      <c r="E5" s="53">
        <f>_xlfn.COVARIANCE.S('Returns-VOL'!$C$6:$C$185,'Returns-VOL'!E6:E185)</f>
        <v>3.148420522462691E-3</v>
      </c>
      <c r="F5" s="53">
        <f>_xlfn.COVARIANCE.S('Returns-VOL'!$C$6:$C$185,'Returns-VOL'!F6:F185)</f>
        <v>1.5674193917281944E-3</v>
      </c>
      <c r="G5" s="53">
        <f>_xlfn.COVARIANCE.S('Returns-VOL'!$C$6:$C$185,'Returns-VOL'!G6:G185)</f>
        <v>2.8659842191614848E-3</v>
      </c>
      <c r="H5" s="53">
        <f>_xlfn.COVARIANCE.S('Returns-VOL'!$C$6:$C$185,'Returns-VOL'!H6:H185)</f>
        <v>1.2412654790050523E-3</v>
      </c>
      <c r="I5" s="53">
        <f>_xlfn.COVARIANCE.S('Returns-VOL'!$C$6:$C$185,'Returns-VOL'!I6:I185)</f>
        <v>1.638039926336146E-3</v>
      </c>
      <c r="J5" s="53">
        <f>_xlfn.COVARIANCE.S('Returns-VOL'!$C$6:$C$185,'Returns-VOL'!J6:J185)</f>
        <v>5.7556099665542074E-3</v>
      </c>
      <c r="K5" s="53">
        <f>_xlfn.COVARIANCE.S('Returns-VOL'!$C$6:$C$185,'Returns-VOL'!K6:K185)</f>
        <v>1.5935305490059803E-3</v>
      </c>
      <c r="L5" s="53">
        <f>_xlfn.COVARIANCE.S('Returns-VOL'!$C$6:$C$185,'Returns-VOL'!L6:L185)</f>
        <v>2.8276659732405889E-3</v>
      </c>
      <c r="M5" s="53">
        <f>_xlfn.COVARIANCE.S('Returns-VOL'!$C$6:$C$185,'Returns-VOL'!M6:M185)</f>
        <v>3.0987921283345717E-3</v>
      </c>
      <c r="N5" s="54">
        <f>_xlfn.COVARIANCE.S('Returns-VOL'!$C$6:$C$185,'Returns-VOL'!N6:N185)</f>
        <v>3.2178499250089575E-3</v>
      </c>
    </row>
    <row r="6" spans="2:14" x14ac:dyDescent="0.2">
      <c r="B6" s="37" t="s">
        <v>23</v>
      </c>
      <c r="C6" s="53">
        <f>_xlfn.COVARIANCE.S('Returns-VOL'!$D$6:$D$185,'Returns-VOL'!C6:C185)</f>
        <v>4.8602965779138566E-3</v>
      </c>
      <c r="D6" s="53">
        <f>_xlfn.COVARIANCE.S('Returns-VOL'!$D$6:$D$185,'Returns-VOL'!D6:D185)</f>
        <v>8.7873713252265302E-3</v>
      </c>
      <c r="E6" s="53">
        <f>_xlfn.COVARIANCE.S('Returns-VOL'!$D$6:$D$185,'Returns-VOL'!E6:E185)</f>
        <v>3.7395931990973543E-3</v>
      </c>
      <c r="F6" s="53">
        <f>_xlfn.COVARIANCE.S('Returns-VOL'!$D$6:$D$185,'Returns-VOL'!F6:F185)</f>
        <v>1.146619939726241E-3</v>
      </c>
      <c r="G6" s="53">
        <f>_xlfn.COVARIANCE.S('Returns-VOL'!$D$6:$D$185,'Returns-VOL'!G6:G185)</f>
        <v>2.8212815075912127E-3</v>
      </c>
      <c r="H6" s="53">
        <f>_xlfn.COVARIANCE.S('Returns-VOL'!$D$6:$D$185,'Returns-VOL'!H6:H185)</f>
        <v>9.5109993458166375E-4</v>
      </c>
      <c r="I6" s="53">
        <f>_xlfn.COVARIANCE.S('Returns-VOL'!$D$6:$D$185,'Returns-VOL'!I6:I185)</f>
        <v>1.016085960033242E-3</v>
      </c>
      <c r="J6" s="53">
        <f>_xlfn.COVARIANCE.S('Returns-VOL'!$D$6:$D$185,'Returns-VOL'!J6:J185)</f>
        <v>6.6504184475847609E-3</v>
      </c>
      <c r="K6" s="53">
        <f>_xlfn.COVARIANCE.S('Returns-VOL'!$D$6:$D$185,'Returns-VOL'!K6:K185)</f>
        <v>1.6764299399149652E-3</v>
      </c>
      <c r="L6" s="53">
        <f>_xlfn.COVARIANCE.S('Returns-VOL'!$D$6:$D$185,'Returns-VOL'!L6:L185)</f>
        <v>2.9748466798968122E-3</v>
      </c>
      <c r="M6" s="53">
        <f>_xlfn.COVARIANCE.S('Returns-VOL'!$D$6:$D$185,'Returns-VOL'!M6:M185)</f>
        <v>3.7655588133041549E-3</v>
      </c>
      <c r="N6" s="54">
        <f>_xlfn.COVARIANCE.S('Returns-VOL'!$D$6:$D$185,'Returns-VOL'!N6:N185)</f>
        <v>3.6928810984202874E-3</v>
      </c>
    </row>
    <row r="7" spans="2:14" x14ac:dyDescent="0.2">
      <c r="B7" s="37" t="s">
        <v>24</v>
      </c>
      <c r="C7" s="53">
        <f>_xlfn.COVARIANCE.S('Returns-VOL'!$E$6:$E$185,'Returns-VOL'!C6:C185)</f>
        <v>3.148420522462691E-3</v>
      </c>
      <c r="D7" s="53">
        <f>_xlfn.COVARIANCE.S('Returns-VOL'!$E$6:$E$185,'Returns-VOL'!D6:D185)</f>
        <v>3.7395931990973543E-3</v>
      </c>
      <c r="E7" s="53">
        <f>_xlfn.COVARIANCE.S('Returns-VOL'!$E$6:$E$185,'Returns-VOL'!E6:E185)</f>
        <v>5.8103900869824997E-3</v>
      </c>
      <c r="F7" s="53">
        <f>_xlfn.COVARIANCE.S('Returns-VOL'!$E$6:$E$185,'Returns-VOL'!F6:F185)</f>
        <v>1.2152141706187358E-3</v>
      </c>
      <c r="G7" s="53">
        <f>_xlfn.COVARIANCE.S('Returns-VOL'!$E$6:$E$185,'Returns-VOL'!G6:G185)</f>
        <v>1.6670267677902598E-3</v>
      </c>
      <c r="H7" s="53">
        <f>_xlfn.COVARIANCE.S('Returns-VOL'!$E$6:$E$185,'Returns-VOL'!H6:H185)</f>
        <v>1.8358585442989042E-3</v>
      </c>
      <c r="I7" s="53">
        <f>_xlfn.COVARIANCE.S('Returns-VOL'!$E$6:$E$185,'Returns-VOL'!I6:I185)</f>
        <v>1.5430781015042503E-3</v>
      </c>
      <c r="J7" s="53">
        <f>_xlfn.COVARIANCE.S('Returns-VOL'!$E$6:$E$185,'Returns-VOL'!J6:J185)</f>
        <v>4.0179459424485682E-3</v>
      </c>
      <c r="K7" s="53">
        <f>_xlfn.COVARIANCE.S('Returns-VOL'!$E$6:$E$185,'Returns-VOL'!K6:K185)</f>
        <v>1.2343060278663051E-3</v>
      </c>
      <c r="L7" s="53">
        <f>_xlfn.COVARIANCE.S('Returns-VOL'!$E$6:$E$185,'Returns-VOL'!L6:L185)</f>
        <v>2.8545465780078294E-3</v>
      </c>
      <c r="M7" s="53">
        <f>_xlfn.COVARIANCE.S('Returns-VOL'!$E$6:$E$185,'Returns-VOL'!M6:M185)</f>
        <v>1.5430864699004703E-3</v>
      </c>
      <c r="N7" s="54">
        <f>_xlfn.COVARIANCE.S('Returns-VOL'!$E$6:$E$185,'Returns-VOL'!N6:N185)</f>
        <v>2.3636601776736302E-3</v>
      </c>
    </row>
    <row r="8" spans="2:14" x14ac:dyDescent="0.2">
      <c r="B8" s="37" t="s">
        <v>25</v>
      </c>
      <c r="C8" s="53">
        <f>_xlfn.COVARIANCE.S('Returns-VOL'!$F$6:$F$185,'Returns-VOL'!C6:C185)</f>
        <v>1.5674193917281944E-3</v>
      </c>
      <c r="D8" s="53">
        <f>_xlfn.COVARIANCE.S('Returns-VOL'!$F$6:$F$185,'Returns-VOL'!D6:D185)</f>
        <v>1.146619939726241E-3</v>
      </c>
      <c r="E8" s="53">
        <f>_xlfn.COVARIANCE.S('Returns-VOL'!$F$6:$F$185,'Returns-VOL'!E6:E185)</f>
        <v>1.2152141706187358E-3</v>
      </c>
      <c r="F8" s="53">
        <f>_xlfn.COVARIANCE.S('Returns-VOL'!$F$6:$F$185,'Returns-VOL'!F6:F185)</f>
        <v>2.1296554252174028E-3</v>
      </c>
      <c r="G8" s="53">
        <f>_xlfn.COVARIANCE.S('Returns-VOL'!$F$6:$F$185,'Returns-VOL'!G6:G185)</f>
        <v>9.0533677113228907E-4</v>
      </c>
      <c r="H8" s="53">
        <f>_xlfn.COVARIANCE.S('Returns-VOL'!$F$6:$F$185,'Returns-VOL'!H6:H185)</f>
        <v>5.4617399279200556E-4</v>
      </c>
      <c r="I8" s="53">
        <f>_xlfn.COVARIANCE.S('Returns-VOL'!$F$6:$F$185,'Returns-VOL'!I6:I185)</f>
        <v>9.4581419437615158E-4</v>
      </c>
      <c r="J8" s="53">
        <f>_xlfn.COVARIANCE.S('Returns-VOL'!$F$6:$F$185,'Returns-VOL'!J6:J185)</f>
        <v>2.0722505157650243E-3</v>
      </c>
      <c r="K8" s="53">
        <f>_xlfn.COVARIANCE.S('Returns-VOL'!$F$6:$F$185,'Returns-VOL'!K6:K185)</f>
        <v>1.0632281722426815E-3</v>
      </c>
      <c r="L8" s="53">
        <f>_xlfn.COVARIANCE.S('Returns-VOL'!$F$6:$F$185,'Returns-VOL'!L6:L185)</f>
        <v>8.2797992820514768E-4</v>
      </c>
      <c r="M8" s="53">
        <f>_xlfn.COVARIANCE.S('Returns-VOL'!$F$6:$F$185,'Returns-VOL'!M6:M185)</f>
        <v>1.0493526457471701E-3</v>
      </c>
      <c r="N8" s="54">
        <f>_xlfn.COVARIANCE.S('Returns-VOL'!$F$6:$F$185,'Returns-VOL'!N6:N185)</f>
        <v>1.2325085496477991E-3</v>
      </c>
    </row>
    <row r="9" spans="2:14" x14ac:dyDescent="0.2">
      <c r="B9" s="37" t="s">
        <v>26</v>
      </c>
      <c r="C9" s="53">
        <f>_xlfn.COVARIANCE.S('Returns-VOL'!$G$6:$G$185,'Returns-VOL'!C6:C185)</f>
        <v>2.8659842191614848E-3</v>
      </c>
      <c r="D9" s="53">
        <f>_xlfn.COVARIANCE.S('Returns-VOL'!$G$6:$G$185,'Returns-VOL'!D6:D185)</f>
        <v>2.8212815075912127E-3</v>
      </c>
      <c r="E9" s="53">
        <f>_xlfn.COVARIANCE.S('Returns-VOL'!$G$6:$G$185,'Returns-VOL'!E6:E185)</f>
        <v>1.6670267677902598E-3</v>
      </c>
      <c r="F9" s="53">
        <f>_xlfn.COVARIANCE.S('Returns-VOL'!$G$6:$G$185,'Returns-VOL'!F6:F185)</f>
        <v>9.0533677113228907E-4</v>
      </c>
      <c r="G9" s="53">
        <f>_xlfn.COVARIANCE.S('Returns-VOL'!$G$6:$G$185,'Returns-VOL'!G6:G185)</f>
        <v>5.1636099007294064E-3</v>
      </c>
      <c r="H9" s="53">
        <f>_xlfn.COVARIANCE.S('Returns-VOL'!$G$6:$G$185,'Returns-VOL'!H6:H185)</f>
        <v>4.7185652997449554E-4</v>
      </c>
      <c r="I9" s="53">
        <f>_xlfn.COVARIANCE.S('Returns-VOL'!$G$6:$G$185,'Returns-VOL'!I6:I185)</f>
        <v>6.9292956636158752E-4</v>
      </c>
      <c r="J9" s="53">
        <f>_xlfn.COVARIANCE.S('Returns-VOL'!$G$6:$G$185,'Returns-VOL'!J6:J185)</f>
        <v>2.7236846852690981E-3</v>
      </c>
      <c r="K9" s="53">
        <f>_xlfn.COVARIANCE.S('Returns-VOL'!$G$6:$G$185,'Returns-VOL'!K6:K185)</f>
        <v>1.046999495581094E-3</v>
      </c>
      <c r="L9" s="53">
        <f>_xlfn.COVARIANCE.S('Returns-VOL'!$G$6:$G$185,'Returns-VOL'!L6:L185)</f>
        <v>1.6868132401194097E-3</v>
      </c>
      <c r="M9" s="53">
        <f>_xlfn.COVARIANCE.S('Returns-VOL'!$G$6:$G$185,'Returns-VOL'!M6:M185)</f>
        <v>1.7870306349602387E-3</v>
      </c>
      <c r="N9" s="54">
        <f>_xlfn.COVARIANCE.S('Returns-VOL'!$G$6:$G$185,'Returns-VOL'!N6:N185)</f>
        <v>1.8451410297643442E-3</v>
      </c>
    </row>
    <row r="10" spans="2:14" x14ac:dyDescent="0.2">
      <c r="B10" s="37" t="s">
        <v>27</v>
      </c>
      <c r="C10" s="53">
        <f>_xlfn.COVARIANCE.S('Returns-VOL'!$H$6:$H$185,'Returns-VOL'!C6:C185)</f>
        <v>1.2412654790050523E-3</v>
      </c>
      <c r="D10" s="53">
        <f>_xlfn.COVARIANCE.S('Returns-VOL'!$H$6:$H$185,'Returns-VOL'!D6:D185)</f>
        <v>9.5109993458166375E-4</v>
      </c>
      <c r="E10" s="53">
        <f>_xlfn.COVARIANCE.S('Returns-VOL'!$H$6:$H$185,'Returns-VOL'!E6:E185)</f>
        <v>1.8358585442989042E-3</v>
      </c>
      <c r="F10" s="53">
        <f>_xlfn.COVARIANCE.S('Returns-VOL'!$H$6:$H$185,'Returns-VOL'!F6:F185)</f>
        <v>5.4617399279200556E-4</v>
      </c>
      <c r="G10" s="53">
        <f>_xlfn.COVARIANCE.S('Returns-VOL'!$H$6:$H$185,'Returns-VOL'!G6:G185)</f>
        <v>4.7185652997449554E-4</v>
      </c>
      <c r="H10" s="53">
        <f>_xlfn.COVARIANCE.S('Returns-VOL'!$H$6:$H$185,'Returns-VOL'!H6:H185)</f>
        <v>5.4647369830495649E-3</v>
      </c>
      <c r="I10" s="53">
        <f>_xlfn.COVARIANCE.S('Returns-VOL'!$H$6:$H$185,'Returns-VOL'!I6:I185)</f>
        <v>1.3813741947250164E-3</v>
      </c>
      <c r="J10" s="53">
        <f>_xlfn.COVARIANCE.S('Returns-VOL'!$H$6:$H$185,'Returns-VOL'!J6:J185)</f>
        <v>1.8301616574615931E-3</v>
      </c>
      <c r="K10" s="53">
        <f>_xlfn.COVARIANCE.S('Returns-VOL'!$H$6:$H$185,'Returns-VOL'!K6:K185)</f>
        <v>2.7017622221153613E-4</v>
      </c>
      <c r="L10" s="53">
        <f>_xlfn.COVARIANCE.S('Returns-VOL'!$H$6:$H$185,'Returns-VOL'!L6:L185)</f>
        <v>2.0760677902055403E-3</v>
      </c>
      <c r="M10" s="53">
        <f>_xlfn.COVARIANCE.S('Returns-VOL'!$H$6:$H$185,'Returns-VOL'!M6:M185)</f>
        <v>2.3406179555692872E-4</v>
      </c>
      <c r="N10" s="54">
        <f>_xlfn.COVARIANCE.S('Returns-VOL'!$H$6:$H$185,'Returns-VOL'!N6:N185)</f>
        <v>9.8094907800441267E-4</v>
      </c>
    </row>
    <row r="11" spans="2:14" x14ac:dyDescent="0.2">
      <c r="B11" s="37" t="s">
        <v>28</v>
      </c>
      <c r="C11" s="53">
        <f>_xlfn.COVARIANCE.S('Returns-VOL'!$I$6:$I$185,'Returns-VOL'!C6:C185)</f>
        <v>1.638039926336146E-3</v>
      </c>
      <c r="D11" s="53">
        <f>_xlfn.COVARIANCE.S('Returns-VOL'!$I$6:$I$185,'Returns-VOL'!D6:D185)</f>
        <v>1.016085960033242E-3</v>
      </c>
      <c r="E11" s="53">
        <f>_xlfn.COVARIANCE.S('Returns-VOL'!$I$6:$I$185,'Returns-VOL'!E6:E185)</f>
        <v>1.5430781015042503E-3</v>
      </c>
      <c r="F11" s="53">
        <f>_xlfn.COVARIANCE.S('Returns-VOL'!$I$6:$I$185,'Returns-VOL'!F6:F185)</f>
        <v>9.4581419437615158E-4</v>
      </c>
      <c r="G11" s="53">
        <f>_xlfn.COVARIANCE.S('Returns-VOL'!$I$6:$I$185,'Returns-VOL'!G6:G185)</f>
        <v>6.9292956636158752E-4</v>
      </c>
      <c r="H11" s="53">
        <f>_xlfn.COVARIANCE.S('Returns-VOL'!$I$6:$I$185,'Returns-VOL'!H6:H185)</f>
        <v>1.3813741947250164E-3</v>
      </c>
      <c r="I11" s="53">
        <f>_xlfn.COVARIANCE.S('Returns-VOL'!$I$6:$I$185,'Returns-VOL'!I6:I185)</f>
        <v>2.9775479593028664E-3</v>
      </c>
      <c r="J11" s="53">
        <f>_xlfn.COVARIANCE.S('Returns-VOL'!$I$6:$I$185,'Returns-VOL'!J6:J185)</f>
        <v>1.9402731740811509E-3</v>
      </c>
      <c r="K11" s="53">
        <f>_xlfn.COVARIANCE.S('Returns-VOL'!$I$6:$I$185,'Returns-VOL'!K6:K185)</f>
        <v>6.7420837648773414E-4</v>
      </c>
      <c r="L11" s="53">
        <f>_xlfn.COVARIANCE.S('Returns-VOL'!$I$6:$I$185,'Returns-VOL'!L6:L185)</f>
        <v>1.1050241694471605E-3</v>
      </c>
      <c r="M11" s="53">
        <f>_xlfn.COVARIANCE.S('Returns-VOL'!$I$6:$I$185,'Returns-VOL'!M6:M185)</f>
        <v>8.5100824240593289E-4</v>
      </c>
      <c r="N11" s="54">
        <f>_xlfn.COVARIANCE.S('Returns-VOL'!$I$6:$I$185,'Returns-VOL'!N6:N185)</f>
        <v>1.0576693460548339E-3</v>
      </c>
    </row>
    <row r="12" spans="2:14" x14ac:dyDescent="0.2">
      <c r="B12" s="37" t="s">
        <v>29</v>
      </c>
      <c r="C12" s="53">
        <f>_xlfn.COVARIANCE.S('Returns-VOL'!$J$6:$J$185,'Returns-VOL'!C6:C185)</f>
        <v>5.7556099665542074E-3</v>
      </c>
      <c r="D12" s="53">
        <f>_xlfn.COVARIANCE.S('Returns-VOL'!$J$6:$J$185,'Returns-VOL'!D6:D185)</f>
        <v>6.6504184475847609E-3</v>
      </c>
      <c r="E12" s="53">
        <f>_xlfn.COVARIANCE.S('Returns-VOL'!$J$6:$J$185,'Returns-VOL'!E6:E185)</f>
        <v>4.0179459424485682E-3</v>
      </c>
      <c r="F12" s="53">
        <f>_xlfn.COVARIANCE.S('Returns-VOL'!$J$6:$J$185,'Returns-VOL'!F6:F185)</f>
        <v>2.0722505157650243E-3</v>
      </c>
      <c r="G12" s="53">
        <f>_xlfn.COVARIANCE.S('Returns-VOL'!$J$6:$J$185,'Returns-VOL'!G6:G185)</f>
        <v>2.7236846852690981E-3</v>
      </c>
      <c r="H12" s="53">
        <f>_xlfn.COVARIANCE.S('Returns-VOL'!$J$6:$J$185,'Returns-VOL'!H6:H185)</f>
        <v>1.8301616574615931E-3</v>
      </c>
      <c r="I12" s="53">
        <f>_xlfn.COVARIANCE.S('Returns-VOL'!$J$6:$J$185,'Returns-VOL'!I6:I185)</f>
        <v>1.9402731740811509E-3</v>
      </c>
      <c r="J12" s="53">
        <f>_xlfn.COVARIANCE.S('Returns-VOL'!$J$6:$J$185,'Returns-VOL'!J6:J185)</f>
        <v>1.2381374217508512E-2</v>
      </c>
      <c r="K12" s="53">
        <f>_xlfn.COVARIANCE.S('Returns-VOL'!$J$6:$J$185,'Returns-VOL'!K6:K185)</f>
        <v>1.5105494433057618E-3</v>
      </c>
      <c r="L12" s="53">
        <f>_xlfn.COVARIANCE.S('Returns-VOL'!$J$6:$J$185,'Returns-VOL'!L6:L185)</f>
        <v>3.6499118728042343E-3</v>
      </c>
      <c r="M12" s="53">
        <f>_xlfn.COVARIANCE.S('Returns-VOL'!$J$6:$J$185,'Returns-VOL'!M6:M185)</f>
        <v>4.0877546771432658E-3</v>
      </c>
      <c r="N12" s="54">
        <f>_xlfn.COVARIANCE.S('Returns-VOL'!$J$6:$J$185,'Returns-VOL'!N6:N185)</f>
        <v>3.8569377977687998E-3</v>
      </c>
    </row>
    <row r="13" spans="2:14" x14ac:dyDescent="0.2">
      <c r="B13" s="37" t="s">
        <v>30</v>
      </c>
      <c r="C13" s="53">
        <f>_xlfn.COVARIANCE.S('Returns-VOL'!$K$6:$K$185,'Returns-VOL'!C6:C185)</f>
        <v>1.5935305490059803E-3</v>
      </c>
      <c r="D13" s="53">
        <f>_xlfn.COVARIANCE.S('Returns-VOL'!$K$6:$K$185,'Returns-VOL'!D6:D185)</f>
        <v>1.6764299399149652E-3</v>
      </c>
      <c r="E13" s="53">
        <f>_xlfn.COVARIANCE.S('Returns-VOL'!$K$6:$K$185,'Returns-VOL'!E6:E185)</f>
        <v>1.2343060278663051E-3</v>
      </c>
      <c r="F13" s="53">
        <f>_xlfn.COVARIANCE.S('Returns-VOL'!$K$6:$K$185,'Returns-VOL'!F6:F185)</f>
        <v>1.0632281722426815E-3</v>
      </c>
      <c r="G13" s="53">
        <f>_xlfn.COVARIANCE.S('Returns-VOL'!$K$6:$K$185,'Returns-VOL'!G6:G185)</f>
        <v>1.046999495581094E-3</v>
      </c>
      <c r="H13" s="53">
        <f>_xlfn.COVARIANCE.S('Returns-VOL'!$K$6:$K$185,'Returns-VOL'!H6:H185)</f>
        <v>2.7017622221153613E-4</v>
      </c>
      <c r="I13" s="53">
        <f>_xlfn.COVARIANCE.S('Returns-VOL'!$K$6:$K$185,'Returns-VOL'!I6:I185)</f>
        <v>6.7420837648773414E-4</v>
      </c>
      <c r="J13" s="53">
        <f>_xlfn.COVARIANCE.S('Returns-VOL'!$K$6:$K$185,'Returns-VOL'!J6:J185)</f>
        <v>1.5105494433057618E-3</v>
      </c>
      <c r="K13" s="53">
        <f>_xlfn.COVARIANCE.S('Returns-VOL'!$K$6:$K$185,'Returns-VOL'!K6:K185)</f>
        <v>3.048546214843178E-3</v>
      </c>
      <c r="L13" s="53">
        <f>_xlfn.COVARIANCE.S('Returns-VOL'!$K$6:$K$185,'Returns-VOL'!L6:L185)</f>
        <v>7.8087634147664601E-4</v>
      </c>
      <c r="M13" s="53">
        <f>_xlfn.COVARIANCE.S('Returns-VOL'!$K$6:$K$185,'Returns-VOL'!M6:M185)</f>
        <v>1.168872842689713E-3</v>
      </c>
      <c r="N13" s="54">
        <f>_xlfn.COVARIANCE.S('Returns-VOL'!$K$6:$K$185,'Returns-VOL'!N6:N185)</f>
        <v>8.298723517133087E-4</v>
      </c>
    </row>
    <row r="14" spans="2:14" x14ac:dyDescent="0.2">
      <c r="B14" s="37" t="s">
        <v>31</v>
      </c>
      <c r="C14" s="53">
        <f>_xlfn.COVARIANCE.S('Returns-VOL'!$L$6:$L$185,'Returns-VOL'!C6:C185)</f>
        <v>2.8276659732405889E-3</v>
      </c>
      <c r="D14" s="53">
        <f>_xlfn.COVARIANCE.S('Returns-VOL'!$L$6:$L$185,'Returns-VOL'!D6:D185)</f>
        <v>2.9748466798968122E-3</v>
      </c>
      <c r="E14" s="53">
        <f>_xlfn.COVARIANCE.S('Returns-VOL'!$L$6:$L$185,'Returns-VOL'!E6:E185)</f>
        <v>2.8545465780078294E-3</v>
      </c>
      <c r="F14" s="53">
        <f>_xlfn.COVARIANCE.S('Returns-VOL'!$L$6:$L$185,'Returns-VOL'!F6:F185)</f>
        <v>8.2797992820514768E-4</v>
      </c>
      <c r="G14" s="53">
        <f>_xlfn.COVARIANCE.S('Returns-VOL'!$L$6:$L$185,'Returns-VOL'!G6:G185)</f>
        <v>1.6868132401194097E-3</v>
      </c>
      <c r="H14" s="53">
        <f>_xlfn.COVARIANCE.S('Returns-VOL'!$L$6:$L$185,'Returns-VOL'!H6:H185)</f>
        <v>2.0760677902055403E-3</v>
      </c>
      <c r="I14" s="53">
        <f>_xlfn.COVARIANCE.S('Returns-VOL'!$L$6:$L$185,'Returns-VOL'!I6:I185)</f>
        <v>1.1050241694471605E-3</v>
      </c>
      <c r="J14" s="53">
        <f>_xlfn.COVARIANCE.S('Returns-VOL'!$L$6:$L$185,'Returns-VOL'!J6:J185)</f>
        <v>3.6499118728042343E-3</v>
      </c>
      <c r="K14" s="53">
        <f>_xlfn.COVARIANCE.S('Returns-VOL'!$L$6:$L$185,'Returns-VOL'!K6:K185)</f>
        <v>7.8087634147664601E-4</v>
      </c>
      <c r="L14" s="53">
        <f>_xlfn.COVARIANCE.S('Returns-VOL'!$L$6:$L$185,'Returns-VOL'!L6:L185)</f>
        <v>4.1710388955845936E-3</v>
      </c>
      <c r="M14" s="53">
        <f>_xlfn.COVARIANCE.S('Returns-VOL'!$L$6:$L$185,'Returns-VOL'!M6:M185)</f>
        <v>1.3522382958467655E-3</v>
      </c>
      <c r="N14" s="54">
        <f>_xlfn.COVARIANCE.S('Returns-VOL'!$L$6:$L$185,'Returns-VOL'!N6:N185)</f>
        <v>1.808962065157308E-3</v>
      </c>
    </row>
    <row r="15" spans="2:14" x14ac:dyDescent="0.2">
      <c r="B15" s="37" t="s">
        <v>32</v>
      </c>
      <c r="C15" s="53">
        <f>_xlfn.COVARIANCE.S('Returns-VOL'!$M$6:$M$185,'Returns-VOL'!C6:C185)</f>
        <v>3.0987921283345717E-3</v>
      </c>
      <c r="D15" s="53">
        <f>_xlfn.COVARIANCE.S('Returns-VOL'!$M$6:$M$185,'Returns-VOL'!D6:D185)</f>
        <v>3.7655588133041549E-3</v>
      </c>
      <c r="E15" s="53">
        <f>_xlfn.COVARIANCE.S('Returns-VOL'!$M$6:$M$185,'Returns-VOL'!E6:E185)</f>
        <v>1.5430864699004703E-3</v>
      </c>
      <c r="F15" s="53">
        <f>_xlfn.COVARIANCE.S('Returns-VOL'!$M$6:$M$185,'Returns-VOL'!F6:F185)</f>
        <v>1.0493526457471701E-3</v>
      </c>
      <c r="G15" s="53">
        <f>_xlfn.COVARIANCE.S('Returns-VOL'!$M$6:$M$185,'Returns-VOL'!G6:G185)</f>
        <v>1.7870306349602387E-3</v>
      </c>
      <c r="H15" s="53">
        <f>_xlfn.COVARIANCE.S('Returns-VOL'!$M$6:$M$185,'Returns-VOL'!H6:H185)</f>
        <v>2.3406179555692872E-4</v>
      </c>
      <c r="I15" s="53">
        <f>_xlfn.COVARIANCE.S('Returns-VOL'!$M$6:$M$185,'Returns-VOL'!I6:I185)</f>
        <v>8.5100824240593289E-4</v>
      </c>
      <c r="J15" s="53">
        <f>_xlfn.COVARIANCE.S('Returns-VOL'!$M$6:$M$185,'Returns-VOL'!J6:J185)</f>
        <v>4.0877546771432658E-3</v>
      </c>
      <c r="K15" s="53">
        <f>_xlfn.COVARIANCE.S('Returns-VOL'!$M$6:$M$185,'Returns-VOL'!K6:K185)</f>
        <v>1.168872842689713E-3</v>
      </c>
      <c r="L15" s="53">
        <f>_xlfn.COVARIANCE.S('Returns-VOL'!$M$6:$M$185,'Returns-VOL'!L6:L185)</f>
        <v>1.3522382958467655E-3</v>
      </c>
      <c r="M15" s="53">
        <f>_xlfn.COVARIANCE.S('Returns-VOL'!$M$6:$M$185,'Returns-VOL'!M6:M185)</f>
        <v>4.2413370935514352E-3</v>
      </c>
      <c r="N15" s="54">
        <f>_xlfn.COVARIANCE.S('Returns-VOL'!$M$6:$M$185,'Returns-VOL'!N6:N185)</f>
        <v>2.1417162080056566E-3</v>
      </c>
    </row>
    <row r="16" spans="2:14" ht="16" customHeight="1" thickBot="1" x14ac:dyDescent="0.25">
      <c r="B16" s="38" t="s">
        <v>33</v>
      </c>
      <c r="C16" s="55">
        <f>_xlfn.COVARIANCE.S('Returns-VOL'!$N$6:$N$185,'Returns-VOL'!C6:C185)</f>
        <v>3.2178499250089575E-3</v>
      </c>
      <c r="D16" s="55">
        <f>_xlfn.COVARIANCE.S('Returns-VOL'!$N$6:$N$185,'Returns-VOL'!D6:D185)</f>
        <v>3.6928810984202874E-3</v>
      </c>
      <c r="E16" s="55">
        <f>_xlfn.COVARIANCE.S('Returns-VOL'!$N$6:$N$185,'Returns-VOL'!E6:E185)</f>
        <v>2.3636601776736302E-3</v>
      </c>
      <c r="F16" s="55">
        <f>_xlfn.COVARIANCE.S('Returns-VOL'!$N$6:$N$185,'Returns-VOL'!F6:F185)</f>
        <v>1.2325085496477991E-3</v>
      </c>
      <c r="G16" s="55">
        <f>_xlfn.COVARIANCE.S('Returns-VOL'!$N$6:$N$185,'Returns-VOL'!G6:G185)</f>
        <v>1.8451410297643442E-3</v>
      </c>
      <c r="H16" s="55">
        <f>_xlfn.COVARIANCE.S('Returns-VOL'!$N$6:$N$185,'Returns-VOL'!H6:H185)</f>
        <v>9.8094907800441267E-4</v>
      </c>
      <c r="I16" s="55">
        <f>_xlfn.COVARIANCE.S('Returns-VOL'!$N$6:$N$185,'Returns-VOL'!I6:I185)</f>
        <v>1.0576693460548339E-3</v>
      </c>
      <c r="J16" s="55">
        <f>_xlfn.COVARIANCE.S('Returns-VOL'!$N$6:$N$185,'Returns-VOL'!J6:J185)</f>
        <v>3.8569377977687998E-3</v>
      </c>
      <c r="K16" s="55">
        <f>_xlfn.COVARIANCE.S('Returns-VOL'!$N$6:$N$185,'Returns-VOL'!K6:K185)</f>
        <v>8.298723517133087E-4</v>
      </c>
      <c r="L16" s="55">
        <f>_xlfn.COVARIANCE.S('Returns-VOL'!$N$6:$N$185,'Returns-VOL'!L6:L185)</f>
        <v>1.808962065157308E-3</v>
      </c>
      <c r="M16" s="55">
        <f>_xlfn.COVARIANCE.S('Returns-VOL'!$N$6:$N$185,'Returns-VOL'!M6:M185)</f>
        <v>2.1417162080056566E-3</v>
      </c>
      <c r="N16" s="56">
        <f>_xlfn.COVARIANCE.S('Returns-VOL'!$N$6:$N$185,'Returns-VOL'!N6:N185)</f>
        <v>3.590929245220335E-3</v>
      </c>
    </row>
  </sheetData>
  <mergeCells count="1">
    <mergeCell ref="B2:N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59999389629810485"/>
  </sheetPr>
  <dimension ref="B3:P228"/>
  <sheetViews>
    <sheetView showGridLines="0" topLeftCell="A194" zoomScale="67" zoomScaleNormal="194" workbookViewId="0">
      <selection activeCell="L226" sqref="L226"/>
    </sheetView>
  </sheetViews>
  <sheetFormatPr baseColWidth="10" defaultColWidth="10.83203125" defaultRowHeight="15" x14ac:dyDescent="0.2"/>
  <cols>
    <col min="2" max="2" width="20.6640625" bestFit="1" customWidth="1"/>
    <col min="3" max="15" width="16.1640625" customWidth="1"/>
    <col min="16" max="16" width="21.1640625" customWidth="1"/>
  </cols>
  <sheetData>
    <row r="3" spans="2:16" x14ac:dyDescent="0.2">
      <c r="B3" s="42" t="s">
        <v>5</v>
      </c>
      <c r="C3" s="45">
        <v>1</v>
      </c>
      <c r="D3" s="45">
        <v>2</v>
      </c>
      <c r="E3" s="45">
        <v>3</v>
      </c>
      <c r="F3" s="45">
        <v>4</v>
      </c>
      <c r="G3" s="45">
        <v>5</v>
      </c>
      <c r="H3" s="45">
        <v>6</v>
      </c>
      <c r="I3" s="45">
        <v>7</v>
      </c>
      <c r="J3" s="45">
        <v>8</v>
      </c>
      <c r="K3" s="45">
        <v>9</v>
      </c>
      <c r="L3" s="45">
        <v>10</v>
      </c>
      <c r="M3" s="45">
        <v>11</v>
      </c>
      <c r="N3" s="45">
        <v>12</v>
      </c>
    </row>
    <row r="4" spans="2:16" x14ac:dyDescent="0.2">
      <c r="B4" s="43" t="s">
        <v>8</v>
      </c>
      <c r="C4" s="48" t="s">
        <v>9</v>
      </c>
      <c r="D4" s="47" t="s">
        <v>10</v>
      </c>
      <c r="E4" s="47" t="s">
        <v>11</v>
      </c>
      <c r="F4" s="47" t="s">
        <v>12</v>
      </c>
      <c r="G4" s="47" t="s">
        <v>13</v>
      </c>
      <c r="H4" s="47" t="s">
        <v>14</v>
      </c>
      <c r="I4" s="47" t="s">
        <v>15</v>
      </c>
      <c r="J4" s="47" t="s">
        <v>16</v>
      </c>
      <c r="K4" s="47" t="s">
        <v>17</v>
      </c>
      <c r="L4" s="47" t="s">
        <v>18</v>
      </c>
      <c r="M4" s="47" t="s">
        <v>19</v>
      </c>
      <c r="N4" s="47" t="s">
        <v>20</v>
      </c>
      <c r="P4" s="120" t="s">
        <v>240</v>
      </c>
    </row>
    <row r="5" spans="2:16" x14ac:dyDescent="0.2">
      <c r="B5" s="44" t="s">
        <v>21</v>
      </c>
      <c r="C5" s="46" t="s">
        <v>22</v>
      </c>
      <c r="D5" s="46" t="s">
        <v>23</v>
      </c>
      <c r="E5" s="46" t="s">
        <v>24</v>
      </c>
      <c r="F5" s="46" t="s">
        <v>25</v>
      </c>
      <c r="G5" s="46" t="s">
        <v>26</v>
      </c>
      <c r="H5" s="46" t="s">
        <v>27</v>
      </c>
      <c r="I5" s="46" t="s">
        <v>28</v>
      </c>
      <c r="J5" s="46" t="s">
        <v>29</v>
      </c>
      <c r="K5" s="46" t="s">
        <v>30</v>
      </c>
      <c r="L5" s="46" t="s">
        <v>31</v>
      </c>
      <c r="M5" s="46" t="s">
        <v>32</v>
      </c>
      <c r="N5" s="46" t="s">
        <v>33</v>
      </c>
      <c r="P5" s="121"/>
    </row>
    <row r="6" spans="2:16" x14ac:dyDescent="0.2">
      <c r="B6" s="16">
        <v>40451</v>
      </c>
      <c r="C6" s="33">
        <f>AIRBUS!D4</f>
        <v>5.3555971306760222E-2</v>
      </c>
      <c r="D6" s="33">
        <f>BNP!D4</f>
        <v>5.6714487270693427E-2</v>
      </c>
      <c r="E6" s="33">
        <f>CAPGEMINI!D4</f>
        <v>0.10311741846834083</v>
      </c>
      <c r="F6" s="33">
        <f>DANONE!D4</f>
        <v>3.4665943323180064E-2</v>
      </c>
      <c r="G6" s="33">
        <f>ENGIE!D4</f>
        <v>7.4688219627718669E-2</v>
      </c>
      <c r="H6" s="33">
        <f>'HERMES INTL'!D4</f>
        <v>0.17132819811551889</v>
      </c>
      <c r="I6" s="33">
        <f>'PERNOD RICARD'!D4</f>
        <v>-7.1321713142540981E-3</v>
      </c>
      <c r="J6" s="33">
        <f>RENAULT!D4</f>
        <v>0.17732390094757144</v>
      </c>
      <c r="K6" s="33">
        <f>SANOFI!D4</f>
        <v>7.9633172630904886E-2</v>
      </c>
      <c r="L6" s="33">
        <f>'SCHNEIDER ELECTRIC'!D4</f>
        <v>0.11136330368954504</v>
      </c>
      <c r="M6" s="33">
        <f>TOTALENERGIES!D4</f>
        <v>2.5359166649043825E-2</v>
      </c>
      <c r="N6" s="33">
        <f>VINCI!D4</f>
        <v>6.1949368577682476E-2</v>
      </c>
      <c r="O6" s="34"/>
      <c r="P6" s="34">
        <f t="shared" ref="P6:P37" si="0">AVERAGE(C6:N6)</f>
        <v>7.8547248274392148E-2</v>
      </c>
    </row>
    <row r="7" spans="2:16" x14ac:dyDescent="0.2">
      <c r="B7" s="16">
        <v>40482</v>
      </c>
      <c r="C7" s="33">
        <f>AIRBUS!D5</f>
        <v>3.2249369886116423E-2</v>
      </c>
      <c r="D7" s="33">
        <f>BNP!D5</f>
        <v>7.2837100402801686E-3</v>
      </c>
      <c r="E7" s="33">
        <f>CAPGEMINI!D5</f>
        <v>-3.9400482623412267E-3</v>
      </c>
      <c r="F7" s="33">
        <f>DANONE!D5</f>
        <v>3.646680162839596E-2</v>
      </c>
      <c r="G7" s="33">
        <f>ENGIE!D5</f>
        <v>9.2155460205188569E-2</v>
      </c>
      <c r="H7" s="33">
        <f>'HERMES INTL'!D5</f>
        <v>-8.9850307178739208E-2</v>
      </c>
      <c r="I7" s="33">
        <f>'PERNOD RICARD'!D5</f>
        <v>4.0162883172908462E-2</v>
      </c>
      <c r="J7" s="33">
        <f>RENAULT!D5</f>
        <v>5.7755857122280131E-2</v>
      </c>
      <c r="K7" s="33">
        <f>SANOFI!D5</f>
        <v>2.670064088694063E-2</v>
      </c>
      <c r="L7" s="33">
        <f>'SCHNEIDER ELECTRIC'!D5</f>
        <v>9.6656394725314204E-2</v>
      </c>
      <c r="M7" s="33">
        <f>TOTALENERGIES!D5</f>
        <v>3.2800275625824722E-2</v>
      </c>
      <c r="N7" s="33">
        <f>VINCI!D5</f>
        <v>4.3785886750765293E-2</v>
      </c>
      <c r="O7" s="34"/>
      <c r="P7" s="34">
        <f t="shared" si="0"/>
        <v>3.1018910383577847E-2</v>
      </c>
    </row>
    <row r="8" spans="2:16" x14ac:dyDescent="0.2">
      <c r="B8" s="16">
        <v>40512</v>
      </c>
      <c r="C8" s="33">
        <f>AIRBUS!D6</f>
        <v>-8.6047324972625627E-2</v>
      </c>
      <c r="D8" s="33">
        <f>BNP!D6</f>
        <v>-0.13225481807965223</v>
      </c>
      <c r="E8" s="33">
        <f>CAPGEMINI!D6</f>
        <v>-0.11362716943822053</v>
      </c>
      <c r="F8" s="33">
        <f>DANONE!D6</f>
        <v>-7.696354397518289E-3</v>
      </c>
      <c r="G8" s="33">
        <f>ENGIE!D6</f>
        <v>-0.10913528700493846</v>
      </c>
      <c r="H8" s="33">
        <f>'HERMES INTL'!D6</f>
        <v>-4.2309471306659061E-2</v>
      </c>
      <c r="I8" s="33">
        <f>'PERNOD RICARD'!D6</f>
        <v>-1.4440146757042789E-2</v>
      </c>
      <c r="J8" s="33">
        <f>RENAULT!D6</f>
        <v>1.139646247738226E-2</v>
      </c>
      <c r="K8" s="33">
        <f>SANOFI!D6</f>
        <v>-7.17417231286583E-2</v>
      </c>
      <c r="L8" s="33">
        <f>'SCHNEIDER ELECTRIC'!D6</f>
        <v>6.0293873175166109E-2</v>
      </c>
      <c r="M8" s="33">
        <f>TOTALENERGIES!D6</f>
        <v>-4.4307802566365885E-2</v>
      </c>
      <c r="N8" s="33">
        <f>VINCI!D6</f>
        <v>-2.8139597405940568E-2</v>
      </c>
      <c r="O8" s="34"/>
      <c r="P8" s="34">
        <f t="shared" si="0"/>
        <v>-4.8167446617089459E-2</v>
      </c>
    </row>
    <row r="9" spans="2:16" x14ac:dyDescent="0.2">
      <c r="B9" s="16">
        <v>40543</v>
      </c>
      <c r="C9" s="33">
        <f>AIRBUS!D7</f>
        <v>1.0428939996455255E-2</v>
      </c>
      <c r="D9" s="33">
        <f>BNP!D7</f>
        <v>4.4078880202459383E-2</v>
      </c>
      <c r="E9" s="33">
        <f>CAPGEMINI!D7</f>
        <v>7.5100104736098711E-2</v>
      </c>
      <c r="F9" s="33">
        <f>DANONE!D7</f>
        <v>4.1994358259575128E-2</v>
      </c>
      <c r="G9" s="33">
        <f>ENGIE!D7</f>
        <v>8.1987222426953665E-2</v>
      </c>
      <c r="H9" s="33">
        <f>'HERMES INTL'!D7</f>
        <v>7.3630665095190992E-2</v>
      </c>
      <c r="I9" s="33">
        <f>'PERNOD RICARD'!D7</f>
        <v>0.13365278573141876</v>
      </c>
      <c r="J9" s="33">
        <f>RENAULT!D7</f>
        <v>7.7265943421792049E-2</v>
      </c>
      <c r="K9" s="33">
        <f>SANOFI!D7</f>
        <v>2.7265178356712928E-2</v>
      </c>
      <c r="L9" s="33">
        <f>'SCHNEIDER ELECTRIC'!D7</f>
        <v>3.5598561564820885E-2</v>
      </c>
      <c r="M9" s="33">
        <f>TOTALENERGIES!D7</f>
        <v>9.3091074053869113E-2</v>
      </c>
      <c r="N9" s="33">
        <f>VINCI!D7</f>
        <v>9.0616435792286953E-2</v>
      </c>
      <c r="O9" s="34"/>
      <c r="P9" s="34">
        <f t="shared" si="0"/>
        <v>6.5392512469802808E-2</v>
      </c>
    </row>
    <row r="10" spans="2:16" x14ac:dyDescent="0.2">
      <c r="B10" s="16">
        <v>40574</v>
      </c>
      <c r="C10" s="33">
        <f>AIRBUS!D8</f>
        <v>0.20699549484094942</v>
      </c>
      <c r="D10" s="33">
        <f>BNP!D8</f>
        <v>0.14681807813520584</v>
      </c>
      <c r="E10" s="33">
        <f>CAPGEMINI!D8</f>
        <v>5.3678612017126037E-2</v>
      </c>
      <c r="F10" s="33">
        <f>DANONE!D8</f>
        <v>-6.4440635444343378E-2</v>
      </c>
      <c r="G10" s="33">
        <f>ENGIE!D8</f>
        <v>7.9143148287542653E-2</v>
      </c>
      <c r="H10" s="33">
        <f>'HERMES INTL'!D8</f>
        <v>-5.9649482440594447E-2</v>
      </c>
      <c r="I10" s="33">
        <f>'PERNOD RICARD'!D8</f>
        <v>-1.0375156202841844E-2</v>
      </c>
      <c r="J10" s="33">
        <f>RENAULT!D8</f>
        <v>9.850578513172005E-2</v>
      </c>
      <c r="K10" s="33">
        <f>SANOFI!D8</f>
        <v>4.2319496065881229E-2</v>
      </c>
      <c r="L10" s="33">
        <f>'SCHNEIDER ELECTRIC'!D8</f>
        <v>1.6964610046627113E-2</v>
      </c>
      <c r="M10" s="33">
        <f>TOTALENERGIES!D8</f>
        <v>7.730134207708908E-2</v>
      </c>
      <c r="N10" s="33">
        <f>VINCI!D8</f>
        <v>5.3048637106515584E-2</v>
      </c>
      <c r="O10" s="34"/>
      <c r="P10" s="34">
        <f t="shared" si="0"/>
        <v>5.3359160801739768E-2</v>
      </c>
    </row>
    <row r="11" spans="2:16" x14ac:dyDescent="0.2">
      <c r="B11" s="16">
        <v>40602</v>
      </c>
      <c r="C11" s="33">
        <f>AIRBUS!D9</f>
        <v>-4.2756727614037589E-3</v>
      </c>
      <c r="D11" s="33">
        <f>BNP!D9</f>
        <v>3.6263543660819741E-2</v>
      </c>
      <c r="E11" s="33">
        <f>CAPGEMINI!D9</f>
        <v>0.15038712634117757</v>
      </c>
      <c r="F11" s="33">
        <f>DANONE!D9</f>
        <v>3.2734789827122912E-2</v>
      </c>
      <c r="G11" s="33">
        <f>ENGIE!D9</f>
        <v>1.3805211108738599E-2</v>
      </c>
      <c r="H11" s="33">
        <f>'HERMES INTL'!D9</f>
        <v>7.0217169098397897E-2</v>
      </c>
      <c r="I11" s="33">
        <f>'PERNOD RICARD'!D9</f>
        <v>-4.0499993288568993E-2</v>
      </c>
      <c r="J11" s="33">
        <f>RENAULT!D9</f>
        <v>-7.0524269517882918E-2</v>
      </c>
      <c r="K11" s="33">
        <f>SANOFI!D9</f>
        <v>2.5062265694819766E-3</v>
      </c>
      <c r="L11" s="33">
        <f>'SCHNEIDER ELECTRIC'!D9</f>
        <v>5.2677653182907666E-2</v>
      </c>
      <c r="M11" s="33">
        <f>TOTALENERGIES!D9</f>
        <v>3.9681634092753618E-2</v>
      </c>
      <c r="N11" s="33">
        <f>VINCI!D9</f>
        <v>3.1571616789875794E-2</v>
      </c>
      <c r="O11" s="34"/>
      <c r="P11" s="34">
        <f t="shared" si="0"/>
        <v>2.6212086258618334E-2</v>
      </c>
    </row>
    <row r="12" spans="2:16" x14ac:dyDescent="0.2">
      <c r="B12" s="16">
        <v>40633</v>
      </c>
      <c r="C12" s="33">
        <f>AIRBUS!D10</f>
        <v>-2.0038141319407329E-2</v>
      </c>
      <c r="D12" s="33">
        <f>BNP!D10</f>
        <v>-8.7840156738998712E-2</v>
      </c>
      <c r="E12" s="33">
        <f>CAPGEMINI!D10</f>
        <v>-3.2002740430320718E-2</v>
      </c>
      <c r="F12" s="33">
        <f>DANONE!D10</f>
        <v>1.4637946353779884E-2</v>
      </c>
      <c r="G12" s="33">
        <f>ENGIE!D10</f>
        <v>-2.1276670043466485E-2</v>
      </c>
      <c r="H12" s="33">
        <f>'HERMES INTL'!D10</f>
        <v>-1.275277411194276E-2</v>
      </c>
      <c r="I12" s="33">
        <f>'PERNOD RICARD'!D10</f>
        <v>-1.362054861550502E-2</v>
      </c>
      <c r="J12" s="33">
        <f>RENAULT!D10</f>
        <v>-0.12169308792471414</v>
      </c>
      <c r="K12" s="33">
        <f>SANOFI!D10</f>
        <v>-1.0500098246934771E-2</v>
      </c>
      <c r="L12" s="33">
        <f>'SCHNEIDER ELECTRIC'!D10</f>
        <v>5.8380608898524096E-3</v>
      </c>
      <c r="M12" s="33">
        <f>TOTALENERGIES!D10</f>
        <v>-3.2763226346857625E-2</v>
      </c>
      <c r="N12" s="33">
        <f>VINCI!D10</f>
        <v>1.0889674345785826E-2</v>
      </c>
      <c r="O12" s="34"/>
      <c r="P12" s="34">
        <f t="shared" si="0"/>
        <v>-2.6760146849060792E-2</v>
      </c>
    </row>
    <row r="13" spans="2:16" x14ac:dyDescent="0.2">
      <c r="B13" s="16">
        <v>40663</v>
      </c>
      <c r="C13" s="33">
        <f>AIRBUS!D11</f>
        <v>1.7039937421768559E-2</v>
      </c>
      <c r="D13" s="33">
        <f>BNP!D11</f>
        <v>3.5264510643983359E-2</v>
      </c>
      <c r="E13" s="33">
        <f>CAPGEMINI!D11</f>
        <v>-1.7079181055604212E-3</v>
      </c>
      <c r="F13" s="33">
        <f>DANONE!D11</f>
        <v>7.2892995280724127E-2</v>
      </c>
      <c r="G13" s="33">
        <f>ENGIE!D11</f>
        <v>-3.9130235442378966E-2</v>
      </c>
      <c r="H13" s="33">
        <f>'HERMES INTL'!D11</f>
        <v>2.2624543543883404E-2</v>
      </c>
      <c r="I13" s="33">
        <f>'PERNOD RICARD'!D11</f>
        <v>2.9742273509908889E-2</v>
      </c>
      <c r="J13" s="33">
        <f>RENAULT!D11</f>
        <v>5.460145426187539E-2</v>
      </c>
      <c r="K13" s="33">
        <f>SANOFI!D11</f>
        <v>7.9333133687481294E-2</v>
      </c>
      <c r="L13" s="33">
        <f>'SCHNEIDER ELECTRIC'!D11</f>
        <v>-1.0779279198713663E-2</v>
      </c>
      <c r="M13" s="33">
        <f>TOTALENERGIES!D11</f>
        <v>6.169679172035483E-3</v>
      </c>
      <c r="N13" s="33">
        <f>VINCI!D11</f>
        <v>2.2791259892318939E-2</v>
      </c>
      <c r="O13" s="34"/>
      <c r="P13" s="34">
        <f t="shared" si="0"/>
        <v>2.4070196222277199E-2</v>
      </c>
    </row>
    <row r="14" spans="2:16" x14ac:dyDescent="0.2">
      <c r="B14" s="16">
        <v>40694</v>
      </c>
      <c r="C14" s="33">
        <f>AIRBUS!D12</f>
        <v>9.5260997245574019E-2</v>
      </c>
      <c r="D14" s="33">
        <f>BNP!D12</f>
        <v>1.4785728649600439E-2</v>
      </c>
      <c r="E14" s="33">
        <f>CAPGEMINI!D12</f>
        <v>-3.0306845873596625E-2</v>
      </c>
      <c r="F14" s="33">
        <f>DANONE!D12</f>
        <v>3.0229410522661863E-2</v>
      </c>
      <c r="G14" s="33">
        <f>ENGIE!D12</f>
        <v>-7.4751227951254925E-2</v>
      </c>
      <c r="H14" s="33">
        <f>'HERMES INTL'!D12</f>
        <v>0.13084707610470347</v>
      </c>
      <c r="I14" s="33">
        <f>'PERNOD RICARD'!D12</f>
        <v>3.3745924759741044E-2</v>
      </c>
      <c r="J14" s="33">
        <f>RENAULT!D12</f>
        <v>-4.180857800191122E-2</v>
      </c>
      <c r="K14" s="33">
        <f>SANOFI!D12</f>
        <v>3.033689199300604E-2</v>
      </c>
      <c r="L14" s="33">
        <f>'SCHNEIDER ELECTRIC'!D12</f>
        <v>-1.3357298202991641E-2</v>
      </c>
      <c r="M14" s="33">
        <f>TOTALENERGIES!D12</f>
        <v>-7.3808658801393354E-2</v>
      </c>
      <c r="N14" s="33">
        <f>VINCI!D12</f>
        <v>-5.8756440607066586E-3</v>
      </c>
      <c r="O14" s="34"/>
      <c r="P14" s="34">
        <f t="shared" si="0"/>
        <v>7.941481365286036E-3</v>
      </c>
    </row>
    <row r="15" spans="2:16" x14ac:dyDescent="0.2">
      <c r="B15" s="16">
        <v>40724</v>
      </c>
      <c r="C15" s="33">
        <f>AIRBUS!D13</f>
        <v>8.7410586818618061E-3</v>
      </c>
      <c r="D15" s="33">
        <f>BNP!D13</f>
        <v>2.1206231968364603E-2</v>
      </c>
      <c r="E15" s="33">
        <f>CAPGEMINI!D13</f>
        <v>1.8273656238634368E-2</v>
      </c>
      <c r="F15" s="33">
        <f>DANONE!D13</f>
        <v>3.6992818315605004E-2</v>
      </c>
      <c r="G15" s="33">
        <f>ENGIE!D13</f>
        <v>1.1653184642281511E-2</v>
      </c>
      <c r="H15" s="33">
        <f>'HERMES INTL'!D13</f>
        <v>0.139742996498123</v>
      </c>
      <c r="I15" s="33">
        <f>'PERNOD RICARD'!D13</f>
        <v>-3.1076324161329539E-2</v>
      </c>
      <c r="J15" s="33">
        <f>RENAULT!D13</f>
        <v>4.4838939207466524E-2</v>
      </c>
      <c r="K15" s="33">
        <f>SANOFI!D13</f>
        <v>5.4759663079832648E-2</v>
      </c>
      <c r="L15" s="33">
        <f>'SCHNEIDER ELECTRIC'!D13</f>
        <v>5.23548357223099E-3</v>
      </c>
      <c r="M15" s="33">
        <f>TOTALENERGIES!D13</f>
        <v>2.4695868974051037E-2</v>
      </c>
      <c r="N15" s="33">
        <f>VINCI!D13</f>
        <v>-1.4832211614416422E-2</v>
      </c>
      <c r="O15" s="34"/>
      <c r="P15" s="34">
        <f t="shared" si="0"/>
        <v>2.6685947116892123E-2</v>
      </c>
    </row>
    <row r="16" spans="2:16" x14ac:dyDescent="0.2">
      <c r="B16" s="16">
        <v>40755</v>
      </c>
      <c r="C16" s="33">
        <f>AIRBUS!D14</f>
        <v>5.8706629834482826E-2</v>
      </c>
      <c r="D16" s="33">
        <f>BNP!D14</f>
        <v>-0.14587646639214089</v>
      </c>
      <c r="E16" s="33">
        <f>CAPGEMINI!D14</f>
        <v>-0.12660918227327836</v>
      </c>
      <c r="F16" s="33">
        <f>DANONE!D14</f>
        <v>-3.2069898614767028E-2</v>
      </c>
      <c r="G16" s="33">
        <f>ENGIE!D14</f>
        <v>-9.5304113150669195E-2</v>
      </c>
      <c r="H16" s="33">
        <f>'HERMES INTL'!D14</f>
        <v>0.18423530540135855</v>
      </c>
      <c r="I16" s="33">
        <f>'PERNOD RICARD'!D14</f>
        <v>1.6918712515477236E-2</v>
      </c>
      <c r="J16" s="33">
        <f>RENAULT!D14</f>
        <v>-8.8540952982406232E-2</v>
      </c>
      <c r="K16" s="33">
        <f>SANOFI!D14</f>
        <v>-2.0743067700219393E-2</v>
      </c>
      <c r="L16" s="33">
        <f>'SCHNEIDER ELECTRIC'!D14</f>
        <v>-0.12196159369617199</v>
      </c>
      <c r="M16" s="33">
        <f>TOTALENERGIES!D14</f>
        <v>-5.2657904566006025E-2</v>
      </c>
      <c r="N16" s="33">
        <f>VINCI!D14</f>
        <v>-5.7606156222963105E-2</v>
      </c>
      <c r="O16" s="34"/>
      <c r="P16" s="34">
        <f t="shared" si="0"/>
        <v>-4.0125723987275298E-2</v>
      </c>
    </row>
    <row r="17" spans="2:16" x14ac:dyDescent="0.2">
      <c r="B17" s="16">
        <v>40786</v>
      </c>
      <c r="C17" s="33">
        <f>AIRBUS!D15</f>
        <v>-8.5123904248879861E-2</v>
      </c>
      <c r="D17" s="33">
        <f>BNP!D15</f>
        <v>-0.21104147358646011</v>
      </c>
      <c r="E17" s="33">
        <f>CAPGEMINI!D15</f>
        <v>-0.17469094041918048</v>
      </c>
      <c r="F17" s="33">
        <f>DANONE!D15</f>
        <v>-5.6225079373646639E-2</v>
      </c>
      <c r="G17" s="33">
        <f>ENGIE!D15</f>
        <v>-3.7669700780264444E-2</v>
      </c>
      <c r="H17" s="33">
        <f>'HERMES INTL'!D15</f>
        <v>0.12188542146385616</v>
      </c>
      <c r="I17" s="33">
        <f>'PERNOD RICARD'!D15</f>
        <v>-8.6772939780910427E-2</v>
      </c>
      <c r="J17" s="33">
        <f>RENAULT!D15</f>
        <v>-0.23856151358769809</v>
      </c>
      <c r="K17" s="33">
        <f>SANOFI!D15</f>
        <v>-7.7730613308052407E-2</v>
      </c>
      <c r="L17" s="33">
        <f>'SCHNEIDER ELECTRIC'!D15</f>
        <v>-8.2056649339746601E-2</v>
      </c>
      <c r="M17" s="33">
        <f>TOTALENERGIES!D15</f>
        <v>-0.10124419150150926</v>
      </c>
      <c r="N17" s="33">
        <f>VINCI!D15</f>
        <v>-0.1077246070443704</v>
      </c>
      <c r="O17" s="34"/>
      <c r="P17" s="34">
        <f t="shared" si="0"/>
        <v>-9.4746349292238533E-2</v>
      </c>
    </row>
    <row r="18" spans="2:16" x14ac:dyDescent="0.2">
      <c r="B18" s="16">
        <v>40816</v>
      </c>
      <c r="C18" s="33">
        <f>AIRBUS!D16</f>
        <v>-4.223126791440316E-2</v>
      </c>
      <c r="D18" s="33">
        <f>BNP!D16</f>
        <v>-0.16225268690216066</v>
      </c>
      <c r="E18" s="33">
        <f>CAPGEMINI!D16</f>
        <v>-0.1150862684977903</v>
      </c>
      <c r="F18" s="33">
        <f>DANONE!D16</f>
        <v>-1.7021106355960009E-2</v>
      </c>
      <c r="G18" s="33">
        <f>ENGIE!D16</f>
        <v>2.1392875572561688E-2</v>
      </c>
      <c r="H18" s="33">
        <f>'HERMES INTL'!D16</f>
        <v>-0.16398299598278729</v>
      </c>
      <c r="I18" s="33">
        <f>'PERNOD RICARD'!D16</f>
        <v>-5.87201791233724E-2</v>
      </c>
      <c r="J18" s="33">
        <f>RENAULT!D16</f>
        <v>-0.11647597483199058</v>
      </c>
      <c r="K18" s="33">
        <f>SANOFI!D16</f>
        <v>-1.4379829775804901E-2</v>
      </c>
      <c r="L18" s="33">
        <f>'SCHNEIDER ELECTRIC'!D16</f>
        <v>-0.12611717655878343</v>
      </c>
      <c r="M18" s="33">
        <f>TOTALENERGIES!D16</f>
        <v>-2.1203980353563901E-2</v>
      </c>
      <c r="N18" s="33">
        <f>VINCI!D16</f>
        <v>-0.10330539507961006</v>
      </c>
      <c r="O18" s="34"/>
      <c r="P18" s="34">
        <f t="shared" si="0"/>
        <v>-7.6615332150305401E-2</v>
      </c>
    </row>
    <row r="19" spans="2:16" x14ac:dyDescent="0.2">
      <c r="B19" s="16">
        <v>40847</v>
      </c>
      <c r="C19" s="33">
        <f>AIRBUS!D17</f>
        <v>7.7814136791320449E-3</v>
      </c>
      <c r="D19" s="33">
        <f>BNP!D17</f>
        <v>9.3178209904458312E-2</v>
      </c>
      <c r="E19" s="33">
        <f>CAPGEMINI!D17</f>
        <v>0.1041624996736681</v>
      </c>
      <c r="F19" s="33">
        <f>DANONE!D17</f>
        <v>8.8744559695426703E-2</v>
      </c>
      <c r="G19" s="33">
        <f>ENGIE!D17</f>
        <v>-8.5784503979778867E-2</v>
      </c>
      <c r="H19" s="33">
        <f>'HERMES INTL'!D17</f>
        <v>8.8554153538014574E-2</v>
      </c>
      <c r="I19" s="33">
        <f>'PERNOD RICARD'!D17</f>
        <v>0.14737375764814736</v>
      </c>
      <c r="J19" s="33">
        <f>RENAULT!D17</f>
        <v>0.21439967746856078</v>
      </c>
      <c r="K19" s="33">
        <f>SANOFI!D17</f>
        <v>5.2887461308698092E-2</v>
      </c>
      <c r="L19" s="33">
        <f>'SCHNEIDER ELECTRIC'!D17</f>
        <v>5.1269230537655683E-2</v>
      </c>
      <c r="M19" s="33">
        <f>TOTALENERGIES!D17</f>
        <v>0.15785094804321589</v>
      </c>
      <c r="N19" s="33">
        <f>VINCI!D17</f>
        <v>0.101172376455736</v>
      </c>
      <c r="O19" s="34"/>
      <c r="P19" s="34">
        <f t="shared" si="0"/>
        <v>8.513248199774455E-2</v>
      </c>
    </row>
    <row r="20" spans="2:16" x14ac:dyDescent="0.2">
      <c r="B20" s="16">
        <v>40877</v>
      </c>
      <c r="C20" s="33">
        <f>AIRBUS!D18</f>
        <v>3.8605447214683668E-2</v>
      </c>
      <c r="D20" s="33">
        <f>BNP!D18</f>
        <v>-0.10289195532667639</v>
      </c>
      <c r="E20" s="33">
        <f>CAPGEMINI!D18</f>
        <v>1.3528215681914025E-2</v>
      </c>
      <c r="F20" s="33">
        <f>DANONE!D18</f>
        <v>-2.495054668403493E-2</v>
      </c>
      <c r="G20" s="33">
        <f>ENGIE!D18</f>
        <v>1.3161089041125519E-2</v>
      </c>
      <c r="H20" s="33">
        <f>'HERMES INTL'!D18</f>
        <v>-4.0065074087489723E-2</v>
      </c>
      <c r="I20" s="33">
        <f>'PERNOD RICARD'!D18</f>
        <v>3.7629718793865743E-2</v>
      </c>
      <c r="J20" s="33">
        <f>RENAULT!D18</f>
        <v>-8.8520337454299131E-2</v>
      </c>
      <c r="K20" s="33">
        <f>SANOFI!D18</f>
        <v>2.5017843441385366E-3</v>
      </c>
      <c r="L20" s="33">
        <f>'SCHNEIDER ELECTRIC'!D18</f>
        <v>-1.5240248454203126E-2</v>
      </c>
      <c r="M20" s="33">
        <f>TOTALENERGIES!D18</f>
        <v>1.3751275426696593E-2</v>
      </c>
      <c r="N20" s="33">
        <f>VINCI!D18</f>
        <v>-7.2689096608854767E-2</v>
      </c>
      <c r="O20" s="34"/>
      <c r="P20" s="34">
        <f t="shared" si="0"/>
        <v>-1.8764977342761165E-2</v>
      </c>
    </row>
    <row r="21" spans="2:16" x14ac:dyDescent="0.2">
      <c r="B21" s="16">
        <v>40908</v>
      </c>
      <c r="C21" s="33">
        <f>AIRBUS!D19</f>
        <v>8.8082885681902159E-2</v>
      </c>
      <c r="D21" s="33">
        <f>BNP!D19</f>
        <v>2.9860865768425136E-2</v>
      </c>
      <c r="E21" s="33">
        <f>CAPGEMINI!D19</f>
        <v>-0.14059448744585912</v>
      </c>
      <c r="F21" s="33">
        <f>DANONE!D19</f>
        <v>-9.6847550604393963E-3</v>
      </c>
      <c r="G21" s="33">
        <f>ENGIE!D19</f>
        <v>5.9940654105257785E-2</v>
      </c>
      <c r="H21" s="33">
        <f>'HERMES INTL'!D19</f>
        <v>-2.3940408150763249E-2</v>
      </c>
      <c r="I21" s="33">
        <f>'PERNOD RICARD'!D19</f>
        <v>3.4960334083162674E-2</v>
      </c>
      <c r="J21" s="33">
        <f>RENAULT!D19</f>
        <v>-3.4234094832341883E-2</v>
      </c>
      <c r="K21" s="33">
        <f>SANOFI!D19</f>
        <v>8.9460486982788134E-2</v>
      </c>
      <c r="L21" s="33">
        <f>'SCHNEIDER ELECTRIC'!D19</f>
        <v>-3.1428516421288015E-2</v>
      </c>
      <c r="M21" s="33">
        <f>TOTALENERGIES!D19</f>
        <v>3.0389896583440334E-2</v>
      </c>
      <c r="N21" s="33">
        <f>VINCI!D19</f>
        <v>1.9785529106762078E-2</v>
      </c>
      <c r="O21" s="34"/>
      <c r="P21" s="34">
        <f t="shared" si="0"/>
        <v>9.3831992000872194E-3</v>
      </c>
    </row>
    <row r="22" spans="2:16" x14ac:dyDescent="0.2">
      <c r="B22" s="16">
        <v>40939</v>
      </c>
      <c r="C22" s="33">
        <f>AIRBUS!D20</f>
        <v>6.3353959238977575E-2</v>
      </c>
      <c r="D22" s="33">
        <f>BNP!D20</f>
        <v>6.6556878985566531E-2</v>
      </c>
      <c r="E22" s="33">
        <f>CAPGEMINI!D20</f>
        <v>0.1559329419539493</v>
      </c>
      <c r="F22" s="33">
        <f>DANONE!D20</f>
        <v>-2.8515626994663989E-2</v>
      </c>
      <c r="G22" s="33">
        <f>ENGIE!D20</f>
        <v>-1.7518987318764223E-2</v>
      </c>
      <c r="H22" s="33">
        <f>'HERMES INTL'!D20</f>
        <v>0.15346205078019967</v>
      </c>
      <c r="I22" s="33">
        <f>'PERNOD RICARD'!D20</f>
        <v>2.4141598646216723E-2</v>
      </c>
      <c r="J22" s="33">
        <f>RENAULT!D20</f>
        <v>0.21511187602874701</v>
      </c>
      <c r="K22" s="33">
        <f>SANOFI!D20</f>
        <v>-4.9338056435239228E-3</v>
      </c>
      <c r="L22" s="33">
        <f>'SCHNEIDER ELECTRIC'!D20</f>
        <v>0.16715831832013375</v>
      </c>
      <c r="M22" s="33">
        <f>TOTALENERGIES!D20</f>
        <v>3.8980300908307404E-2</v>
      </c>
      <c r="N22" s="33">
        <f>VINCI!D20</f>
        <v>6.8119576144857086E-2</v>
      </c>
      <c r="O22" s="34"/>
      <c r="P22" s="34">
        <f t="shared" si="0"/>
        <v>7.5154090087500236E-2</v>
      </c>
    </row>
    <row r="23" spans="2:16" x14ac:dyDescent="0.2">
      <c r="B23" s="16">
        <v>40968</v>
      </c>
      <c r="C23" s="33">
        <f>AIRBUS!D21</f>
        <v>6.1721238818070324E-2</v>
      </c>
      <c r="D23" s="33">
        <f>BNP!D21</f>
        <v>0.13175751713740066</v>
      </c>
      <c r="E23" s="33">
        <f>CAPGEMINI!D21</f>
        <v>0.18488010064456487</v>
      </c>
      <c r="F23" s="33">
        <f>DANONE!D21</f>
        <v>7.6189603646056134E-2</v>
      </c>
      <c r="G23" s="33">
        <f>ENGIE!D21</f>
        <v>-6.1686692184383198E-2</v>
      </c>
      <c r="H23" s="33">
        <f>'HERMES INTL'!D21</f>
        <v>5.4008219353531631E-2</v>
      </c>
      <c r="I23" s="33">
        <f>'PERNOD RICARD'!D21</f>
        <v>5.8182779461664738E-2</v>
      </c>
      <c r="J23" s="33">
        <f>RENAULT!D21</f>
        <v>0.22032871819087924</v>
      </c>
      <c r="K23" s="33">
        <f>SANOFI!D21</f>
        <v>-1.700032775589071E-2</v>
      </c>
      <c r="L23" s="33">
        <f>'SCHNEIDER ELECTRIC'!D21</f>
        <v>7.4346898974979078E-2</v>
      </c>
      <c r="M23" s="33">
        <f>TOTALENERGIES!D21</f>
        <v>3.9227873157385074E-2</v>
      </c>
      <c r="N23" s="33">
        <f>VINCI!D21</f>
        <v>0.10222780798463892</v>
      </c>
      <c r="O23" s="34"/>
      <c r="P23" s="34">
        <f t="shared" si="0"/>
        <v>7.7015311452408072E-2</v>
      </c>
    </row>
    <row r="24" spans="2:16" x14ac:dyDescent="0.2">
      <c r="B24" s="16">
        <v>40999</v>
      </c>
      <c r="C24" s="33">
        <f>AIRBUS!D22</f>
        <v>0.12616904041236501</v>
      </c>
      <c r="D24" s="33">
        <f>BNP!D22</f>
        <v>-2.8933762898208353E-2</v>
      </c>
      <c r="E24" s="33">
        <f>CAPGEMINI!D22</f>
        <v>1.4817000682417108E-2</v>
      </c>
      <c r="F24" s="33">
        <f>DANONE!D22</f>
        <v>2.9932967381457575E-2</v>
      </c>
      <c r="G24" s="33">
        <f>ENGIE!D22</f>
        <v>-5.1360875274091208E-3</v>
      </c>
      <c r="H24" s="33">
        <f>'HERMES INTL'!D22</f>
        <v>-9.2998133988291362E-2</v>
      </c>
      <c r="I24" s="33">
        <f>'PERNOD RICARD'!D22</f>
        <v>9.5283172343125395E-3</v>
      </c>
      <c r="J24" s="33">
        <f>RENAULT!D22</f>
        <v>-5.4102416698298128E-3</v>
      </c>
      <c r="K24" s="33">
        <f>SANOFI!D22</f>
        <v>4.9000562697792377E-2</v>
      </c>
      <c r="L24" s="33">
        <f>'SCHNEIDER ELECTRIC'!D22</f>
        <v>-3.9600112945031241E-2</v>
      </c>
      <c r="M24" s="33">
        <f>TOTALENERGIES!D22</f>
        <v>-8.9306908730326345E-2</v>
      </c>
      <c r="N24" s="33">
        <f>VINCI!D22</f>
        <v>3.8382817776313869E-4</v>
      </c>
      <c r="O24" s="34"/>
      <c r="P24" s="34">
        <f t="shared" si="0"/>
        <v>-2.6294609310823758E-3</v>
      </c>
    </row>
    <row r="25" spans="2:16" x14ac:dyDescent="0.2">
      <c r="B25" s="16">
        <v>41029</v>
      </c>
      <c r="C25" s="33">
        <f>AIRBUS!D23</f>
        <v>-2.865965400967543E-2</v>
      </c>
      <c r="D25" s="33">
        <f>BNP!D23</f>
        <v>-0.1468729021369945</v>
      </c>
      <c r="E25" s="33">
        <f>CAPGEMINI!D23</f>
        <v>-0.12127539344147747</v>
      </c>
      <c r="F25" s="33">
        <f>DANONE!D23</f>
        <v>1.6252253627309241E-2</v>
      </c>
      <c r="G25" s="33">
        <f>ENGIE!D23</f>
        <v>-0.10222009893791931</v>
      </c>
      <c r="H25" s="33">
        <f>'HERMES INTL'!D23</f>
        <v>5.7787622469594319E-2</v>
      </c>
      <c r="I25" s="33">
        <f>'PERNOD RICARD'!D23</f>
        <v>1.2770607810600067E-4</v>
      </c>
      <c r="J25" s="33">
        <f>RENAULT!D23</f>
        <v>-0.13156218364275424</v>
      </c>
      <c r="K25" s="33">
        <f>SANOFI!D23</f>
        <v>-9.7890616202031336E-3</v>
      </c>
      <c r="L25" s="33">
        <f>'SCHNEIDER ELECTRIC'!D23</f>
        <v>-5.26635554457731E-2</v>
      </c>
      <c r="M25" s="33">
        <f>TOTALENERGIES!D23</f>
        <v>-4.3933347480584826E-2</v>
      </c>
      <c r="N25" s="33">
        <f>VINCI!D23</f>
        <v>-0.10485935462318478</v>
      </c>
      <c r="O25" s="34"/>
      <c r="P25" s="34">
        <f t="shared" si="0"/>
        <v>-5.5638997430296433E-2</v>
      </c>
    </row>
    <row r="26" spans="2:16" x14ac:dyDescent="0.2">
      <c r="B26" s="16">
        <v>41060</v>
      </c>
      <c r="C26" s="33">
        <f>AIRBUS!D24</f>
        <v>-9.2372413957913166E-2</v>
      </c>
      <c r="D26" s="33">
        <f>BNP!D24</f>
        <v>-0.15238874930660345</v>
      </c>
      <c r="E26" s="33">
        <f>CAPGEMINI!D24</f>
        <v>-7.5957950071477154E-2</v>
      </c>
      <c r="F26" s="33">
        <f>DANONE!D24</f>
        <v>-2.3706526324059566E-2</v>
      </c>
      <c r="G26" s="33">
        <f>ENGIE!D24</f>
        <v>-4.6367859619341062E-2</v>
      </c>
      <c r="H26" s="33">
        <f>'HERMES INTL'!D24</f>
        <v>-2.1141298209798213E-2</v>
      </c>
      <c r="I26" s="33">
        <f>'PERNOD RICARD'!D24</f>
        <v>7.5243104312366421E-3</v>
      </c>
      <c r="J26" s="33">
        <f>RENAULT!D24</f>
        <v>-1.2818749274506939E-2</v>
      </c>
      <c r="K26" s="33">
        <f>SANOFI!D24</f>
        <v>-4.613256429186139E-2</v>
      </c>
      <c r="L26" s="33">
        <f>'SCHNEIDER ELECTRIC'!D24</f>
        <v>-7.1967344234440372E-2</v>
      </c>
      <c r="M26" s="33">
        <f>TOTALENERGIES!D24</f>
        <v>-3.6179860843457139E-2</v>
      </c>
      <c r="N26" s="33">
        <f>VINCI!D24</f>
        <v>-7.6999657989997541E-2</v>
      </c>
      <c r="O26" s="34"/>
      <c r="P26" s="34">
        <f t="shared" si="0"/>
        <v>-5.4042388641018284E-2</v>
      </c>
    </row>
    <row r="27" spans="2:16" x14ac:dyDescent="0.2">
      <c r="B27" s="16">
        <v>41090</v>
      </c>
      <c r="C27" s="33">
        <f>AIRBUS!D25</f>
        <v>3.2138983169456979E-2</v>
      </c>
      <c r="D27" s="33">
        <f>BNP!D25</f>
        <v>0.23563554483696339</v>
      </c>
      <c r="E27" s="33">
        <f>CAPGEMINI!D25</f>
        <v>6.4220153282639691E-2</v>
      </c>
      <c r="F27" s="33">
        <f>DANONE!D25</f>
        <v>-3.0776240318754842E-2</v>
      </c>
      <c r="G27" s="33">
        <f>ENGIE!D25</f>
        <v>0.17402190117309474</v>
      </c>
      <c r="H27" s="33">
        <f>'HERMES INTL'!D25</f>
        <v>-5.4638941430761361E-2</v>
      </c>
      <c r="I27" s="33">
        <f>'PERNOD RICARD'!D25</f>
        <v>6.6582551114333796E-2</v>
      </c>
      <c r="J27" s="33">
        <f>RENAULT!D25</f>
        <v>-3.6681200224710268E-2</v>
      </c>
      <c r="K27" s="33">
        <f>SANOFI!D25</f>
        <v>0.13838854295882128</v>
      </c>
      <c r="L27" s="33">
        <f>'SCHNEIDER ELECTRIC'!D25</f>
        <v>5.4994283631240801E-2</v>
      </c>
      <c r="M27" s="33">
        <f>TOTALENERGIES!D25</f>
        <v>2.1141931544002224E-2</v>
      </c>
      <c r="N27" s="33">
        <f>VINCI!D25</f>
        <v>0.18266743980292388</v>
      </c>
      <c r="O27" s="34"/>
      <c r="P27" s="34">
        <f t="shared" si="0"/>
        <v>7.0641245794937524E-2</v>
      </c>
    </row>
    <row r="28" spans="2:16" x14ac:dyDescent="0.2">
      <c r="B28" s="16">
        <v>41121</v>
      </c>
      <c r="C28" s="33">
        <f>AIRBUS!D26</f>
        <v>6.5581073744296503E-2</v>
      </c>
      <c r="D28" s="33">
        <f>BNP!D26</f>
        <v>-5.4391372055017373E-3</v>
      </c>
      <c r="E28" s="33">
        <f>CAPGEMINI!D26</f>
        <v>6.5967025767690923E-2</v>
      </c>
      <c r="F28" s="33">
        <f>DANONE!D26</f>
        <v>9.4868606372340309E-3</v>
      </c>
      <c r="G28" s="33">
        <f>ENGIE!D26</f>
        <v>-3.0392048553832676E-2</v>
      </c>
      <c r="H28" s="33">
        <f>'HERMES INTL'!D26</f>
        <v>-8.5036235370040944E-2</v>
      </c>
      <c r="I28" s="33">
        <f>'PERNOD RICARD'!D26</f>
        <v>3.857078172164654E-2</v>
      </c>
      <c r="J28" s="33">
        <f>RENAULT!D26</f>
        <v>0.1319973473605173</v>
      </c>
      <c r="K28" s="33">
        <f>SANOFI!D26</f>
        <v>0.11265484979808632</v>
      </c>
      <c r="L28" s="33">
        <f>'SCHNEIDER ELECTRIC'!D26</f>
        <v>5.259531781792106E-2</v>
      </c>
      <c r="M28" s="33">
        <f>TOTALENERGIES!D26</f>
        <v>7.6616269956985283E-2</v>
      </c>
      <c r="N28" s="33">
        <f>VINCI!D26</f>
        <v>-6.0758554780317463E-2</v>
      </c>
      <c r="O28" s="34"/>
      <c r="P28" s="34">
        <f t="shared" si="0"/>
        <v>3.0986962574557093E-2</v>
      </c>
    </row>
    <row r="29" spans="2:16" x14ac:dyDescent="0.2">
      <c r="B29" s="16">
        <v>41152</v>
      </c>
      <c r="C29" s="33">
        <f>AIRBUS!D27</f>
        <v>3.6226980484889398E-2</v>
      </c>
      <c r="D29" s="33">
        <f>BNP!D27</f>
        <v>0.14534275115482548</v>
      </c>
      <c r="E29" s="33">
        <f>CAPGEMINI!D27</f>
        <v>-1.7977199295758941E-2</v>
      </c>
      <c r="F29" s="33">
        <f>DANONE!D27</f>
        <v>1.4147340696454784E-3</v>
      </c>
      <c r="G29" s="33">
        <f>ENGIE!D27</f>
        <v>7.6436696187363942E-2</v>
      </c>
      <c r="H29" s="33">
        <f>'HERMES INTL'!D27</f>
        <v>3.2934954972044982E-2</v>
      </c>
      <c r="I29" s="33">
        <f>'PERNOD RICARD'!D27</f>
        <v>-1.2588544871534298E-2</v>
      </c>
      <c r="J29" s="33">
        <f>RENAULT!D27</f>
        <v>4.4254162751540344E-2</v>
      </c>
      <c r="K29" s="33">
        <f>SANOFI!D27</f>
        <v>-2.1362864882812607E-2</v>
      </c>
      <c r="L29" s="33">
        <f>'SCHNEIDER ELECTRIC'!D27</f>
        <v>9.0810256783545706E-2</v>
      </c>
      <c r="M29" s="33">
        <f>TOTALENERGIES!D27</f>
        <v>5.5844074845906741E-2</v>
      </c>
      <c r="N29" s="33">
        <f>VINCI!D27</f>
        <v>1.1577876582149187E-3</v>
      </c>
      <c r="O29" s="34"/>
      <c r="P29" s="34">
        <f t="shared" si="0"/>
        <v>3.6041149154822594E-2</v>
      </c>
    </row>
    <row r="30" spans="2:16" x14ac:dyDescent="0.2">
      <c r="B30" s="16">
        <v>41182</v>
      </c>
      <c r="C30" s="33">
        <f>AIRBUS!D28</f>
        <v>-0.18651062412053604</v>
      </c>
      <c r="D30" s="33">
        <f>BNP!D28</f>
        <v>7.0178094927637852E-2</v>
      </c>
      <c r="E30" s="33">
        <f>CAPGEMINI!D28</f>
        <v>0.12660407367502952</v>
      </c>
      <c r="F30" s="33">
        <f>DANONE!D28</f>
        <v>-3.309780558047045E-2</v>
      </c>
      <c r="G30" s="33">
        <f>ENGIE!D28</f>
        <v>-0.11111113078898406</v>
      </c>
      <c r="H30" s="33">
        <f>'HERMES INTL'!D28</f>
        <v>-8.7136902921341741E-2</v>
      </c>
      <c r="I30" s="33">
        <f>'PERNOD RICARD'!D28</f>
        <v>1.9143251201317203E-2</v>
      </c>
      <c r="J30" s="33">
        <f>RENAULT!D28</f>
        <v>-1.7355344539233868E-2</v>
      </c>
      <c r="K30" s="33">
        <f>SANOFI!D28</f>
        <v>1.9984622093245433E-2</v>
      </c>
      <c r="L30" s="33">
        <f>'SCHNEIDER ELECTRIC'!D28</f>
        <v>-8.2752159087973967E-2</v>
      </c>
      <c r="M30" s="33">
        <f>TOTALENERGIES!D28</f>
        <v>-2.7830188728471015E-2</v>
      </c>
      <c r="N30" s="33">
        <f>VINCI!D28</f>
        <v>-4.1775050276131744E-2</v>
      </c>
      <c r="O30" s="34"/>
      <c r="P30" s="34">
        <f t="shared" si="0"/>
        <v>-2.9304930345492742E-2</v>
      </c>
    </row>
    <row r="31" spans="2:16" x14ac:dyDescent="0.2">
      <c r="B31" s="16">
        <v>41213</v>
      </c>
      <c r="C31" s="33">
        <f>AIRBUS!D29</f>
        <v>0.11129131840836119</v>
      </c>
      <c r="D31" s="33">
        <f>BNP!D29</f>
        <v>4.9486075736509094E-2</v>
      </c>
      <c r="E31" s="33">
        <f>CAPGEMINI!D29</f>
        <v>-1.5034300849232905E-2</v>
      </c>
      <c r="F31" s="33">
        <f>DANONE!D29</f>
        <v>-1.0123238558720467E-2</v>
      </c>
      <c r="G31" s="33">
        <f>ENGIE!D29</f>
        <v>6.2849177872335821E-2</v>
      </c>
      <c r="H31" s="33">
        <f>'HERMES INTL'!D29</f>
        <v>7.655578858582375E-3</v>
      </c>
      <c r="I31" s="33">
        <f>'PERNOD RICARD'!D29</f>
        <v>-4.9020637708787375E-2</v>
      </c>
      <c r="J31" s="33">
        <f>RENAULT!D29</f>
        <v>-5.5038248144587805E-2</v>
      </c>
      <c r="K31" s="33">
        <f>SANOFI!D29</f>
        <v>2.2155233999052861E-2</v>
      </c>
      <c r="L31" s="33">
        <f>'SCHNEIDER ELECTRIC'!D29</f>
        <v>4.7334387610208604E-2</v>
      </c>
      <c r="M31" s="33">
        <f>TOTALENERGIES!D29</f>
        <v>1.9948372530217331E-2</v>
      </c>
      <c r="N31" s="33">
        <f>VINCI!D29</f>
        <v>3.0170553004648444E-2</v>
      </c>
      <c r="O31" s="34"/>
      <c r="P31" s="34">
        <f t="shared" si="0"/>
        <v>1.8472856063215599E-2</v>
      </c>
    </row>
    <row r="32" spans="2:16" x14ac:dyDescent="0.2">
      <c r="B32" s="16">
        <v>41243</v>
      </c>
      <c r="C32" s="33">
        <f>AIRBUS!D30</f>
        <v>-5.5454271939492934E-2</v>
      </c>
      <c r="D32" s="33">
        <f>BNP!D30</f>
        <v>0.10654488014510557</v>
      </c>
      <c r="E32" s="33">
        <f>CAPGEMINI!D30</f>
        <v>3.700227632906684E-3</v>
      </c>
      <c r="F32" s="33">
        <f>DANONE!D30</f>
        <v>2.8466066801301586E-2</v>
      </c>
      <c r="G32" s="33">
        <f>ENGIE!D30</f>
        <v>-2.3156932589354747E-2</v>
      </c>
      <c r="H32" s="33">
        <f>'HERMES INTL'!D30</f>
        <v>0.12820497114153817</v>
      </c>
      <c r="I32" s="33">
        <f>'PERNOD RICARD'!D30</f>
        <v>4.8536639666131615E-2</v>
      </c>
      <c r="J32" s="33">
        <f>RENAULT!D30</f>
        <v>0.11431488870845426</v>
      </c>
      <c r="K32" s="33">
        <f>SANOFI!D30</f>
        <v>1.2385870486025111E-2</v>
      </c>
      <c r="L32" s="33">
        <f>'SCHNEIDER ELECTRIC'!D30</f>
        <v>0.12034830085747443</v>
      </c>
      <c r="M32" s="33">
        <f>TOTALENERGIES!D30</f>
        <v>-8.8873625029088094E-3</v>
      </c>
      <c r="N32" s="33">
        <f>VINCI!D30</f>
        <v>-6.443229156773948E-3</v>
      </c>
      <c r="O32" s="34"/>
      <c r="P32" s="34">
        <f t="shared" si="0"/>
        <v>3.9046670770867251E-2</v>
      </c>
    </row>
    <row r="33" spans="2:16" x14ac:dyDescent="0.2">
      <c r="B33" s="16">
        <v>41274</v>
      </c>
      <c r="C33" s="33">
        <f>AIRBUS!D31</f>
        <v>0.13943614150085001</v>
      </c>
      <c r="D33" s="33">
        <f>BNP!D31</f>
        <v>-8.3828091667052171E-3</v>
      </c>
      <c r="E33" s="33">
        <f>CAPGEMINI!D31</f>
        <v>9.5239948360251025E-3</v>
      </c>
      <c r="F33" s="33">
        <f>DANONE!D31</f>
        <v>2.3167488461374234E-2</v>
      </c>
      <c r="G33" s="33">
        <f>ENGIE!D31</f>
        <v>-9.9451048603480183E-2</v>
      </c>
      <c r="H33" s="33">
        <f>'HERMES INTL'!D31</f>
        <v>-4.7559006243081244E-2</v>
      </c>
      <c r="I33" s="33">
        <f>'PERNOD RICARD'!D31</f>
        <v>1.4738816850687755E-2</v>
      </c>
      <c r="J33" s="33">
        <f>RENAULT!D31</f>
        <v>5.7989681911927327E-2</v>
      </c>
      <c r="K33" s="33">
        <f>SANOFI!D31</f>
        <v>3.9760843027050234E-2</v>
      </c>
      <c r="L33" s="33">
        <f>'SCHNEIDER ELECTRIC'!D31</f>
        <v>1.4618880961182881E-2</v>
      </c>
      <c r="M33" s="33">
        <f>TOTALENERGIES!D31</f>
        <v>1.3905260720985432E-2</v>
      </c>
      <c r="N33" s="33">
        <f>VINCI!D31</f>
        <v>7.8073671963682756E-2</v>
      </c>
      <c r="O33" s="34"/>
      <c r="P33" s="34">
        <f t="shared" si="0"/>
        <v>1.9651826351708257E-2</v>
      </c>
    </row>
    <row r="34" spans="2:16" x14ac:dyDescent="0.2">
      <c r="B34" s="16">
        <v>41305</v>
      </c>
      <c r="C34" s="33">
        <f>AIRBUS!D32</f>
        <v>0.17305100902342535</v>
      </c>
      <c r="D34" s="33">
        <f>BNP!D32</f>
        <v>8.5123850727245057E-2</v>
      </c>
      <c r="E34" s="33">
        <f>CAPGEMINI!D32</f>
        <v>8.0492917602147079E-2</v>
      </c>
      <c r="F34" s="33">
        <f>DANONE!D32</f>
        <v>2.2743382578467274E-2</v>
      </c>
      <c r="G34" s="33">
        <f>ENGIE!D32</f>
        <v>-2.9855269991828592E-2</v>
      </c>
      <c r="H34" s="33">
        <f>'HERMES INTL'!D32</f>
        <v>5.8108654112443099E-2</v>
      </c>
      <c r="I34" s="33">
        <f>'PERNOD RICARD'!D32</f>
        <v>5.4437114870423263E-2</v>
      </c>
      <c r="J34" s="33">
        <f>RENAULT!D32</f>
        <v>9.1680096767335489E-2</v>
      </c>
      <c r="K34" s="33">
        <f>SANOFI!D32</f>
        <v>6.5835497141392202E-3</v>
      </c>
      <c r="L34" s="33">
        <f>'SCHNEIDER ELECTRIC'!D32</f>
        <v>2.3162266758199972E-2</v>
      </c>
      <c r="M34" s="33">
        <f>TOTALENERGIES!D32</f>
        <v>3.9120630278855997E-2</v>
      </c>
      <c r="N34" s="33">
        <f>VINCI!D32</f>
        <v>4.3520634405585026E-2</v>
      </c>
      <c r="O34" s="34"/>
      <c r="P34" s="34">
        <f t="shared" si="0"/>
        <v>5.4014069737203192E-2</v>
      </c>
    </row>
    <row r="35" spans="2:16" x14ac:dyDescent="0.2">
      <c r="B35" s="16">
        <v>41333</v>
      </c>
      <c r="C35" s="33">
        <f>AIRBUS!D33</f>
        <v>0.13220606048983841</v>
      </c>
      <c r="D35" s="33">
        <f>BNP!D33</f>
        <v>-6.7193239933374171E-2</v>
      </c>
      <c r="E35" s="33">
        <f>CAPGEMINI!D33</f>
        <v>6.1681243214327677E-2</v>
      </c>
      <c r="F35" s="33">
        <f>DANONE!D33</f>
        <v>4.212378530910172E-2</v>
      </c>
      <c r="G35" s="33">
        <f>ENGIE!D33</f>
        <v>-4.1694418942572267E-2</v>
      </c>
      <c r="H35" s="33">
        <f>'HERMES INTL'!D33</f>
        <v>6.5775964809716841E-2</v>
      </c>
      <c r="I35" s="33">
        <f>'PERNOD RICARD'!D33</f>
        <v>7.7982665949355809E-2</v>
      </c>
      <c r="J35" s="33">
        <f>RENAULT!D33</f>
        <v>9.4562718006994756E-2</v>
      </c>
      <c r="K35" s="33">
        <f>SANOFI!D33</f>
        <v>1.0019412836156387E-2</v>
      </c>
      <c r="L35" s="33">
        <f>'SCHNEIDER ELECTRIC'!D33</f>
        <v>5.0267627255401459E-2</v>
      </c>
      <c r="M35" s="33">
        <f>TOTALENERGIES!D33</f>
        <v>-4.0946676376683998E-2</v>
      </c>
      <c r="N35" s="33">
        <f>VINCI!D33</f>
        <v>-5.5296493447984922E-2</v>
      </c>
      <c r="O35" s="34"/>
      <c r="P35" s="34">
        <f t="shared" si="0"/>
        <v>2.7457387430856475E-2</v>
      </c>
    </row>
    <row r="36" spans="2:16" x14ac:dyDescent="0.2">
      <c r="B36" s="16">
        <v>41364</v>
      </c>
      <c r="C36" s="33">
        <f>AIRBUS!D34</f>
        <v>1.3272179541285621E-2</v>
      </c>
      <c r="D36" s="33">
        <f>BNP!D34</f>
        <v>-7.1105516116629422E-2</v>
      </c>
      <c r="E36" s="33">
        <f>CAPGEMINI!D34</f>
        <v>-5.8230274786301814E-2</v>
      </c>
      <c r="F36" s="33">
        <f>DANONE!D34</f>
        <v>2.0492348579810665E-2</v>
      </c>
      <c r="G36" s="33">
        <f>ENGIE!D34</f>
        <v>3.7292829815314725E-2</v>
      </c>
      <c r="H36" s="33">
        <f>'HERMES INTL'!D34</f>
        <v>6.7593304853862682E-2</v>
      </c>
      <c r="I36" s="33">
        <f>'PERNOD RICARD'!D34</f>
        <v>-2.1933624671508192E-2</v>
      </c>
      <c r="J36" s="33">
        <f>RENAULT!D34</f>
        <v>5.3479727932964115E-3</v>
      </c>
      <c r="K36" s="33">
        <f>SANOFI!D34</f>
        <v>9.2174243865321082E-2</v>
      </c>
      <c r="L36" s="33">
        <f>'SCHNEIDER ELECTRIC'!D34</f>
        <v>-3.2586400569328391E-2</v>
      </c>
      <c r="M36" s="33">
        <f>TOTALENERGIES!D34</f>
        <v>-2.45460962257508E-2</v>
      </c>
      <c r="N36" s="33">
        <f>VINCI!D34</f>
        <v>-8.603591485772279E-3</v>
      </c>
      <c r="O36" s="34"/>
      <c r="P36" s="34">
        <f t="shared" si="0"/>
        <v>1.5972812994666907E-3</v>
      </c>
    </row>
    <row r="37" spans="2:16" x14ac:dyDescent="0.2">
      <c r="B37" s="16">
        <v>41394</v>
      </c>
      <c r="C37" s="33">
        <f>AIRBUS!D35</f>
        <v>1.0201421248052012E-2</v>
      </c>
      <c r="D37" s="33">
        <f>BNP!D35</f>
        <v>5.6693726728509593E-2</v>
      </c>
      <c r="E37" s="33">
        <f>CAPGEMINI!D35</f>
        <v>-1.6197342670773402E-2</v>
      </c>
      <c r="F37" s="33">
        <f>DANONE!D35</f>
        <v>6.8717963163198739E-2</v>
      </c>
      <c r="G37" s="33">
        <f>ENGIE!D35</f>
        <v>8.5219845639786213E-2</v>
      </c>
      <c r="H37" s="33">
        <f>'HERMES INTL'!D35</f>
        <v>-5.4458154150467911E-2</v>
      </c>
      <c r="I37" s="33">
        <f>'PERNOD RICARD'!D35</f>
        <v>-3.3021087891995676E-2</v>
      </c>
      <c r="J37" s="33">
        <f>RENAULT!D35</f>
        <v>7.0485995893878758E-2</v>
      </c>
      <c r="K37" s="33">
        <f>SANOFI!D35</f>
        <v>4.9829821353588148E-2</v>
      </c>
      <c r="L37" s="33">
        <f>'SCHNEIDER ELECTRIC'!D35</f>
        <v>1.5789486658227096E-2</v>
      </c>
      <c r="M37" s="33">
        <f>TOTALENERGIES!D35</f>
        <v>4.0164133223131795E-2</v>
      </c>
      <c r="N37" s="33">
        <f>VINCI!D35</f>
        <v>4.0261591848868766E-2</v>
      </c>
      <c r="O37" s="34"/>
      <c r="P37" s="34">
        <f t="shared" si="0"/>
        <v>2.7807283420333673E-2</v>
      </c>
    </row>
    <row r="38" spans="2:16" x14ac:dyDescent="0.2">
      <c r="B38" s="16">
        <v>41425</v>
      </c>
      <c r="C38" s="33">
        <f>AIRBUS!D36</f>
        <v>0.1083407142998313</v>
      </c>
      <c r="D38" s="33">
        <f>BNP!D36</f>
        <v>7.1259373387069808E-2</v>
      </c>
      <c r="E38" s="33">
        <f>CAPGEMINI!D36</f>
        <v>8.1460403828627265E-2</v>
      </c>
      <c r="F38" s="33">
        <f>DANONE!D36</f>
        <v>-2.189281098344225E-2</v>
      </c>
      <c r="G38" s="33">
        <f>ENGIE!D36</f>
        <v>6.9100146548508471E-3</v>
      </c>
      <c r="H38" s="33">
        <f>'HERMES INTL'!D36</f>
        <v>7.4580359862366677E-2</v>
      </c>
      <c r="I38" s="33">
        <f>'PERNOD RICARD'!D36</f>
        <v>-1.3936228142709806E-2</v>
      </c>
      <c r="J38" s="33">
        <f>RENAULT!D36</f>
        <v>0.14220187620806099</v>
      </c>
      <c r="K38" s="33">
        <f>SANOFI!D36</f>
        <v>-8.5317280470759739E-3</v>
      </c>
      <c r="L38" s="33">
        <f>'SCHNEIDER ELECTRIC'!D36</f>
        <v>5.9412339218751158E-2</v>
      </c>
      <c r="M38" s="33">
        <f>TOTALENERGIES!D36</f>
        <v>8.230669646846182E-3</v>
      </c>
      <c r="N38" s="33">
        <f>VINCI!D36</f>
        <v>0.12537318254206825</v>
      </c>
      <c r="O38" s="34"/>
      <c r="P38" s="34">
        <f t="shared" ref="P38:P69" si="1">AVERAGE(C38:N38)</f>
        <v>5.278401387293704E-2</v>
      </c>
    </row>
    <row r="39" spans="2:16" x14ac:dyDescent="0.2">
      <c r="B39" s="16">
        <v>41455</v>
      </c>
      <c r="C39" s="33">
        <f>AIRBUS!D37</f>
        <v>-6.3452694474447943E-2</v>
      </c>
      <c r="D39" s="33">
        <f>BNP!D37</f>
        <v>-4.3180982955812748E-2</v>
      </c>
      <c r="E39" s="33">
        <f>CAPGEMINI!D37</f>
        <v>-1.1119944277373785E-2</v>
      </c>
      <c r="F39" s="33">
        <f>DANONE!D37</f>
        <v>4.2266435081162325E-2</v>
      </c>
      <c r="G39" s="33">
        <f>ENGIE!D37</f>
        <v>-4.4761625123739643E-2</v>
      </c>
      <c r="H39" s="33">
        <f>'HERMES INTL'!D37</f>
        <v>-9.8837356851653888E-2</v>
      </c>
      <c r="I39" s="33">
        <f>'PERNOD RICARD'!D37</f>
        <v>-8.0914980734992356E-2</v>
      </c>
      <c r="J39" s="33">
        <f>RENAULT!D37</f>
        <v>-0.10587222295087526</v>
      </c>
      <c r="K39" s="33">
        <f>SANOFI!D37</f>
        <v>-2.8644518941539437E-3</v>
      </c>
      <c r="L39" s="33">
        <f>'SCHNEIDER ELECTRIC'!D37</f>
        <v>-6.1134704835285852E-2</v>
      </c>
      <c r="M39" s="33">
        <f>TOTALENERGIES!D37</f>
        <v>-2.7989598368433961E-2</v>
      </c>
      <c r="N39" s="33">
        <f>VINCI!D37</f>
        <v>-2.8718844222259555E-2</v>
      </c>
      <c r="O39" s="34"/>
      <c r="P39" s="34">
        <f t="shared" si="1"/>
        <v>-4.3881747633988888E-2</v>
      </c>
    </row>
    <row r="40" spans="2:16" x14ac:dyDescent="0.2">
      <c r="B40" s="16">
        <v>41486</v>
      </c>
      <c r="C40" s="33">
        <f>AIRBUS!D38</f>
        <v>9.3023441173008536E-2</v>
      </c>
      <c r="D40" s="33">
        <f>BNP!D38</f>
        <v>0.15866594337334597</v>
      </c>
      <c r="E40" s="33">
        <f>CAPGEMINI!D38</f>
        <v>0.1317031529759384</v>
      </c>
      <c r="F40" s="33">
        <f>DANONE!D38</f>
        <v>3.0176999654675348E-2</v>
      </c>
      <c r="G40" s="33">
        <f>ENGIE!D38</f>
        <v>4.8188761661926413E-2</v>
      </c>
      <c r="H40" s="33">
        <f>'HERMES INTL'!D38</f>
        <v>3.3775384875125665E-2</v>
      </c>
      <c r="I40" s="33">
        <f>'PERNOD RICARD'!D38</f>
        <v>5.0593284779755658E-2</v>
      </c>
      <c r="J40" s="33">
        <f>RENAULT!D38</f>
        <v>0.14448741484946512</v>
      </c>
      <c r="K40" s="33">
        <f>SANOFI!D38</f>
        <v>6.9080564498007428E-3</v>
      </c>
      <c r="L40" s="33">
        <f>'SCHNEIDER ELECTRIC'!D38</f>
        <v>7.3210155464686316E-2</v>
      </c>
      <c r="M40" s="33">
        <f>TOTALENERGIES!D38</f>
        <v>8.6754337817300214E-2</v>
      </c>
      <c r="N40" s="33">
        <f>VINCI!D38</f>
        <v>5.2781561197002717E-2</v>
      </c>
      <c r="O40" s="34"/>
      <c r="P40" s="34">
        <f t="shared" si="1"/>
        <v>7.5855707856002597E-2</v>
      </c>
    </row>
    <row r="41" spans="2:16" x14ac:dyDescent="0.2">
      <c r="B41" s="16">
        <v>41517</v>
      </c>
      <c r="C41" s="33">
        <f>AIRBUS!D39</f>
        <v>-2.8517388880250353E-2</v>
      </c>
      <c r="D41" s="33">
        <f>BNP!D39</f>
        <v>-2.5084869888712984E-2</v>
      </c>
      <c r="E41" s="33">
        <f>CAPGEMINI!D39</f>
        <v>7.0473672207956566E-3</v>
      </c>
      <c r="F41" s="33">
        <f>DANONE!D39</f>
        <v>-5.1515283206588526E-2</v>
      </c>
      <c r="G41" s="33">
        <f>ENGIE!D39</f>
        <v>3.9949264662766458E-2</v>
      </c>
      <c r="H41" s="33">
        <f>'HERMES INTL'!D39</f>
        <v>-6.6562679028000305E-3</v>
      </c>
      <c r="I41" s="33">
        <f>'PERNOD RICARD'!D39</f>
        <v>-9.6472215569313544E-3</v>
      </c>
      <c r="J41" s="33">
        <f>RENAULT!D39</f>
        <v>-8.6023303844769125E-2</v>
      </c>
      <c r="K41" s="33">
        <f>SANOFI!D39</f>
        <v>-9.3301754008523113E-2</v>
      </c>
      <c r="L41" s="33">
        <f>'SCHNEIDER ELECTRIC'!D39</f>
        <v>-3.1934283353724072E-2</v>
      </c>
      <c r="M41" s="33">
        <f>TOTALENERGIES!D39</f>
        <v>4.5262206906303774E-2</v>
      </c>
      <c r="N41" s="33">
        <f>VINCI!D39</f>
        <v>-3.7447515076146971E-2</v>
      </c>
      <c r="O41" s="34"/>
      <c r="P41" s="34">
        <f t="shared" si="1"/>
        <v>-2.3155754077381723E-2</v>
      </c>
    </row>
    <row r="42" spans="2:16" x14ac:dyDescent="0.2">
      <c r="B42" s="16">
        <v>41547</v>
      </c>
      <c r="C42" s="33">
        <f>AIRBUS!D40</f>
        <v>8.0036713457488445E-2</v>
      </c>
      <c r="D42" s="33">
        <f>BNP!D40</f>
        <v>5.4518770571494138E-2</v>
      </c>
      <c r="E42" s="33">
        <f>CAPGEMINI!D40</f>
        <v>6.1052356307167287E-2</v>
      </c>
      <c r="F42" s="33">
        <f>DANONE!D40</f>
        <v>-1.2424506434246278E-2</v>
      </c>
      <c r="G42" s="33">
        <f>ENGIE!D40</f>
        <v>0.13231697460881292</v>
      </c>
      <c r="H42" s="33">
        <f>'HERMES INTL'!D40</f>
        <v>4.8876634948753786E-2</v>
      </c>
      <c r="I42" s="33">
        <f>'PERNOD RICARD'!D40</f>
        <v>4.496830246304849E-2</v>
      </c>
      <c r="J42" s="33">
        <f>RENAULT!D40</f>
        <v>8.9681933331433011E-2</v>
      </c>
      <c r="K42" s="33">
        <f>SANOFI!D40</f>
        <v>3.1365749743564673E-2</v>
      </c>
      <c r="L42" s="33">
        <f>'SCHNEIDER ELECTRIC'!D40</f>
        <v>7.9619831544254283E-2</v>
      </c>
      <c r="M42" s="33">
        <f>TOTALENERGIES!D40</f>
        <v>2.3380878425927284E-2</v>
      </c>
      <c r="N42" s="33">
        <f>VINCI!D40</f>
        <v>9.9820658444086247E-2</v>
      </c>
      <c r="O42" s="34"/>
      <c r="P42" s="34">
        <f t="shared" si="1"/>
        <v>6.1101191450982022E-2</v>
      </c>
    </row>
    <row r="43" spans="2:16" x14ac:dyDescent="0.2">
      <c r="B43" s="16">
        <v>41578</v>
      </c>
      <c r="C43" s="33">
        <f>AIRBUS!D41</f>
        <v>7.4636348323746077E-2</v>
      </c>
      <c r="D43" s="33">
        <f>BNP!D41</f>
        <v>9.0799986703551536E-2</v>
      </c>
      <c r="E43" s="33">
        <f>CAPGEMINI!D41</f>
        <v>0.10188746753511607</v>
      </c>
      <c r="F43" s="33">
        <f>DANONE!D41</f>
        <v>-1.8332216308094753E-2</v>
      </c>
      <c r="G43" s="33">
        <f>ENGIE!D41</f>
        <v>-1.2385716201718272E-2</v>
      </c>
      <c r="H43" s="33">
        <f>'HERMES INTL'!D41</f>
        <v>-5.7121248571681285E-2</v>
      </c>
      <c r="I43" s="33">
        <f>'PERNOD RICARD'!D41</f>
        <v>-3.5842784155216474E-2</v>
      </c>
      <c r="J43" s="33">
        <f>RENAULT!D41</f>
        <v>9.4688614696730677E-2</v>
      </c>
      <c r="K43" s="33">
        <f>SANOFI!D41</f>
        <v>4.7619182633090985E-2</v>
      </c>
      <c r="L43" s="33">
        <f>'SCHNEIDER ELECTRIC'!D41</f>
        <v>-7.3588066619125602E-3</v>
      </c>
      <c r="M43" s="33">
        <f>TOTALENERGIES!D41</f>
        <v>7.003231355605527E-2</v>
      </c>
      <c r="N43" s="33">
        <f>VINCI!D41</f>
        <v>9.9488155029278061E-2</v>
      </c>
      <c r="O43" s="34"/>
      <c r="P43" s="34">
        <f t="shared" si="1"/>
        <v>3.7342608048245442E-2</v>
      </c>
    </row>
    <row r="44" spans="2:16" x14ac:dyDescent="0.2">
      <c r="B44" s="16">
        <v>41608</v>
      </c>
      <c r="C44" s="33">
        <f>AIRBUS!D42</f>
        <v>3.2602160087794249E-2</v>
      </c>
      <c r="D44" s="33">
        <f>BNP!D42</f>
        <v>1.3017750635237656E-2</v>
      </c>
      <c r="E44" s="33">
        <f>CAPGEMINI!D42</f>
        <v>-9.2879716630966357E-3</v>
      </c>
      <c r="F44" s="33">
        <f>DANONE!D42</f>
        <v>-2.0871563867669772E-2</v>
      </c>
      <c r="G44" s="33">
        <f>ENGIE!D42</f>
        <v>-6.9247473562257869E-2</v>
      </c>
      <c r="H44" s="33">
        <f>'HERMES INTL'!D42</f>
        <v>2.4312356036614351E-2</v>
      </c>
      <c r="I44" s="33">
        <f>'PERNOD RICARD'!D42</f>
        <v>-5.728805243603028E-2</v>
      </c>
      <c r="J44" s="33">
        <f>RENAULT!D42</f>
        <v>1.2091119937716938E-2</v>
      </c>
      <c r="K44" s="33">
        <f>SANOFI!D42</f>
        <v>-8.9126967710506048E-3</v>
      </c>
      <c r="L44" s="33">
        <f>'SCHNEIDER ELECTRIC'!D42</f>
        <v>4.1902846718487267E-3</v>
      </c>
      <c r="M44" s="33">
        <f>TOTALENERGIES!D42</f>
        <v>-1.4801428429525212E-2</v>
      </c>
      <c r="N44" s="33">
        <f>VINCI!D42</f>
        <v>1.6930948067972866E-3</v>
      </c>
      <c r="O44" s="34"/>
      <c r="P44" s="34">
        <f t="shared" si="1"/>
        <v>-7.7085350461350956E-3</v>
      </c>
    </row>
    <row r="45" spans="2:16" x14ac:dyDescent="0.2">
      <c r="B45" s="16">
        <v>41639</v>
      </c>
      <c r="C45" s="33">
        <f>AIRBUS!D43</f>
        <v>6.7929723205266968E-2</v>
      </c>
      <c r="D45" s="33">
        <f>BNP!D43</f>
        <v>2.5339303147722609E-2</v>
      </c>
      <c r="E45" s="33">
        <f>CAPGEMINI!D43</f>
        <v>2.3541840493999034E-2</v>
      </c>
      <c r="F45" s="33">
        <f>DANONE!D43</f>
        <v>-2.1690119742530382E-2</v>
      </c>
      <c r="G45" s="33">
        <f>ENGIE!D43</f>
        <v>4.8412772649994128E-2</v>
      </c>
      <c r="H45" s="33">
        <f>'HERMES INTL'!D43</f>
        <v>2.529191492117332E-2</v>
      </c>
      <c r="I45" s="33">
        <f>'PERNOD RICARD'!D43</f>
        <v>2.1178723764750888E-3</v>
      </c>
      <c r="J45" s="33">
        <f>RENAULT!D43</f>
        <v>-0.10476341416961199</v>
      </c>
      <c r="K45" s="33">
        <f>SANOFI!D43</f>
        <v>-9.2495383462102409E-3</v>
      </c>
      <c r="L45" s="33">
        <f>'SCHNEIDER ELECTRIC'!D43</f>
        <v>1.7493142762232485E-2</v>
      </c>
      <c r="M45" s="33">
        <f>TOTALENERGIES!D43</f>
        <v>-1.4574970018204133E-3</v>
      </c>
      <c r="N45" s="33">
        <f>VINCI!D43</f>
        <v>2.0316925474390676E-2</v>
      </c>
      <c r="O45" s="34"/>
      <c r="P45" s="34">
        <f t="shared" si="1"/>
        <v>7.7735771475901097E-3</v>
      </c>
    </row>
    <row r="46" spans="2:16" x14ac:dyDescent="0.2">
      <c r="B46" s="16">
        <v>41670</v>
      </c>
      <c r="C46" s="33">
        <f>AIRBUS!D44</f>
        <v>-5.7337449447948351E-2</v>
      </c>
      <c r="D46" s="33">
        <f>BNP!D44</f>
        <v>1.4122006863213259E-2</v>
      </c>
      <c r="E46" s="33">
        <f>CAPGEMINI!D44</f>
        <v>2.9309983211504517E-2</v>
      </c>
      <c r="F46" s="33">
        <f>DANONE!D44</f>
        <v>-6.3360263409411754E-2</v>
      </c>
      <c r="G46" s="33">
        <f>ENGIE!D44</f>
        <v>-4.1532506019061576E-2</v>
      </c>
      <c r="H46" s="33">
        <f>'HERMES INTL'!D44</f>
        <v>-0.103415545412677</v>
      </c>
      <c r="I46" s="33">
        <f>'PERNOD RICARD'!D44</f>
        <v>-3.8280179182731078E-2</v>
      </c>
      <c r="J46" s="33">
        <f>RENAULT!D44</f>
        <v>0.10795554521482958</v>
      </c>
      <c r="K46" s="33">
        <f>SANOFI!D44</f>
        <v>-5.6016684919604265E-2</v>
      </c>
      <c r="L46" s="33">
        <f>'SCHNEIDER ELECTRIC'!D44</f>
        <v>-5.5362894810864288E-2</v>
      </c>
      <c r="M46" s="33">
        <f>TOTALENERGIES!D44</f>
        <v>-3.5488160104535274E-2</v>
      </c>
      <c r="N46" s="33">
        <f>VINCI!D44</f>
        <v>1.7707629844310967E-2</v>
      </c>
      <c r="O46" s="34"/>
      <c r="P46" s="34">
        <f t="shared" si="1"/>
        <v>-2.347487651441461E-2</v>
      </c>
    </row>
    <row r="47" spans="2:16" x14ac:dyDescent="0.2">
      <c r="B47" s="16">
        <v>41698</v>
      </c>
      <c r="C47" s="33">
        <f>AIRBUS!D45</f>
        <v>1.4826206571300614E-2</v>
      </c>
      <c r="D47" s="33">
        <f>BNP!D45</f>
        <v>3.4986811389700098E-2</v>
      </c>
      <c r="E47" s="33">
        <f>CAPGEMINI!D45</f>
        <v>0.12181109194566903</v>
      </c>
      <c r="F47" s="33">
        <f>DANONE!D45</f>
        <v>4.4383322704813738E-2</v>
      </c>
      <c r="G47" s="33">
        <f>ENGIE!D45</f>
        <v>0.13457426565187455</v>
      </c>
      <c r="H47" s="33">
        <f>'HERMES INTL'!D45</f>
        <v>-1.1640278221413338E-2</v>
      </c>
      <c r="I47" s="33">
        <f>'PERNOD RICARD'!D45</f>
        <v>7.0944221186384104E-2</v>
      </c>
      <c r="J47" s="33">
        <f>RENAULT!D45</f>
        <v>0.11504026085186782</v>
      </c>
      <c r="K47" s="33">
        <f>SANOFI!D45</f>
        <v>3.4752638046430202E-2</v>
      </c>
      <c r="L47" s="33">
        <f>'SCHNEIDER ELECTRIC'!D45</f>
        <v>8.1148816009453853E-2</v>
      </c>
      <c r="M47" s="33">
        <f>TOTALENERGIES!D45</f>
        <v>0.11077001964848072</v>
      </c>
      <c r="N47" s="33">
        <f>VINCI!D45</f>
        <v>0.11458867952089649</v>
      </c>
      <c r="O47" s="34"/>
      <c r="P47" s="34">
        <f t="shared" si="1"/>
        <v>7.2182171275454829E-2</v>
      </c>
    </row>
    <row r="48" spans="2:16" x14ac:dyDescent="0.2">
      <c r="B48" s="16">
        <v>41729</v>
      </c>
      <c r="C48" s="33">
        <f>AIRBUS!D46</f>
        <v>-2.6222167539905285E-2</v>
      </c>
      <c r="D48" s="33">
        <f>BNP!D46</f>
        <v>-5.8358380576066946E-2</v>
      </c>
      <c r="E48" s="33">
        <f>CAPGEMINI!D46</f>
        <v>-3.1376665311645485E-2</v>
      </c>
      <c r="F48" s="33">
        <f>DANONE!D46</f>
        <v>2.930864306733573E-3</v>
      </c>
      <c r="G48" s="33">
        <f>ENGIE!D46</f>
        <v>6.8316105237490474E-2</v>
      </c>
      <c r="H48" s="33">
        <f>'HERMES INTL'!D46</f>
        <v>4.1197061335884154E-2</v>
      </c>
      <c r="I48" s="33">
        <f>'PERNOD RICARD'!D46</f>
        <v>-9.2627823140517974E-3</v>
      </c>
      <c r="J48" s="33">
        <f>RENAULT!D46</f>
        <v>-2.3127097791158072E-2</v>
      </c>
      <c r="K48" s="33">
        <f>SANOFI!D46</f>
        <v>4.6462850157383767E-3</v>
      </c>
      <c r="L48" s="33">
        <f>'SCHNEIDER ELECTRIC'!D46</f>
        <v>-6.1776770277038812E-3</v>
      </c>
      <c r="M48" s="33">
        <f>TOTALENERGIES!D46</f>
        <v>1.2120164047693702E-2</v>
      </c>
      <c r="N48" s="33">
        <f>VINCI!D46</f>
        <v>-4.0642381368527812E-3</v>
      </c>
      <c r="O48" s="34"/>
      <c r="P48" s="34">
        <f t="shared" si="1"/>
        <v>-2.4482107294869979E-3</v>
      </c>
    </row>
    <row r="49" spans="2:16" x14ac:dyDescent="0.2">
      <c r="B49" s="16">
        <v>41759</v>
      </c>
      <c r="C49" s="33">
        <f>AIRBUS!D47</f>
        <v>-4.8086167995552348E-2</v>
      </c>
      <c r="D49" s="33">
        <f>BNP!D47</f>
        <v>-3.3577517806982767E-2</v>
      </c>
      <c r="E49" s="33">
        <f>CAPGEMINI!D47</f>
        <v>-7.3521229941036506E-2</v>
      </c>
      <c r="F49" s="33">
        <f>DANONE!D47</f>
        <v>3.5651647470470185E-2</v>
      </c>
      <c r="G49" s="33">
        <f>ENGIE!D47</f>
        <v>-8.4843788951147386E-2</v>
      </c>
      <c r="H49" s="33">
        <f>'HERMES INTL'!D47</f>
        <v>4.7806407961081036E-2</v>
      </c>
      <c r="I49" s="33">
        <f>'PERNOD RICARD'!D47</f>
        <v>2.3787043927852913E-2</v>
      </c>
      <c r="J49" s="33">
        <f>RENAULT!D47</f>
        <v>-5.5286537200312045E-3</v>
      </c>
      <c r="K49" s="33">
        <f>SANOFI!D47</f>
        <v>3.0919878048074802E-2</v>
      </c>
      <c r="L49" s="33">
        <f>'SCHNEIDER ELECTRIC'!D47</f>
        <v>4.9728379791244982E-2</v>
      </c>
      <c r="M49" s="33">
        <f>TOTALENERGIES!D47</f>
        <v>9.5096281716372133E-2</v>
      </c>
      <c r="N49" s="33">
        <f>VINCI!D47</f>
        <v>7.9762691033389791E-3</v>
      </c>
      <c r="O49" s="34"/>
      <c r="P49" s="34">
        <f t="shared" si="1"/>
        <v>3.7840458003070704E-3</v>
      </c>
    </row>
    <row r="50" spans="2:16" x14ac:dyDescent="0.2">
      <c r="B50" s="16">
        <v>41790</v>
      </c>
      <c r="C50" s="33">
        <f>AIRBUS!D48</f>
        <v>6.3042933519198499E-2</v>
      </c>
      <c r="D50" s="33">
        <f>BNP!D48</f>
        <v>-5.0637581289433985E-2</v>
      </c>
      <c r="E50" s="33">
        <f>CAPGEMINI!D48</f>
        <v>4.7731229308853214E-2</v>
      </c>
      <c r="F50" s="33">
        <f>DANONE!D48</f>
        <v>2.7652341344907318E-2</v>
      </c>
      <c r="G50" s="33">
        <f>ENGIE!D48</f>
        <v>0.16838568350196922</v>
      </c>
      <c r="H50" s="33">
        <f>'HERMES INTL'!D48</f>
        <v>2.7058709592460362E-2</v>
      </c>
      <c r="I50" s="33">
        <f>'PERNOD RICARD'!D48</f>
        <v>3.9764072391679742E-2</v>
      </c>
      <c r="J50" s="33">
        <f>RENAULT!D48</f>
        <v>-1.553825485854014E-2</v>
      </c>
      <c r="K50" s="33">
        <f>SANOFI!D48</f>
        <v>5.383056038304487E-3</v>
      </c>
      <c r="L50" s="33">
        <f>'SCHNEIDER ELECTRIC'!D48</f>
        <v>2.2649709687393587E-2</v>
      </c>
      <c r="M50" s="33">
        <f>TOTALENERGIES!D48</f>
        <v>0</v>
      </c>
      <c r="N50" s="33">
        <f>VINCI!D48</f>
        <v>2.2304844654159918E-2</v>
      </c>
      <c r="O50" s="34"/>
      <c r="P50" s="34">
        <f t="shared" si="1"/>
        <v>2.9816395324246018E-2</v>
      </c>
    </row>
    <row r="51" spans="2:16" x14ac:dyDescent="0.2">
      <c r="B51" s="16">
        <v>41820</v>
      </c>
      <c r="C51" s="33">
        <f>AIRBUS!D49</f>
        <v>-5.6436430902527361E-2</v>
      </c>
      <c r="D51" s="33">
        <f>BNP!D49</f>
        <v>-6.9919017080484619E-3</v>
      </c>
      <c r="E51" s="33">
        <f>CAPGEMINI!D49</f>
        <v>-1.5811079017023989E-3</v>
      </c>
      <c r="F51" s="33">
        <f>DANONE!D49</f>
        <v>2.1200818926687279E-2</v>
      </c>
      <c r="G51" s="33">
        <f>ENGIE!D49</f>
        <v>-1.8550426091321938E-2</v>
      </c>
      <c r="H51" s="33">
        <f>'HERMES INTL'!D49</f>
        <v>3.6538517754002763E-2</v>
      </c>
      <c r="I51" s="33">
        <f>'PERNOD RICARD'!D49</f>
        <v>-2.5014098369843557E-2</v>
      </c>
      <c r="J51" s="33">
        <f>RENAULT!D49</f>
        <v>-1.9204288421336278E-2</v>
      </c>
      <c r="K51" s="33">
        <f>SANOFI!D49</f>
        <v>2.5884578220714639E-2</v>
      </c>
      <c r="L51" s="33">
        <f>'SCHNEIDER ELECTRIC'!D49</f>
        <v>2.9072487947341342E-2</v>
      </c>
      <c r="M51" s="33">
        <f>TOTALENERGIES!D49</f>
        <v>2.5252387857683328E-2</v>
      </c>
      <c r="N51" s="33">
        <f>VINCI!D49</f>
        <v>5.5246580559968218E-3</v>
      </c>
      <c r="O51" s="34"/>
      <c r="P51" s="34">
        <f t="shared" si="1"/>
        <v>1.3079329473038477E-3</v>
      </c>
    </row>
    <row r="52" spans="2:16" x14ac:dyDescent="0.2">
      <c r="B52" s="16">
        <v>41851</v>
      </c>
      <c r="C52" s="33">
        <f>AIRBUS!D50</f>
        <v>-0.11401726813689549</v>
      </c>
      <c r="D52" s="33">
        <f>BNP!D50</f>
        <v>-9.0828725114609949E-4</v>
      </c>
      <c r="E52" s="33">
        <f>CAPGEMINI!D50</f>
        <v>4.0883145766046611E-2</v>
      </c>
      <c r="F52" s="33">
        <f>DANONE!D50</f>
        <v>-2.7655947477767139E-3</v>
      </c>
      <c r="G52" s="33">
        <f>ENGIE!D50</f>
        <v>-4.2526775447477322E-2</v>
      </c>
      <c r="H52" s="33">
        <f>'HERMES INTL'!D50</f>
        <v>-3.8046361323803367E-2</v>
      </c>
      <c r="I52" s="33">
        <f>'PERNOD RICARD'!D50</f>
        <v>-4.5609750402030538E-2</v>
      </c>
      <c r="J52" s="33">
        <f>RENAULT!D50</f>
        <v>-5.5429486299461858E-2</v>
      </c>
      <c r="K52" s="33">
        <f>SANOFI!D50</f>
        <v>1.3405429507250355E-2</v>
      </c>
      <c r="L52" s="33">
        <f>'SCHNEIDER ELECTRIC'!D50</f>
        <v>-8.0436433831088006E-2</v>
      </c>
      <c r="M52" s="33">
        <f>TOTALENERGIES!D50</f>
        <v>-7.7933644104260485E-2</v>
      </c>
      <c r="N52" s="33">
        <f>VINCI!D50</f>
        <v>-5.4578566429168508E-2</v>
      </c>
      <c r="O52" s="34"/>
      <c r="P52" s="34">
        <f t="shared" si="1"/>
        <v>-3.8163632724984291E-2</v>
      </c>
    </row>
    <row r="53" spans="2:16" x14ac:dyDescent="0.2">
      <c r="B53" s="16">
        <v>41882</v>
      </c>
      <c r="C53" s="33">
        <f>AIRBUS!D51</f>
        <v>7.9451351373141077E-2</v>
      </c>
      <c r="D53" s="33">
        <f>BNP!D51</f>
        <v>3.7979995628596823E-2</v>
      </c>
      <c r="E53" s="33">
        <f>CAPGEMINI!D51</f>
        <v>-2.2128092160719937E-3</v>
      </c>
      <c r="F53" s="33">
        <f>DANONE!D51</f>
        <v>-1.7563351572522482E-2</v>
      </c>
      <c r="G53" s="33">
        <f>ENGIE!D51</f>
        <v>-2.6233494741348604E-2</v>
      </c>
      <c r="H53" s="33">
        <f>'HERMES INTL'!D51</f>
        <v>1.4726022977808582E-2</v>
      </c>
      <c r="I53" s="33">
        <f>'PERNOD RICARD'!D51</f>
        <v>8.2203381356953834E-2</v>
      </c>
      <c r="J53" s="33">
        <f>RENAULT!D51</f>
        <v>-4.4733029237245869E-2</v>
      </c>
      <c r="K53" s="33">
        <f>SANOFI!D51</f>
        <v>6.2070710237686844E-2</v>
      </c>
      <c r="L53" s="33">
        <f>'SCHNEIDER ELECTRIC'!D51</f>
        <v>1.7399664030763328E-2</v>
      </c>
      <c r="M53" s="33">
        <f>TOTALENERGIES!D51</f>
        <v>4.366842466815838E-2</v>
      </c>
      <c r="N53" s="33">
        <f>VINCI!D51</f>
        <v>-3.6226318538971083E-2</v>
      </c>
      <c r="O53" s="34"/>
      <c r="P53" s="34">
        <f t="shared" si="1"/>
        <v>1.7544212247245738E-2</v>
      </c>
    </row>
    <row r="54" spans="2:16" x14ac:dyDescent="0.2">
      <c r="B54" s="16">
        <v>41912</v>
      </c>
      <c r="C54" s="33">
        <f>AIRBUS!D52</f>
        <v>6.4416119340788044E-2</v>
      </c>
      <c r="D54" s="33">
        <f>BNP!D52</f>
        <v>2.2187465489492394E-2</v>
      </c>
      <c r="E54" s="33">
        <f>CAPGEMINI!D52</f>
        <v>5.0268186627354487E-2</v>
      </c>
      <c r="F54" s="33">
        <f>DANONE!D52</f>
        <v>-2.6344262311520507E-3</v>
      </c>
      <c r="G54" s="33">
        <f>ENGIE!D52</f>
        <v>5.948233364754054E-2</v>
      </c>
      <c r="H54" s="33">
        <f>'HERMES INTL'!D52</f>
        <v>-9.5856470785421491E-2</v>
      </c>
      <c r="I54" s="33">
        <f>'PERNOD RICARD'!D52</f>
        <v>-1.1143674486429902E-3</v>
      </c>
      <c r="J54" s="33">
        <f>RENAULT!D52</f>
        <v>-3.7428635003465993E-2</v>
      </c>
      <c r="K54" s="33">
        <f>SANOFI!D52</f>
        <v>7.257490602628773E-2</v>
      </c>
      <c r="L54" s="33">
        <f>'SCHNEIDER ELECTRIC'!D52</f>
        <v>-5.4726462830714799E-2</v>
      </c>
      <c r="M54" s="33">
        <f>TOTALENERGIES!D52</f>
        <v>2.510447418762814E-2</v>
      </c>
      <c r="N54" s="33">
        <f>VINCI!D52</f>
        <v>-7.5276319183781387E-2</v>
      </c>
      <c r="O54" s="34"/>
      <c r="P54" s="34">
        <f t="shared" si="1"/>
        <v>2.2497336529927205E-3</v>
      </c>
    </row>
    <row r="55" spans="2:16" x14ac:dyDescent="0.2">
      <c r="B55" s="16">
        <v>41943</v>
      </c>
      <c r="C55" s="33">
        <f>AIRBUS!D53</f>
        <v>-4.4560504933597284E-2</v>
      </c>
      <c r="D55" s="33">
        <f>BNP!D53</f>
        <v>-4.5315977202190647E-2</v>
      </c>
      <c r="E55" s="33">
        <f>CAPGEMINI!D53</f>
        <v>-7.689626940117103E-2</v>
      </c>
      <c r="F55" s="33">
        <f>DANONE!D53</f>
        <v>2.3018815643770927E-2</v>
      </c>
      <c r="G55" s="33">
        <f>ENGIE!D53</f>
        <v>-2.5428025958239616E-2</v>
      </c>
      <c r="H55" s="33">
        <f>'HERMES INTL'!D53</f>
        <v>4.3716909271895275E-2</v>
      </c>
      <c r="I55" s="33">
        <f>'PERNOD RICARD'!D53</f>
        <v>1.3275135571938579E-2</v>
      </c>
      <c r="J55" s="33">
        <f>RENAULT!D53</f>
        <v>3.2781290757974597E-2</v>
      </c>
      <c r="K55" s="33">
        <f>SANOFI!D53</f>
        <v>-0.17753467991860941</v>
      </c>
      <c r="L55" s="33">
        <f>'SCHNEIDER ELECTRIC'!D53</f>
        <v>3.4210547330825028E-2</v>
      </c>
      <c r="M55" s="33">
        <f>TOTALENERGIES!D53</f>
        <v>-6.6975216035861526E-2</v>
      </c>
      <c r="N55" s="33">
        <f>VINCI!D53</f>
        <v>-1.1520540248201087E-2</v>
      </c>
      <c r="O55" s="34"/>
      <c r="P55" s="34">
        <f t="shared" si="1"/>
        <v>-2.5102376260122187E-2</v>
      </c>
    </row>
    <row r="56" spans="2:16" x14ac:dyDescent="0.2">
      <c r="B56" s="16">
        <v>41973</v>
      </c>
      <c r="C56" s="33">
        <f>AIRBUS!D54</f>
        <v>2.9306774602389719E-2</v>
      </c>
      <c r="D56" s="33">
        <f>BNP!D54</f>
        <v>2.8320640090445139E-2</v>
      </c>
      <c r="E56" s="33">
        <f>CAPGEMINI!D54</f>
        <v>0.1233322421540055</v>
      </c>
      <c r="F56" s="33">
        <f>DANONE!D54</f>
        <v>4.666175278248634E-2</v>
      </c>
      <c r="G56" s="33">
        <f>ENGIE!D54</f>
        <v>5.2196608319775795E-2</v>
      </c>
      <c r="H56" s="33">
        <f>'HERMES INTL'!D54</f>
        <v>8.9639941767023876E-2</v>
      </c>
      <c r="I56" s="33">
        <f>'PERNOD RICARD'!D54</f>
        <v>4.9323428389535649E-2</v>
      </c>
      <c r="J56" s="33">
        <f>RENAULT!D54</f>
        <v>8.9312655278336581E-2</v>
      </c>
      <c r="K56" s="33">
        <f>SANOFI!D54</f>
        <v>5.7018795092845617E-2</v>
      </c>
      <c r="L56" s="33">
        <f>'SCHNEIDER ELECTRIC'!D54</f>
        <v>4.3257035522934743E-2</v>
      </c>
      <c r="M56" s="33">
        <f>TOTALENERGIES!D54</f>
        <v>-5.1244048385268644E-2</v>
      </c>
      <c r="N56" s="33">
        <f>VINCI!D54</f>
        <v>-4.398028248921098E-2</v>
      </c>
      <c r="O56" s="34"/>
      <c r="P56" s="34">
        <f t="shared" si="1"/>
        <v>4.2762128593774935E-2</v>
      </c>
    </row>
    <row r="57" spans="2:16" x14ac:dyDescent="0.2">
      <c r="B57" s="16">
        <v>42004</v>
      </c>
      <c r="C57" s="33">
        <f>AIRBUS!D55</f>
        <v>-0.15603641844383176</v>
      </c>
      <c r="D57" s="33">
        <f>BNP!D55</f>
        <v>-4.4608185780386049E-2</v>
      </c>
      <c r="E57" s="33">
        <f>CAPGEMINI!D55</f>
        <v>9.3329755935649614E-3</v>
      </c>
      <c r="F57" s="33">
        <f>DANONE!D55</f>
        <v>-4.0528748939558122E-2</v>
      </c>
      <c r="G57" s="33">
        <f>ENGIE!D55</f>
        <v>-1.9429704859015677E-2</v>
      </c>
      <c r="H57" s="33">
        <f>'HERMES INTL'!D55</f>
        <v>9.4892990565379198E-2</v>
      </c>
      <c r="I57" s="33">
        <f>'PERNOD RICARD'!D55</f>
        <v>-2.3255378391539606E-2</v>
      </c>
      <c r="J57" s="33">
        <f>RENAULT!D55</f>
        <v>-6.1841283123796567E-2</v>
      </c>
      <c r="K57" s="33">
        <f>SANOFI!D55</f>
        <v>-2.8255739628062267E-2</v>
      </c>
      <c r="L57" s="33">
        <f>'SCHNEIDER ELECTRIC'!D55</f>
        <v>-7.6067041814476169E-2</v>
      </c>
      <c r="M57" s="33">
        <f>TOTALENERGIES!D55</f>
        <v>-5.4901051804429266E-2</v>
      </c>
      <c r="N57" s="33">
        <f>VINCI!D55</f>
        <v>6.9914444830676353E-2</v>
      </c>
      <c r="O57" s="34"/>
      <c r="P57" s="34">
        <f t="shared" si="1"/>
        <v>-2.7565261816289582E-2</v>
      </c>
    </row>
    <row r="58" spans="2:16" x14ac:dyDescent="0.2">
      <c r="B58" s="16">
        <v>42035</v>
      </c>
      <c r="C58" s="33">
        <f>AIRBUS!D56</f>
        <v>0.14147539993923897</v>
      </c>
      <c r="D58" s="33">
        <f>BNP!D56</f>
        <v>-5.0446674851498556E-2</v>
      </c>
      <c r="E58" s="33">
        <f>CAPGEMINI!D56</f>
        <v>8.5575012430724504E-2</v>
      </c>
      <c r="F58" s="33">
        <f>DANONE!D56</f>
        <v>9.4031244776585962E-2</v>
      </c>
      <c r="G58" s="33">
        <f>ENGIE!D56</f>
        <v>1.5182702590428237E-2</v>
      </c>
      <c r="H58" s="33">
        <f>'HERMES INTL'!D56</f>
        <v>1.9165668653886643E-2</v>
      </c>
      <c r="I58" s="33">
        <f>'PERNOD RICARD'!D56</f>
        <v>0.1554302224320657</v>
      </c>
      <c r="J58" s="33">
        <f>RENAULT!D56</f>
        <v>0.12687923786150015</v>
      </c>
      <c r="K58" s="33">
        <f>SANOFI!D56</f>
        <v>8.3795678709393515E-2</v>
      </c>
      <c r="L58" s="33">
        <f>'SCHNEIDER ELECTRIC'!D56</f>
        <v>0.10542801501547699</v>
      </c>
      <c r="M58" s="33">
        <f>TOTALENERGIES!D56</f>
        <v>8.6191993696453431E-2</v>
      </c>
      <c r="N58" s="33">
        <f>VINCI!D56</f>
        <v>2.9224440460903622E-2</v>
      </c>
      <c r="O58" s="34"/>
      <c r="P58" s="34">
        <f t="shared" si="1"/>
        <v>7.4327745142929946E-2</v>
      </c>
    </row>
    <row r="59" spans="2:16" x14ac:dyDescent="0.2">
      <c r="B59" s="16">
        <v>42063</v>
      </c>
      <c r="C59" s="33">
        <f>AIRBUS!D57</f>
        <v>0.17224574446579444</v>
      </c>
      <c r="D59" s="33">
        <f>BNP!D57</f>
        <v>0.1136287619953809</v>
      </c>
      <c r="E59" s="33">
        <f>CAPGEMINI!D57</f>
        <v>0.11925038598748014</v>
      </c>
      <c r="F59" s="33">
        <f>DANONE!D57</f>
        <v>4.6332128185204421E-2</v>
      </c>
      <c r="G59" s="33">
        <f>ENGIE!D57</f>
        <v>7.6044394392007601E-3</v>
      </c>
      <c r="H59" s="33">
        <f>'HERMES INTL'!D57</f>
        <v>-4.0272628145139072E-2</v>
      </c>
      <c r="I59" s="33">
        <f>'PERNOD RICARD'!D57</f>
        <v>-6.0974868781190532E-3</v>
      </c>
      <c r="J59" s="33">
        <f>RENAULT!D57</f>
        <v>0.25861312043965995</v>
      </c>
      <c r="K59" s="33">
        <f>SANOFI!D57</f>
        <v>6.9512278454683538E-2</v>
      </c>
      <c r="L59" s="33">
        <f>'SCHNEIDER ELECTRIC'!D57</f>
        <v>7.4328576580008465E-2</v>
      </c>
      <c r="M59" s="33">
        <f>TOTALENERGIES!D57</f>
        <v>6.0109941352369078E-2</v>
      </c>
      <c r="N59" s="33">
        <f>VINCI!D57</f>
        <v>0.1319386375868688</v>
      </c>
      <c r="O59" s="34"/>
      <c r="P59" s="34">
        <f t="shared" si="1"/>
        <v>8.3932824955282689E-2</v>
      </c>
    </row>
    <row r="60" spans="2:16" x14ac:dyDescent="0.2">
      <c r="B60" s="16">
        <v>42094</v>
      </c>
      <c r="C60" s="33">
        <f>AIRBUS!D58</f>
        <v>9.2354897899822097E-2</v>
      </c>
      <c r="D60" s="33">
        <f>BNP!D58</f>
        <v>8.6005195464224679E-2</v>
      </c>
      <c r="E60" s="33">
        <f>CAPGEMINI!D58</f>
        <v>5.6731713988727728E-2</v>
      </c>
      <c r="F60" s="33">
        <f>DANONE!D58</f>
        <v>4.6525580734103371E-3</v>
      </c>
      <c r="G60" s="33">
        <f>ENGIE!D58</f>
        <v>-7.3962108441910493E-2</v>
      </c>
      <c r="H60" s="33">
        <f>'HERMES INTL'!D58</f>
        <v>0.13889373212313164</v>
      </c>
      <c r="I60" s="33">
        <f>'PERNOD RICARD'!D58</f>
        <v>3.9641269680508129E-2</v>
      </c>
      <c r="J60" s="33">
        <f>RENAULT!D58</f>
        <v>-1.2580080857740577E-2</v>
      </c>
      <c r="K60" s="33">
        <f>SANOFI!D58</f>
        <v>4.8232609720454317E-2</v>
      </c>
      <c r="L60" s="33">
        <f>'SCHNEIDER ELECTRIC'!D58</f>
        <v>5.1401078850698669E-3</v>
      </c>
      <c r="M60" s="33">
        <f>TOTALENERGIES!D58</f>
        <v>-4.0634548119179471E-2</v>
      </c>
      <c r="N60" s="33">
        <f>VINCI!D58</f>
        <v>3.9605997557971839E-3</v>
      </c>
      <c r="O60" s="34"/>
      <c r="P60" s="34">
        <f t="shared" si="1"/>
        <v>2.9036328931026284E-2</v>
      </c>
    </row>
    <row r="61" spans="2:16" x14ac:dyDescent="0.2">
      <c r="B61" s="16">
        <v>42124</v>
      </c>
      <c r="C61" s="33">
        <f>AIRBUS!D59</f>
        <v>2.5810827525025677E-2</v>
      </c>
      <c r="D61" s="33">
        <f>BNP!D59</f>
        <v>-2.2979588250809655E-3</v>
      </c>
      <c r="E61" s="33">
        <f>CAPGEMINI!D59</f>
        <v>4.0984702742204344E-2</v>
      </c>
      <c r="F61" s="33">
        <f>DANONE!D59</f>
        <v>3.0182077518861237E-2</v>
      </c>
      <c r="G61" s="33">
        <f>ENGIE!D59</f>
        <v>-1.08666769891879E-2</v>
      </c>
      <c r="H61" s="33">
        <f>'HERMES INTL'!D59</f>
        <v>3.1723387099207155E-2</v>
      </c>
      <c r="I61" s="33">
        <f>'PERNOD RICARD'!D59</f>
        <v>7.7168045844980878E-3</v>
      </c>
      <c r="J61" s="33">
        <f>RENAULT!D59</f>
        <v>0.11006253955011851</v>
      </c>
      <c r="K61" s="33">
        <f>SANOFI!D59</f>
        <v>-7.9407302068169577E-3</v>
      </c>
      <c r="L61" s="33">
        <f>'SCHNEIDER ELECTRIC'!D59</f>
        <v>-7.6157532346215237E-2</v>
      </c>
      <c r="M61" s="33">
        <f>TOTALENERGIES!D59</f>
        <v>6.1349350952737462E-2</v>
      </c>
      <c r="N61" s="33">
        <f>VINCI!D59</f>
        <v>2.9870500336847693E-2</v>
      </c>
      <c r="O61" s="34"/>
      <c r="P61" s="34">
        <f t="shared" si="1"/>
        <v>2.0036440995183258E-2</v>
      </c>
    </row>
    <row r="62" spans="2:16" x14ac:dyDescent="0.2">
      <c r="B62" s="16">
        <v>42155</v>
      </c>
      <c r="C62" s="33">
        <f>AIRBUS!D60</f>
        <v>0</v>
      </c>
      <c r="D62" s="33">
        <f>BNP!D60</f>
        <v>-2.6754122231896757E-2</v>
      </c>
      <c r="E62" s="33">
        <f>CAPGEMINI!D60</f>
        <v>-6.037768472043065E-3</v>
      </c>
      <c r="F62" s="33">
        <f>DANONE!D60</f>
        <v>-3.0692863866611162E-2</v>
      </c>
      <c r="G62" s="33">
        <f>ENGIE!D60</f>
        <v>3.701386158492246E-2</v>
      </c>
      <c r="H62" s="33">
        <f>'HERMES INTL'!D60</f>
        <v>5.518479338829687E-2</v>
      </c>
      <c r="I62" s="33">
        <f>'PERNOD RICARD'!D60</f>
        <v>1.3964021201254829E-2</v>
      </c>
      <c r="J62" s="33">
        <f>RENAULT!D60</f>
        <v>4.5696054732695503E-3</v>
      </c>
      <c r="K62" s="33">
        <f>SANOFI!D60</f>
        <v>-2.2478164223122207E-2</v>
      </c>
      <c r="L62" s="33">
        <f>'SCHNEIDER ELECTRIC'!D60</f>
        <v>5.9439049264565585E-2</v>
      </c>
      <c r="M62" s="33">
        <f>TOTALENERGIES!D60</f>
        <v>-5.1768658888080625E-2</v>
      </c>
      <c r="N62" s="33">
        <f>VINCI!D60</f>
        <v>8.1981865885514451E-3</v>
      </c>
      <c r="O62" s="34"/>
      <c r="P62" s="34">
        <f t="shared" si="1"/>
        <v>3.3864949849255767E-3</v>
      </c>
    </row>
    <row r="63" spans="2:16" x14ac:dyDescent="0.2">
      <c r="B63" s="16">
        <v>42185</v>
      </c>
      <c r="C63" s="33">
        <f>AIRBUS!D61</f>
        <v>-6.1290379243560365E-2</v>
      </c>
      <c r="D63" s="33">
        <f>BNP!D61</f>
        <v>1.2248147383452208E-2</v>
      </c>
      <c r="E63" s="33">
        <f>CAPGEMINI!D61</f>
        <v>1.956197841837394E-2</v>
      </c>
      <c r="F63" s="33">
        <f>DANONE!D61</f>
        <v>-5.0322656955568992E-2</v>
      </c>
      <c r="G63" s="33">
        <f>ENGIE!D61</f>
        <v>-9.4421769777580752E-2</v>
      </c>
      <c r="H63" s="33">
        <f>'HERMES INTL'!D61</f>
        <v>-5.9187421692477947E-2</v>
      </c>
      <c r="I63" s="33">
        <f>'PERNOD RICARD'!D61</f>
        <v>-7.9520459887955808E-2</v>
      </c>
      <c r="J63" s="33">
        <f>RENAULT!D61</f>
        <v>8.7969221373295822E-3</v>
      </c>
      <c r="K63" s="33">
        <f>SANOFI!D61</f>
        <v>2.1724407476455803E-2</v>
      </c>
      <c r="L63" s="33">
        <f>'SCHNEIDER ELECTRIC'!D61</f>
        <v>-9.9592785922099858E-2</v>
      </c>
      <c r="M63" s="33">
        <f>TOTALENERGIES!D61</f>
        <v>-5.2311271943596707E-2</v>
      </c>
      <c r="N63" s="33">
        <f>VINCI!D61</f>
        <v>-4.0680411258301824E-2</v>
      </c>
      <c r="O63" s="34"/>
      <c r="P63" s="34">
        <f t="shared" si="1"/>
        <v>-3.9582975105460889E-2</v>
      </c>
    </row>
    <row r="64" spans="2:16" x14ac:dyDescent="0.2">
      <c r="B64" s="16">
        <v>42216</v>
      </c>
      <c r="C64" s="33">
        <f>AIRBUS!D62</f>
        <v>0.13187278098352639</v>
      </c>
      <c r="D64" s="33">
        <f>BNP!D62</f>
        <v>9.5290977614712197E-2</v>
      </c>
      <c r="E64" s="33">
        <f>CAPGEMINI!D62</f>
        <v>9.6761930993674319E-2</v>
      </c>
      <c r="F64" s="33">
        <f>DANONE!D62</f>
        <v>6.380404927034089E-2</v>
      </c>
      <c r="G64" s="33">
        <f>ENGIE!D62</f>
        <v>5.0781459216036752E-2</v>
      </c>
      <c r="H64" s="33">
        <f>'HERMES INTL'!D62</f>
        <v>7.8525807986556451E-2</v>
      </c>
      <c r="I64" s="33">
        <f>'PERNOD RICARD'!D62</f>
        <v>5.2606350180355019E-2</v>
      </c>
      <c r="J64" s="33">
        <f>RENAULT!D62</f>
        <v>-0.1031898082773806</v>
      </c>
      <c r="K64" s="33">
        <f>SANOFI!D62</f>
        <v>0.11026735682019423</v>
      </c>
      <c r="L64" s="33">
        <f>'SCHNEIDER ELECTRIC'!D62</f>
        <v>2.6804395369393316E-2</v>
      </c>
      <c r="M64" s="33">
        <f>TOTALENERGIES!D62</f>
        <v>4.8583414800672083E-2</v>
      </c>
      <c r="N64" s="33">
        <f>VINCI!D62</f>
        <v>0.12567455006807399</v>
      </c>
      <c r="O64" s="34"/>
      <c r="P64" s="34">
        <f t="shared" si="1"/>
        <v>6.4815272085512909E-2</v>
      </c>
    </row>
    <row r="65" spans="2:16" x14ac:dyDescent="0.2">
      <c r="B65" s="16">
        <v>42247</v>
      </c>
      <c r="C65" s="33">
        <f>AIRBUS!D63</f>
        <v>-0.10077400821523196</v>
      </c>
      <c r="D65" s="33">
        <f>BNP!D63</f>
        <v>-5.1256360080044312E-2</v>
      </c>
      <c r="E65" s="33">
        <f>CAPGEMINI!D63</f>
        <v>-7.9609195827915938E-2</v>
      </c>
      <c r="F65" s="33">
        <f>DANONE!D63</f>
        <v>-0.10212355223753981</v>
      </c>
      <c r="G65" s="33">
        <f>ENGIE!D63</f>
        <v>-8.5787991461468566E-2</v>
      </c>
      <c r="H65" s="33">
        <f>'HERMES INTL'!D63</f>
        <v>-0.10664437188598028</v>
      </c>
      <c r="I65" s="33">
        <f>'PERNOD RICARD'!D63</f>
        <v>-0.13559616529040491</v>
      </c>
      <c r="J65" s="33">
        <f>RENAULT!D63</f>
        <v>-0.11566026562067157</v>
      </c>
      <c r="K65" s="33">
        <f>SANOFI!D63</f>
        <v>-0.10003065015024584</v>
      </c>
      <c r="L65" s="33">
        <f>'SCHNEIDER ELECTRIC'!D63</f>
        <v>-0.11416892324761377</v>
      </c>
      <c r="M65" s="33">
        <f>TOTALENERGIES!D63</f>
        <v>-9.4730773785617242E-2</v>
      </c>
      <c r="N65" s="33">
        <f>VINCI!D63</f>
        <v>-1.6952047116846544E-2</v>
      </c>
      <c r="O65" s="34"/>
      <c r="P65" s="34">
        <f t="shared" si="1"/>
        <v>-9.1944525409965061E-2</v>
      </c>
    </row>
    <row r="66" spans="2:16" x14ac:dyDescent="0.2">
      <c r="B66" s="16">
        <v>42277</v>
      </c>
      <c r="C66" s="33">
        <f>AIRBUS!D64</f>
        <v>-8.9171859348187082E-2</v>
      </c>
      <c r="D66" s="33">
        <f>BNP!D64</f>
        <v>-6.7709181653575312E-2</v>
      </c>
      <c r="E66" s="33">
        <f>CAPGEMINI!D64</f>
        <v>-6.2408327163759082E-3</v>
      </c>
      <c r="F66" s="33">
        <f>DANONE!D64</f>
        <v>1.8595483482946845E-2</v>
      </c>
      <c r="G66" s="33">
        <f>ENGIE!D64</f>
        <v>-9.6653117259938193E-2</v>
      </c>
      <c r="H66" s="33">
        <f>'HERMES INTL'!D64</f>
        <v>2.6369704496421478E-2</v>
      </c>
      <c r="I66" s="33">
        <f>'PERNOD RICARD'!D64</f>
        <v>-3.5714516463330029E-2</v>
      </c>
      <c r="J66" s="33">
        <f>RENAULT!D64</f>
        <v>-0.13618555464683574</v>
      </c>
      <c r="K66" s="33">
        <f>SANOFI!D64</f>
        <v>-3.7200935991717837E-2</v>
      </c>
      <c r="L66" s="33">
        <f>'SCHNEIDER ELECTRIC'!D64</f>
        <v>-0.11219616206550227</v>
      </c>
      <c r="M66" s="33">
        <f>TOTALENERGIES!D64</f>
        <v>-1.4826934010978818E-2</v>
      </c>
      <c r="N66" s="33">
        <f>VINCI!D64</f>
        <v>-1.2192954111392609E-2</v>
      </c>
      <c r="O66" s="34"/>
      <c r="P66" s="34">
        <f t="shared" si="1"/>
        <v>-4.6927238357372121E-2</v>
      </c>
    </row>
    <row r="67" spans="2:16" x14ac:dyDescent="0.2">
      <c r="B67" s="16">
        <v>42308</v>
      </c>
      <c r="C67" s="33">
        <f>AIRBUS!D65</f>
        <v>0.19750509751586981</v>
      </c>
      <c r="D67" s="33">
        <f>BNP!D65</f>
        <v>5.3373928207646415E-2</v>
      </c>
      <c r="E67" s="33">
        <f>CAPGEMINI!D65</f>
        <v>1.7709119505034832E-2</v>
      </c>
      <c r="F67" s="33">
        <f>DANONE!D65</f>
        <v>0.12389219659829694</v>
      </c>
      <c r="G67" s="33">
        <f>ENGIE!D65</f>
        <v>0.10491692465381107</v>
      </c>
      <c r="H67" s="33">
        <f>'HERMES INTL'!D65</f>
        <v>7.8000042715609952E-2</v>
      </c>
      <c r="I67" s="33">
        <f>'PERNOD RICARD'!D65</f>
        <v>0.18873395311895519</v>
      </c>
      <c r="J67" s="33">
        <f>RENAULT!D65</f>
        <v>0.33953124009525798</v>
      </c>
      <c r="K67" s="33">
        <f>SANOFI!D65</f>
        <v>8.198835130291636E-2</v>
      </c>
      <c r="L67" s="33">
        <f>'SCHNEIDER ELECTRIC'!D65</f>
        <v>0.10138002687344622</v>
      </c>
      <c r="M67" s="33">
        <f>TOTALENERGIES!D65</f>
        <v>0.1149752938684339</v>
      </c>
      <c r="N67" s="33">
        <f>VINCI!D65</f>
        <v>8.234871017137306E-2</v>
      </c>
      <c r="O67" s="34"/>
      <c r="P67" s="34">
        <f t="shared" si="1"/>
        <v>0.12369624038555428</v>
      </c>
    </row>
    <row r="68" spans="2:16" x14ac:dyDescent="0.2">
      <c r="B68" s="16">
        <v>42338</v>
      </c>
      <c r="C68" s="33">
        <f>AIRBUS!D66</f>
        <v>8.0176878950401625E-2</v>
      </c>
      <c r="D68" s="33">
        <f>BNP!D66</f>
        <v>1.5381909191549359E-2</v>
      </c>
      <c r="E68" s="33">
        <f>CAPGEMINI!D66</f>
        <v>7.7625470314712106E-2</v>
      </c>
      <c r="F68" s="33">
        <f>DANONE!D66</f>
        <v>4.6049514279631519E-2</v>
      </c>
      <c r="G68" s="33">
        <f>ENGIE!D66</f>
        <v>6.8578670470481926E-2</v>
      </c>
      <c r="H68" s="33">
        <f>'HERMES INTL'!D66</f>
        <v>-4.8808410607385416E-2</v>
      </c>
      <c r="I68" s="33">
        <f>'PERNOD RICARD'!D66</f>
        <v>4.6640494929095369E-3</v>
      </c>
      <c r="J68" s="33">
        <f>RENAULT!D66</f>
        <v>0.11407899633628039</v>
      </c>
      <c r="K68" s="33">
        <f>SANOFI!D66</f>
        <v>-8.1327965540469088E-2</v>
      </c>
      <c r="L68" s="33">
        <f>'SCHNEIDER ELECTRIC'!D66</f>
        <v>8.9324496322774685E-2</v>
      </c>
      <c r="M68" s="33">
        <f>TOTALENERGIES!D66</f>
        <v>6.4673381080146503E-2</v>
      </c>
      <c r="N68" s="33">
        <f>VINCI!D66</f>
        <v>2.9326905208083539E-3</v>
      </c>
      <c r="O68" s="34"/>
      <c r="P68" s="34">
        <f t="shared" si="1"/>
        <v>3.6112473400986785E-2</v>
      </c>
    </row>
    <row r="69" spans="2:16" x14ac:dyDescent="0.2">
      <c r="B69" s="16">
        <v>42369</v>
      </c>
      <c r="C69" s="33">
        <f>AIRBUS!D67</f>
        <v>-9.4096970796048438E-2</v>
      </c>
      <c r="D69" s="33">
        <f>BNP!D67</f>
        <v>-6.9150028245038089E-2</v>
      </c>
      <c r="E69" s="33">
        <f>CAPGEMINI!D67</f>
        <v>-1.9697459949593765E-2</v>
      </c>
      <c r="F69" s="33">
        <f>DANONE!D67</f>
        <v>-6.1058358265403581E-2</v>
      </c>
      <c r="G69" s="33">
        <f>ENGIE!D67</f>
        <v>-1.000615984381671E-2</v>
      </c>
      <c r="H69" s="33">
        <f>'HERMES INTL'!D67</f>
        <v>-6.4515938443693965E-2</v>
      </c>
      <c r="I69" s="33">
        <f>'PERNOD RICARD'!D67</f>
        <v>-1.4093452430991086E-2</v>
      </c>
      <c r="J69" s="33">
        <f>RENAULT!D67</f>
        <v>-3.0153984016673279E-2</v>
      </c>
      <c r="K69" s="33">
        <f>SANOFI!D67</f>
        <v>-6.8499915100416517E-2</v>
      </c>
      <c r="L69" s="33">
        <f>'SCHNEIDER ELECTRIC'!D67</f>
        <v>-0.1240000556741359</v>
      </c>
      <c r="M69" s="33">
        <f>TOTALENERGIES!D67</f>
        <v>-0.12202121049673911</v>
      </c>
      <c r="N69" s="33">
        <f>VINCI!D67</f>
        <v>-3.0372590585643747E-2</v>
      </c>
      <c r="O69" s="34"/>
      <c r="P69" s="34">
        <f t="shared" si="1"/>
        <v>-5.8972176987349516E-2</v>
      </c>
    </row>
    <row r="70" spans="2:16" x14ac:dyDescent="0.2">
      <c r="B70" s="16">
        <v>42400</v>
      </c>
      <c r="C70" s="33">
        <f>AIRBUS!D68</f>
        <v>-6.7419500088324244E-2</v>
      </c>
      <c r="D70" s="33">
        <f>BNP!D68</f>
        <v>-0.16283727435150466</v>
      </c>
      <c r="E70" s="33">
        <f>CAPGEMINI!D68</f>
        <v>-1.7756998040943554E-2</v>
      </c>
      <c r="F70" s="33">
        <f>DANONE!D68</f>
        <v>1.8786146485906787E-2</v>
      </c>
      <c r="G70" s="33">
        <f>ENGIE!D68</f>
        <v>-9.98467527164075E-2</v>
      </c>
      <c r="H70" s="33">
        <f>'HERMES INTL'!D68</f>
        <v>5.7738430075184467E-3</v>
      </c>
      <c r="I70" s="33">
        <f>'PERNOD RICARD'!D68</f>
        <v>2.6140657793809779E-2</v>
      </c>
      <c r="J70" s="33">
        <f>RENAULT!D68</f>
        <v>-0.15869575138292602</v>
      </c>
      <c r="K70" s="33">
        <f>SANOFI!D68</f>
        <v>-2.6081291350750598E-2</v>
      </c>
      <c r="L70" s="33">
        <f>'SCHNEIDER ELECTRIC'!D68</f>
        <v>-6.5639275914672376E-2</v>
      </c>
      <c r="M70" s="33">
        <f>TOTALENERGIES!D68</f>
        <v>6.2504462780830676E-3</v>
      </c>
      <c r="N70" s="33">
        <f>VINCI!D68</f>
        <v>5.5461576354983971E-2</v>
      </c>
      <c r="O70" s="34"/>
      <c r="P70" s="34">
        <f t="shared" ref="P70:P101" si="2">AVERAGE(C70:N70)</f>
        <v>-4.048868116043558E-2</v>
      </c>
    </row>
    <row r="71" spans="2:16" x14ac:dyDescent="0.2">
      <c r="B71" s="16">
        <v>42429</v>
      </c>
      <c r="C71" s="33">
        <f>AIRBUS!D69</f>
        <v>3.3898284471429785E-2</v>
      </c>
      <c r="D71" s="33">
        <f>BNP!D69</f>
        <v>-1.6580919862913174E-2</v>
      </c>
      <c r="E71" s="33">
        <f>CAPGEMINI!D69</f>
        <v>-8.777361892257364E-2</v>
      </c>
      <c r="F71" s="33">
        <f>DANONE!D69</f>
        <v>1.2293019931511336E-2</v>
      </c>
      <c r="G71" s="33">
        <f>ENGIE!D69</f>
        <v>-2.7900794033104231E-2</v>
      </c>
      <c r="H71" s="33">
        <f>'HERMES INTL'!D69</f>
        <v>3.0298892379029057E-3</v>
      </c>
      <c r="I71" s="33">
        <f>'PERNOD RICARD'!D69</f>
        <v>-9.115315885174817E-2</v>
      </c>
      <c r="J71" s="33">
        <f>RENAULT!D69</f>
        <v>7.9686808587214733E-2</v>
      </c>
      <c r="K71" s="33">
        <f>SANOFI!D69</f>
        <v>-4.3893026262400978E-2</v>
      </c>
      <c r="L71" s="33">
        <f>'SCHNEIDER ELECTRIC'!D69</f>
        <v>0.11525161144215562</v>
      </c>
      <c r="M71" s="33">
        <f>TOTALENERGIES!D69</f>
        <v>1.1119573369090143E-2</v>
      </c>
      <c r="N71" s="33">
        <f>VINCI!D69</f>
        <v>2.2428845323031039E-2</v>
      </c>
      <c r="O71" s="34"/>
      <c r="P71" s="34">
        <f t="shared" si="2"/>
        <v>8.6720953579961537E-4</v>
      </c>
    </row>
    <row r="72" spans="2:16" x14ac:dyDescent="0.2">
      <c r="B72" s="16">
        <v>42460</v>
      </c>
      <c r="C72" s="33">
        <f>AIRBUS!D70</f>
        <v>-2.3921086022935679E-2</v>
      </c>
      <c r="D72" s="33">
        <f>BNP!D70</f>
        <v>2.8604617858189314E-2</v>
      </c>
      <c r="E72" s="33">
        <f>CAPGEMINI!D70</f>
        <v>7.6662381950191219E-2</v>
      </c>
      <c r="F72" s="33">
        <f>DANONE!D70</f>
        <v>-2.6778764359899648E-2</v>
      </c>
      <c r="G72" s="33">
        <f>ENGIE!D70</f>
        <v>-4.5152090181488559E-2</v>
      </c>
      <c r="H72" s="33">
        <f>'HERMES INTL'!D70</f>
        <v>-1.1426869425714763E-2</v>
      </c>
      <c r="I72" s="33">
        <f>'PERNOD RICARD'!D70</f>
        <v>-1.1213635346678506E-3</v>
      </c>
      <c r="J72" s="33">
        <f>RENAULT!D70</f>
        <v>3.7794073421832532E-2</v>
      </c>
      <c r="K72" s="33">
        <f>SANOFI!D70</f>
        <v>-3.1834755807889532E-2</v>
      </c>
      <c r="L72" s="33">
        <f>'SCHNEIDER ELECTRIC'!D70</f>
        <v>1.4058841272574483E-2</v>
      </c>
      <c r="M72" s="33">
        <f>TOTALENERGIES!D70</f>
        <v>-3.1782668935262638E-2</v>
      </c>
      <c r="N72" s="33">
        <f>VINCI!D70</f>
        <v>2.5853928376028939E-2</v>
      </c>
      <c r="O72" s="34"/>
      <c r="P72" s="34">
        <f t="shared" si="2"/>
        <v>9.1302038424648463E-4</v>
      </c>
    </row>
    <row r="73" spans="2:16" x14ac:dyDescent="0.2">
      <c r="B73" s="16">
        <v>42490</v>
      </c>
      <c r="C73" s="33">
        <f>AIRBUS!D71</f>
        <v>-6.4095914594217318E-2</v>
      </c>
      <c r="D73" s="33">
        <f>BNP!D71</f>
        <v>4.5444119396015996E-2</v>
      </c>
      <c r="E73" s="33">
        <f>CAPGEMINI!D71</f>
        <v>-1.2714968092100406E-2</v>
      </c>
      <c r="F73" s="33">
        <f>DANONE!D71</f>
        <v>-2.1436445728698031E-2</v>
      </c>
      <c r="G73" s="33">
        <f>ENGIE!D71</f>
        <v>5.5718319800011122E-2</v>
      </c>
      <c r="H73" s="33">
        <f>'HERMES INTL'!D71</f>
        <v>5.0088541815368299E-3</v>
      </c>
      <c r="I73" s="33">
        <f>'PERNOD RICARD'!D71</f>
        <v>-3.7958948749155799E-2</v>
      </c>
      <c r="J73" s="33">
        <f>RENAULT!D71</f>
        <v>-3.481439078028218E-2</v>
      </c>
      <c r="K73" s="33">
        <f>SANOFI!D71</f>
        <v>1.7640337769280711E-2</v>
      </c>
      <c r="L73" s="33">
        <f>'SCHNEIDER ELECTRIC'!D71</f>
        <v>2.3406449780024253E-2</v>
      </c>
      <c r="M73" s="33">
        <f>TOTALENERGIES!D71</f>
        <v>0.11242658306865055</v>
      </c>
      <c r="N73" s="33">
        <f>VINCI!D71</f>
        <v>-3.5130855880169151E-3</v>
      </c>
      <c r="O73" s="34"/>
      <c r="P73" s="34">
        <f t="shared" si="2"/>
        <v>7.0925758719207347E-3</v>
      </c>
    </row>
    <row r="74" spans="2:16" x14ac:dyDescent="0.2">
      <c r="B74" s="16">
        <v>42521</v>
      </c>
      <c r="C74" s="33">
        <f>AIRBUS!D72</f>
        <v>2.581946334597101E-2</v>
      </c>
      <c r="D74" s="33">
        <f>BNP!D72</f>
        <v>7.6232861739248092E-2</v>
      </c>
      <c r="E74" s="33">
        <f>CAPGEMINI!D72</f>
        <v>5.1146802263301365E-2</v>
      </c>
      <c r="F74" s="33">
        <f>DANONE!D72</f>
        <v>3.1224431845731655E-2</v>
      </c>
      <c r="G74" s="33">
        <f>ENGIE!D72</f>
        <v>-3.854145030357875E-2</v>
      </c>
      <c r="H74" s="33">
        <f>'HERMES INTL'!D72</f>
        <v>4.4855335806782373E-2</v>
      </c>
      <c r="I74" s="33">
        <f>'PERNOD RICARD'!D72</f>
        <v>3.8502326376443484E-2</v>
      </c>
      <c r="J74" s="33">
        <f>RENAULT!D72</f>
        <v>7.1195153880205554E-4</v>
      </c>
      <c r="K74" s="33">
        <f>SANOFI!D72</f>
        <v>2.1910987547159269E-2</v>
      </c>
      <c r="L74" s="33">
        <f>'SCHNEIDER ELECTRIC'!D72</f>
        <v>2.2343577027521277E-2</v>
      </c>
      <c r="M74" s="33">
        <f>TOTALENERGIES!D72</f>
        <v>-5.8047047976460941E-3</v>
      </c>
      <c r="N74" s="33">
        <f>VINCI!D72</f>
        <v>5.651219144328621E-2</v>
      </c>
      <c r="O74" s="34"/>
      <c r="P74" s="34">
        <f t="shared" si="2"/>
        <v>2.7076147819418497E-2</v>
      </c>
    </row>
    <row r="75" spans="2:16" x14ac:dyDescent="0.2">
      <c r="B75" s="16">
        <v>42551</v>
      </c>
      <c r="C75" s="33">
        <f>AIRBUS!D73</f>
        <v>-5.4061600476371693E-2</v>
      </c>
      <c r="D75" s="33">
        <f>BNP!D73</f>
        <v>-0.20114528232097789</v>
      </c>
      <c r="E75" s="33">
        <f>CAPGEMINI!D73</f>
        <v>-7.296912630088552E-2</v>
      </c>
      <c r="F75" s="33">
        <f>DANONE!D73</f>
        <v>3.2542895796211356E-2</v>
      </c>
      <c r="G75" s="33">
        <f>ENGIE!D73</f>
        <v>8.74016986371942E-2</v>
      </c>
      <c r="H75" s="33">
        <f>'HERMES INTL'!D73</f>
        <v>3.6928475527579142E-2</v>
      </c>
      <c r="I75" s="33">
        <f>'PERNOD RICARD'!D73</f>
        <v>2.2367392952735519E-2</v>
      </c>
      <c r="J75" s="33">
        <f>RENAULT!D73</f>
        <v>-0.1641111854360677</v>
      </c>
      <c r="K75" s="33">
        <f>SANOFI!D73</f>
        <v>6.0185473474150833E-2</v>
      </c>
      <c r="L75" s="33">
        <f>'SCHNEIDER ELECTRIC'!D73</f>
        <v>-5.238911902105256E-2</v>
      </c>
      <c r="M75" s="33">
        <f>TOTALENERGIES!D73</f>
        <v>-6.7543775064641811E-3</v>
      </c>
      <c r="N75" s="33">
        <f>VINCI!D73</f>
        <v>-5.7700855387634378E-2</v>
      </c>
      <c r="O75" s="34"/>
      <c r="P75" s="34">
        <f t="shared" si="2"/>
        <v>-3.0808800838465242E-2</v>
      </c>
    </row>
    <row r="76" spans="2:16" x14ac:dyDescent="0.2">
      <c r="B76" s="16">
        <v>42582</v>
      </c>
      <c r="C76" s="33">
        <f>AIRBUS!D74</f>
        <v>1.7398007156362659E-2</v>
      </c>
      <c r="D76" s="33">
        <f>BNP!D74</f>
        <v>0.17107466262083063</v>
      </c>
      <c r="E76" s="33">
        <f>CAPGEMINI!D74</f>
        <v>9.9104751366038121E-2</v>
      </c>
      <c r="F76" s="33">
        <f>DANONE!D74</f>
        <v>8.6263944948661547E-2</v>
      </c>
      <c r="G76" s="33">
        <f>ENGIE!D74</f>
        <v>1.4817691953514431E-2</v>
      </c>
      <c r="H76" s="33">
        <f>'HERMES INTL'!D74</f>
        <v>0.14856543964216035</v>
      </c>
      <c r="I76" s="33">
        <f>'PERNOD RICARD'!D74</f>
        <v>2.0979169676659623E-2</v>
      </c>
      <c r="J76" s="33">
        <f>RENAULT!D74</f>
        <v>0.14333709518770391</v>
      </c>
      <c r="K76" s="33">
        <f>SANOFI!D74</f>
        <v>1.6417669234179609E-2</v>
      </c>
      <c r="L76" s="33">
        <f>'SCHNEIDER ELECTRIC'!D74</f>
        <v>0.10290234901340597</v>
      </c>
      <c r="M76" s="33">
        <f>TOTALENERGIES!D74</f>
        <v>1.3196973886013568E-4</v>
      </c>
      <c r="N76" s="33">
        <f>VINCI!D74</f>
        <v>6.5944340176442226E-2</v>
      </c>
      <c r="O76" s="34"/>
      <c r="P76" s="34">
        <f t="shared" si="2"/>
        <v>7.3911424226234937E-2</v>
      </c>
    </row>
    <row r="77" spans="2:16" x14ac:dyDescent="0.2">
      <c r="B77" s="16">
        <v>42613</v>
      </c>
      <c r="C77" s="33">
        <f>AIRBUS!D75</f>
        <v>-6.4601698131129415E-3</v>
      </c>
      <c r="D77" s="33">
        <f>BNP!D75</f>
        <v>2.8181633925933904E-2</v>
      </c>
      <c r="E77" s="33">
        <f>CAPGEMINI!D75</f>
        <v>1.6172236311945622E-2</v>
      </c>
      <c r="F77" s="33">
        <f>DANONE!D75</f>
        <v>-1.117885244569399E-2</v>
      </c>
      <c r="G77" s="33">
        <f>ENGIE!D75</f>
        <v>-2.9541716747892823E-2</v>
      </c>
      <c r="H77" s="33">
        <f>'HERMES INTL'!D75</f>
        <v>-1.6112199378896328E-2</v>
      </c>
      <c r="I77" s="33">
        <f>'PERNOD RICARD'!D75</f>
        <v>1.6022714636316833E-2</v>
      </c>
      <c r="J77" s="33">
        <f>RENAULT!D75</f>
        <v>-6.3131052808085508E-2</v>
      </c>
      <c r="K77" s="33">
        <f>SANOFI!D75</f>
        <v>-9.2974404502589106E-2</v>
      </c>
      <c r="L77" s="33">
        <f>'SCHNEIDER ELECTRIC'!D75</f>
        <v>4.3916611185046757E-2</v>
      </c>
      <c r="M77" s="33">
        <f>TOTALENERGIES!D75</f>
        <v>-2.3381704508497917E-4</v>
      </c>
      <c r="N77" s="33">
        <f>VINCI!D75</f>
        <v>1.472917284780752E-3</v>
      </c>
      <c r="O77" s="34"/>
      <c r="P77" s="34">
        <f t="shared" si="2"/>
        <v>-9.4888416164443171E-3</v>
      </c>
    </row>
    <row r="78" spans="2:16" x14ac:dyDescent="0.2">
      <c r="B78" s="16">
        <v>42643</v>
      </c>
      <c r="C78" s="33">
        <f>AIRBUS!D76</f>
        <v>2.9642260994793189E-2</v>
      </c>
      <c r="D78" s="33">
        <f>BNP!D76</f>
        <v>3.6180088177784407E-3</v>
      </c>
      <c r="E78" s="33">
        <f>CAPGEMINI!D76</f>
        <v>-1.8319625408614061E-3</v>
      </c>
      <c r="F78" s="33">
        <f>DANONE!D76</f>
        <v>-3.0245093591061024E-2</v>
      </c>
      <c r="G78" s="33">
        <f>ENGIE!D76</f>
        <v>-3.4989634632504686E-2</v>
      </c>
      <c r="H78" s="33">
        <f>'HERMES INTL'!D76</f>
        <v>-4.318554770437643E-2</v>
      </c>
      <c r="I78" s="33">
        <f>'PERNOD RICARD'!D76</f>
        <v>2.3809432298841842E-2</v>
      </c>
      <c r="J78" s="33">
        <f>RENAULT!D76</f>
        <v>-2.3188183172915149E-3</v>
      </c>
      <c r="K78" s="33">
        <f>SANOFI!D76</f>
        <v>-2.0703729449658044E-2</v>
      </c>
      <c r="L78" s="33">
        <f>'SCHNEIDER ELECTRIC'!D76</f>
        <v>1.587817409288703E-2</v>
      </c>
      <c r="M78" s="33">
        <f>TOTALENERGIES!D76</f>
        <v>-1.3567113256193468E-2</v>
      </c>
      <c r="N78" s="33">
        <f>VINCI!D76</f>
        <v>1.9122397952767429E-3</v>
      </c>
      <c r="O78" s="34"/>
      <c r="P78" s="34">
        <f t="shared" si="2"/>
        <v>-5.9984819576974447E-3</v>
      </c>
    </row>
    <row r="79" spans="2:16" x14ac:dyDescent="0.2">
      <c r="B79" s="16">
        <v>42674</v>
      </c>
      <c r="C79" s="33">
        <f>AIRBUS!D77</f>
        <v>5.7579698719614778E-3</v>
      </c>
      <c r="D79" s="33">
        <f>BNP!D77</f>
        <v>0.15446801755415634</v>
      </c>
      <c r="E79" s="33">
        <f>CAPGEMINI!D77</f>
        <v>-0.13420520240468803</v>
      </c>
      <c r="F79" s="33">
        <f>DANONE!D77</f>
        <v>-4.4966012873881495E-2</v>
      </c>
      <c r="G79" s="33">
        <f>ENGIE!D77</f>
        <v>-4.749805829900159E-2</v>
      </c>
      <c r="H79" s="33">
        <f>'HERMES INTL'!D77</f>
        <v>1.8909736313401853E-2</v>
      </c>
      <c r="I79" s="33">
        <f>'PERNOD RICARD'!D77</f>
        <v>2.8476649885393373E-2</v>
      </c>
      <c r="J79" s="33">
        <f>RENAULT!D77</f>
        <v>8.1624425820437524E-2</v>
      </c>
      <c r="K79" s="33">
        <f>SANOFI!D77</f>
        <v>4.9083460177070805E-2</v>
      </c>
      <c r="L79" s="33">
        <f>'SCHNEIDER ELECTRIC'!D77</f>
        <v>-1.4824403732674834E-2</v>
      </c>
      <c r="M79" s="33">
        <f>TOTALENERGIES!D77</f>
        <v>5.2135904710409617E-2</v>
      </c>
      <c r="N79" s="33">
        <f>VINCI!D77</f>
        <v>-3.1415202398545714E-2</v>
      </c>
      <c r="O79" s="34"/>
      <c r="P79" s="34">
        <f t="shared" si="2"/>
        <v>9.795607052003278E-3</v>
      </c>
    </row>
    <row r="80" spans="2:16" x14ac:dyDescent="0.2">
      <c r="B80" s="16">
        <v>42704</v>
      </c>
      <c r="C80" s="33">
        <f>AIRBUS!D78</f>
        <v>0.11301927899967207</v>
      </c>
      <c r="D80" s="33">
        <f>BNP!D78</f>
        <v>3.6714498083734726E-2</v>
      </c>
      <c r="E80" s="33">
        <f>CAPGEMINI!D78</f>
        <v>-1.298342648472425E-2</v>
      </c>
      <c r="F80" s="33">
        <f>DANONE!D78</f>
        <v>-5.8972721680965366E-2</v>
      </c>
      <c r="G80" s="33">
        <f>ENGIE!D78</f>
        <v>-7.8288381526532849E-2</v>
      </c>
      <c r="H80" s="33">
        <f>'HERMES INTL'!D78</f>
        <v>5.4998511563500697E-2</v>
      </c>
      <c r="I80" s="33">
        <f>'PERNOD RICARD'!D78</f>
        <v>-8.6294474035066043E-2</v>
      </c>
      <c r="J80" s="33">
        <f>RENAULT!D78</f>
        <v>-6.0295874859610354E-2</v>
      </c>
      <c r="K80" s="33">
        <f>SANOFI!D78</f>
        <v>7.2576275258201872E-2</v>
      </c>
      <c r="L80" s="33">
        <f>'SCHNEIDER ELECTRIC'!D78</f>
        <v>2.7477897571577502E-2</v>
      </c>
      <c r="M80" s="33">
        <f>TOTALENERGIES!D78</f>
        <v>2.824771033512646E-2</v>
      </c>
      <c r="N80" s="33">
        <f>VINCI!D78</f>
        <v>-7.1991558507653444E-2</v>
      </c>
      <c r="O80" s="34"/>
      <c r="P80" s="34">
        <f t="shared" si="2"/>
        <v>-2.9826887735615822E-3</v>
      </c>
    </row>
    <row r="81" spans="2:16" x14ac:dyDescent="0.2">
      <c r="B81" s="16">
        <v>42735</v>
      </c>
      <c r="C81" s="33">
        <f>AIRBUS!D79</f>
        <v>4.2641425515320609E-2</v>
      </c>
      <c r="D81" s="33">
        <f>BNP!D79</f>
        <v>0.10533037683487602</v>
      </c>
      <c r="E81" s="33">
        <f>CAPGEMINI!D79</f>
        <v>7.5839106450425228E-2</v>
      </c>
      <c r="F81" s="33">
        <f>DANONE!D79</f>
        <v>1.4150868922511347E-2</v>
      </c>
      <c r="G81" s="33">
        <f>ENGIE!D79</f>
        <v>4.0343302268106604E-2</v>
      </c>
      <c r="H81" s="33">
        <f>'HERMES INTL'!D79</f>
        <v>1.5407737657804812E-3</v>
      </c>
      <c r="I81" s="33">
        <f>'PERNOD RICARD'!D79</f>
        <v>5.0308569434947943E-2</v>
      </c>
      <c r="J81" s="33">
        <f>RENAULT!D79</f>
        <v>0.13680386633187128</v>
      </c>
      <c r="K81" s="33">
        <f>SANOFI!D79</f>
        <v>1.0379694999040958E-2</v>
      </c>
      <c r="L81" s="33">
        <f>'SCHNEIDER ELECTRIC'!D79</f>
        <v>5.2371831064025119E-2</v>
      </c>
      <c r="M81" s="33">
        <f>TOTALENERGIES!D79</f>
        <v>8.3750361473520649E-2</v>
      </c>
      <c r="N81" s="33">
        <f>VINCI!D79</f>
        <v>6.7229980445114843E-2</v>
      </c>
      <c r="O81" s="34"/>
      <c r="P81" s="34">
        <f t="shared" si="2"/>
        <v>5.6724179792128432E-2</v>
      </c>
    </row>
    <row r="82" spans="2:16" x14ac:dyDescent="0.2">
      <c r="B82" s="16">
        <v>42766</v>
      </c>
      <c r="C82" s="33">
        <f>AIRBUS!D80</f>
        <v>-1.2731822537734236E-3</v>
      </c>
      <c r="D82" s="33">
        <f>BNP!D80</f>
        <v>-2.2625850894369214E-2</v>
      </c>
      <c r="E82" s="33">
        <f>CAPGEMINI!D80</f>
        <v>-5.9638270654684439E-2</v>
      </c>
      <c r="F82" s="33">
        <f>DANONE!D80</f>
        <v>-3.6710901179853976E-2</v>
      </c>
      <c r="G82" s="33">
        <f>ENGIE!D80</f>
        <v>-8.7046132404831417E-2</v>
      </c>
      <c r="H82" s="33">
        <f>'HERMES INTL'!D80</f>
        <v>3.1923289668315175E-2</v>
      </c>
      <c r="I82" s="33">
        <f>'PERNOD RICARD'!D80</f>
        <v>5.2452733033476986E-2</v>
      </c>
      <c r="J82" s="33">
        <f>RENAULT!D80</f>
        <v>-1.3371082935972336E-2</v>
      </c>
      <c r="K82" s="33">
        <f>SANOFI!D80</f>
        <v>-3.1339503900648255E-2</v>
      </c>
      <c r="L82" s="33">
        <f>'SCHNEIDER ELECTRIC'!D80</f>
        <v>1.6640631595062549E-3</v>
      </c>
      <c r="M82" s="33">
        <f>TOTALENERGIES!D80</f>
        <v>-3.0024405490349418E-2</v>
      </c>
      <c r="N82" s="33">
        <f>VINCI!D80</f>
        <v>3.0911248503135689E-3</v>
      </c>
      <c r="O82" s="34"/>
      <c r="P82" s="34">
        <f t="shared" si="2"/>
        <v>-1.6074843250239206E-2</v>
      </c>
    </row>
    <row r="83" spans="2:16" x14ac:dyDescent="0.2">
      <c r="B83" s="16">
        <v>42794</v>
      </c>
      <c r="C83" s="33">
        <f>AIRBUS!D81</f>
        <v>0.10452535377761543</v>
      </c>
      <c r="D83" s="33">
        <f>BNP!D81</f>
        <v>-6.8435344756097208E-2</v>
      </c>
      <c r="E83" s="33">
        <f>CAPGEMINI!D81</f>
        <v>7.0584996821046936E-2</v>
      </c>
      <c r="F83" s="33">
        <f>DANONE!D81</f>
        <v>7.8806780111139549E-2</v>
      </c>
      <c r="G83" s="33">
        <f>ENGIE!D81</f>
        <v>4.2928354506207328E-2</v>
      </c>
      <c r="H83" s="33">
        <f>'HERMES INTL'!D81</f>
        <v>2.3481086212367615E-2</v>
      </c>
      <c r="I83" s="33">
        <f>'PERNOD RICARD'!D81</f>
        <v>-4.1532853831416699E-3</v>
      </c>
      <c r="J83" s="33">
        <f>RENAULT!D81</f>
        <v>3.957757176073007E-3</v>
      </c>
      <c r="K83" s="33">
        <f>SANOFI!D81</f>
        <v>9.1824396285102305E-2</v>
      </c>
      <c r="L83" s="33">
        <f>'SCHNEIDER ELECTRIC'!D81</f>
        <v>-3.5185777951111108E-2</v>
      </c>
      <c r="M83" s="33">
        <f>TOTALENERGIES!D81</f>
        <v>8.3582431276389389E-3</v>
      </c>
      <c r="N83" s="33">
        <f>VINCI!D81</f>
        <v>4.7919918559128832E-2</v>
      </c>
      <c r="O83" s="34"/>
      <c r="P83" s="34">
        <f t="shared" si="2"/>
        <v>3.0384373207164167E-2</v>
      </c>
    </row>
    <row r="84" spans="2:16" x14ac:dyDescent="0.2">
      <c r="B84" s="16">
        <v>42825</v>
      </c>
      <c r="C84" s="33">
        <f>AIRBUS!D82</f>
        <v>2.899606210882278E-2</v>
      </c>
      <c r="D84" s="33">
        <f>BNP!D82</f>
        <v>0.1324143335206989</v>
      </c>
      <c r="E84" s="33">
        <f>CAPGEMINI!D82</f>
        <v>7.2747645928696841E-2</v>
      </c>
      <c r="F84" s="33">
        <f>DANONE!D82</f>
        <v>1.9181460173005552E-2</v>
      </c>
      <c r="G84" s="33">
        <f>ENGIE!D82</f>
        <v>0.15077961058357692</v>
      </c>
      <c r="H84" s="33">
        <f>'HERMES INTL'!D82</f>
        <v>8.215188470795412E-2</v>
      </c>
      <c r="I84" s="33">
        <f>'PERNOD RICARD'!D82</f>
        <v>2.7803557734886533E-2</v>
      </c>
      <c r="J84" s="33">
        <f>RENAULT!D82</f>
        <v>-2.723692963112578E-2</v>
      </c>
      <c r="K84" s="33">
        <f>SANOFI!D82</f>
        <v>4.0452426625267754E-2</v>
      </c>
      <c r="L84" s="33">
        <f>'SCHNEIDER ELECTRIC'!D82</f>
        <v>7.4189950806157506E-2</v>
      </c>
      <c r="M84" s="33">
        <f>TOTALENERGIES!D82</f>
        <v>7.7577024255819473E-3</v>
      </c>
      <c r="N84" s="33">
        <f>VINCI!D82</f>
        <v>9.2486501970788018E-2</v>
      </c>
      <c r="O84" s="34"/>
      <c r="P84" s="34">
        <f t="shared" si="2"/>
        <v>5.8477017246192586E-2</v>
      </c>
    </row>
    <row r="85" spans="2:16" x14ac:dyDescent="0.2">
      <c r="B85" s="16">
        <v>42855</v>
      </c>
      <c r="C85" s="33">
        <f>AIRBUS!D83</f>
        <v>4.0656052605081532E-2</v>
      </c>
      <c r="D85" s="33">
        <f>BNP!D83</f>
        <v>3.7642217516704157E-2</v>
      </c>
      <c r="E85" s="33">
        <f>CAPGEMINI!D83</f>
        <v>6.1691345361735053E-2</v>
      </c>
      <c r="F85" s="33">
        <f>DANONE!D83</f>
        <v>6.5871676640986403E-3</v>
      </c>
      <c r="G85" s="33">
        <f>ENGIE!D83</f>
        <v>-2.4849362107841694E-2</v>
      </c>
      <c r="H85" s="33">
        <f>'HERMES INTL'!D83</f>
        <v>-1.1033564732662654E-2</v>
      </c>
      <c r="I85" s="33">
        <f>'PERNOD RICARD'!D83</f>
        <v>3.5617691773021674E-2</v>
      </c>
      <c r="J85" s="33">
        <f>RENAULT!D83</f>
        <v>5.1332371651754742E-2</v>
      </c>
      <c r="K85" s="33">
        <f>SANOFI!D83</f>
        <v>2.3517043529796579E-2</v>
      </c>
      <c r="L85" s="33">
        <f>'SCHNEIDER ELECTRIC'!D83</f>
        <v>5.6389379695992954E-2</v>
      </c>
      <c r="M85" s="33">
        <f>TOTALENERGIES!D83</f>
        <v>7.8140317185543713E-3</v>
      </c>
      <c r="N85" s="33">
        <f>VINCI!D83</f>
        <v>5.1143882512992664E-2</v>
      </c>
      <c r="O85" s="34"/>
      <c r="P85" s="34">
        <f t="shared" si="2"/>
        <v>2.8042354765769006E-2</v>
      </c>
    </row>
    <row r="86" spans="2:16" x14ac:dyDescent="0.2">
      <c r="B86" s="16">
        <v>42886</v>
      </c>
      <c r="C86" s="33">
        <f>AIRBUS!D84</f>
        <v>3.3627044975743483E-3</v>
      </c>
      <c r="D86" s="33">
        <f>BNP!D84</f>
        <v>-3.0256313836055274E-2</v>
      </c>
      <c r="E86" s="33">
        <f>CAPGEMINI!D84</f>
        <v>2.8292498803946268E-3</v>
      </c>
      <c r="F86" s="33">
        <f>DANONE!D84</f>
        <v>2.9604404236771773E-2</v>
      </c>
      <c r="G86" s="33">
        <f>ENGIE!D84</f>
        <v>4.9034560557259937E-2</v>
      </c>
      <c r="H86" s="33">
        <f>'HERMES INTL'!D84</f>
        <v>1.7076210784853366E-3</v>
      </c>
      <c r="I86" s="33">
        <f>'PERNOD RICARD'!D84</f>
        <v>5.2677469312436373E-2</v>
      </c>
      <c r="J86" s="33">
        <f>RENAULT!D84</f>
        <v>-2.9435692735500989E-2</v>
      </c>
      <c r="K86" s="33">
        <f>SANOFI!D84</f>
        <v>1.8011738274647918E-2</v>
      </c>
      <c r="L86" s="33">
        <f>'SCHNEIDER ELECTRIC'!D84</f>
        <v>-5.4344788700612996E-2</v>
      </c>
      <c r="M86" s="33">
        <f>TOTALENERGIES!D84</f>
        <v>2.1195347285924383E-3</v>
      </c>
      <c r="N86" s="33">
        <f>VINCI!D84</f>
        <v>1.4255626841152518E-2</v>
      </c>
      <c r="O86" s="34"/>
      <c r="P86" s="34">
        <f t="shared" si="2"/>
        <v>4.9638428445954999E-3</v>
      </c>
    </row>
    <row r="87" spans="2:16" x14ac:dyDescent="0.2">
      <c r="B87" s="16">
        <v>42916</v>
      </c>
      <c r="C87" s="33">
        <f>AIRBUS!D85</f>
        <v>-1.4643660932513857E-2</v>
      </c>
      <c r="D87" s="33">
        <f>BNP!D85</f>
        <v>4.6401954321845441E-2</v>
      </c>
      <c r="E87" s="33">
        <f>CAPGEMINI!D85</f>
        <v>-1.715474689511072E-3</v>
      </c>
      <c r="F87" s="33">
        <f>DANONE!D85</f>
        <v>2.2450719862630118E-2</v>
      </c>
      <c r="G87" s="33">
        <f>ENGIE!D85</f>
        <v>9.0071573017109947E-3</v>
      </c>
      <c r="H87" s="33">
        <f>'HERMES INTL'!D85</f>
        <v>-1.659274578661497E-2</v>
      </c>
      <c r="I87" s="33">
        <f>'PERNOD RICARD'!D85</f>
        <v>-3.0190335893811569E-2</v>
      </c>
      <c r="J87" s="33">
        <f>RENAULT!D85</f>
        <v>-4.6215122795777455E-2</v>
      </c>
      <c r="K87" s="33">
        <f>SANOFI!D85</f>
        <v>-1.8600235169573133E-2</v>
      </c>
      <c r="L87" s="33">
        <f>'SCHNEIDER ELECTRIC'!D85</f>
        <v>8.8079907721665823E-3</v>
      </c>
      <c r="M87" s="33">
        <f>TOTALENERGIES!D85</f>
        <v>-8.4302580885981901E-2</v>
      </c>
      <c r="N87" s="33">
        <f>VINCI!D85</f>
        <v>-3.8595102268642503E-2</v>
      </c>
      <c r="O87" s="34"/>
      <c r="P87" s="34">
        <f t="shared" si="2"/>
        <v>-1.3682286347006111E-2</v>
      </c>
    </row>
    <row r="88" spans="2:16" x14ac:dyDescent="0.2">
      <c r="B88" s="16">
        <v>42947</v>
      </c>
      <c r="C88" s="33">
        <f>AIRBUS!D86</f>
        <v>-1.9444308036236348E-2</v>
      </c>
      <c r="D88" s="33">
        <f>BNP!D86</f>
        <v>3.980342188869658E-2</v>
      </c>
      <c r="E88" s="33">
        <f>CAPGEMINI!D86</f>
        <v>1.679929317239346E-2</v>
      </c>
      <c r="F88" s="33">
        <f>DANONE!D86</f>
        <v>-4.1331000638609054E-2</v>
      </c>
      <c r="G88" s="33">
        <f>ENGIE!D86</f>
        <v>2.951196231656876E-2</v>
      </c>
      <c r="H88" s="33">
        <f>'HERMES INTL'!D86</f>
        <v>-5.7407751476230631E-3</v>
      </c>
      <c r="I88" s="33">
        <f>'PERNOD RICARD'!D86</f>
        <v>0</v>
      </c>
      <c r="J88" s="33">
        <f>RENAULT!D86</f>
        <v>-6.4729053080307762E-4</v>
      </c>
      <c r="K88" s="33">
        <f>SANOFI!D86</f>
        <v>-3.6294139367433219E-2</v>
      </c>
      <c r="L88" s="33">
        <f>'SCHNEIDER ELECTRIC'!D86</f>
        <v>-1.3676205629205391E-2</v>
      </c>
      <c r="M88" s="33">
        <f>TOTALENERGIES!D86</f>
        <v>5.8162564882513748E-3</v>
      </c>
      <c r="N88" s="33">
        <f>VINCI!D86</f>
        <v>1.351497131795344E-2</v>
      </c>
      <c r="O88" s="34"/>
      <c r="P88" s="34">
        <f t="shared" si="2"/>
        <v>-9.7398451383721139E-4</v>
      </c>
    </row>
    <row r="89" spans="2:16" x14ac:dyDescent="0.2">
      <c r="B89" s="16">
        <v>42978</v>
      </c>
      <c r="C89" s="33">
        <f>AIRBUS!D87</f>
        <v>1.4165695110208393E-4</v>
      </c>
      <c r="D89" s="33">
        <f>BNP!D87</f>
        <v>-2.5316341202777457E-2</v>
      </c>
      <c r="E89" s="33">
        <f>CAPGEMINI!D87</f>
        <v>1.2282498119923404E-2</v>
      </c>
      <c r="F89" s="33">
        <f>DANONE!D87</f>
        <v>4.8502178627937619E-2</v>
      </c>
      <c r="G89" s="33">
        <f>ENGIE!D87</f>
        <v>3.0503647317323641E-2</v>
      </c>
      <c r="H89" s="33">
        <f>'HERMES INTL'!D87</f>
        <v>3.80842946401376E-2</v>
      </c>
      <c r="I89" s="33">
        <f>'PERNOD RICARD'!D87</f>
        <v>-1.3026450316143318E-2</v>
      </c>
      <c r="J89" s="33">
        <f>RENAULT!D87</f>
        <v>-2.3765914858762793E-2</v>
      </c>
      <c r="K89" s="33">
        <f>SANOFI!D87</f>
        <v>1.1645059054025216E-2</v>
      </c>
      <c r="L89" s="33">
        <f>'SCHNEIDER ELECTRIC'!D87</f>
        <v>2.0798791208646316E-2</v>
      </c>
      <c r="M89" s="33">
        <f>TOTALENERGIES!D87</f>
        <v>1.128968549562526E-2</v>
      </c>
      <c r="N89" s="33">
        <f>VINCI!D87</f>
        <v>2.1257202936507708E-2</v>
      </c>
      <c r="O89" s="34"/>
      <c r="P89" s="34">
        <f t="shared" si="2"/>
        <v>1.1033025664462107E-2</v>
      </c>
    </row>
    <row r="90" spans="2:16" x14ac:dyDescent="0.2">
      <c r="B90" s="16">
        <v>43008</v>
      </c>
      <c r="C90" s="33">
        <f>AIRBUS!D88</f>
        <v>0.13879049847778976</v>
      </c>
      <c r="D90" s="33">
        <f>BNP!D88</f>
        <v>6.7907923735945799E-2</v>
      </c>
      <c r="E90" s="33">
        <f>CAPGEMINI!D88</f>
        <v>6.4748177200099982E-2</v>
      </c>
      <c r="F90" s="33">
        <f>DANONE!D88</f>
        <v>3.3258245859336746E-3</v>
      </c>
      <c r="G90" s="33">
        <f>ENGIE!D88</f>
        <v>2.4964287016382578E-2</v>
      </c>
      <c r="H90" s="33">
        <f>'HERMES INTL'!D88</f>
        <v>-3.995078088082487E-2</v>
      </c>
      <c r="I90" s="33">
        <f>'PERNOD RICARD'!D88</f>
        <v>1.9599298574316231E-2</v>
      </c>
      <c r="J90" s="33">
        <f>RENAULT!D88</f>
        <v>0.11782110571775815</v>
      </c>
      <c r="K90" s="33">
        <f>SANOFI!D88</f>
        <v>2.877795068551078E-2</v>
      </c>
      <c r="L90" s="33">
        <f>'SCHNEIDER ELECTRIC'!D88</f>
        <v>8.7110571608683032E-2</v>
      </c>
      <c r="M90" s="33">
        <f>TOTALENERGIES!D88</f>
        <v>4.6035137333551406E-2</v>
      </c>
      <c r="N90" s="33">
        <f>VINCI!D88</f>
        <v>3.9431077238364899E-2</v>
      </c>
      <c r="O90" s="34"/>
      <c r="P90" s="34">
        <f t="shared" si="2"/>
        <v>4.9880089274459284E-2</v>
      </c>
    </row>
    <row r="91" spans="2:16" x14ac:dyDescent="0.2">
      <c r="B91" s="16">
        <v>43039</v>
      </c>
      <c r="C91" s="33">
        <f>AIRBUS!D89</f>
        <v>9.1282025082051257E-2</v>
      </c>
      <c r="D91" s="33">
        <f>BNP!D89</f>
        <v>-1.7728909009029632E-2</v>
      </c>
      <c r="E91" s="33">
        <f>CAPGEMINI!D89</f>
        <v>5.2339597950656395E-2</v>
      </c>
      <c r="F91" s="33">
        <f>DANONE!D89</f>
        <v>5.6802596644248658E-2</v>
      </c>
      <c r="G91" s="33">
        <f>ENGIE!D89</f>
        <v>9.7424779330438412E-3</v>
      </c>
      <c r="H91" s="33">
        <f>'HERMES INTL'!D89</f>
        <v>4.4543579074664733E-2</v>
      </c>
      <c r="I91" s="33">
        <f>'PERNOD RICARD'!D89</f>
        <v>9.9957260395293068E-2</v>
      </c>
      <c r="J91" s="33">
        <f>RENAULT!D89</f>
        <v>2.44253914701348E-2</v>
      </c>
      <c r="K91" s="33">
        <f>SANOFI!D89</f>
        <v>-3.2376991617781736E-2</v>
      </c>
      <c r="L91" s="33">
        <f>'SCHNEIDER ELECTRIC'!D89</f>
        <v>2.4718400677795346E-2</v>
      </c>
      <c r="M91" s="33">
        <f>TOTALENERGIES!D89</f>
        <v>6.7773201890034176E-2</v>
      </c>
      <c r="N91" s="33">
        <f>VINCI!D89</f>
        <v>4.5398202406238902E-2</v>
      </c>
      <c r="O91" s="34"/>
      <c r="P91" s="34">
        <f t="shared" si="2"/>
        <v>3.8906402741445821E-2</v>
      </c>
    </row>
    <row r="92" spans="2:16" x14ac:dyDescent="0.2">
      <c r="B92" s="16">
        <v>43069</v>
      </c>
      <c r="C92" s="33">
        <f>AIRBUS!D90</f>
        <v>-5.2421046087777062E-3</v>
      </c>
      <c r="D92" s="33">
        <f>BNP!D90</f>
        <v>-5.1611075055696093E-2</v>
      </c>
      <c r="E92" s="33">
        <f>CAPGEMINI!D90</f>
        <v>-7.1586047045802598E-2</v>
      </c>
      <c r="F92" s="33">
        <f>DANONE!D90</f>
        <v>1.1120707085418033E-2</v>
      </c>
      <c r="G92" s="33">
        <f>ENGIE!D90</f>
        <v>3.8675851296981062E-2</v>
      </c>
      <c r="H92" s="33">
        <f>'HERMES INTL'!D90</f>
        <v>-6.060034705607527E-3</v>
      </c>
      <c r="I92" s="33">
        <f>'PERNOD RICARD'!D90</f>
        <v>1.7864209651505373E-2</v>
      </c>
      <c r="J92" s="33">
        <f>RENAULT!D90</f>
        <v>2.8188744646373718E-3</v>
      </c>
      <c r="K92" s="33">
        <f>SANOFI!D90</f>
        <v>-5.7694861171402323E-2</v>
      </c>
      <c r="L92" s="33">
        <f>'SCHNEIDER ELECTRIC'!D90</f>
        <v>-4.2942341896959522E-2</v>
      </c>
      <c r="M92" s="33">
        <f>TOTALENERGIES!D90</f>
        <v>-9.7137301604820134E-3</v>
      </c>
      <c r="N92" s="33">
        <f>VINCI!D90</f>
        <v>2.1296645730961638E-2</v>
      </c>
      <c r="O92" s="34"/>
      <c r="P92" s="34">
        <f t="shared" si="2"/>
        <v>-1.2756158867935361E-2</v>
      </c>
    </row>
    <row r="93" spans="2:16" x14ac:dyDescent="0.2">
      <c r="B93" s="16">
        <v>43100</v>
      </c>
      <c r="C93" s="33">
        <f>AIRBUS!D91</f>
        <v>-4.9146526089121782E-2</v>
      </c>
      <c r="D93" s="33">
        <f>BNP!D91</f>
        <v>-2.0918558255646424E-2</v>
      </c>
      <c r="E93" s="33">
        <f>CAPGEMINI!D91</f>
        <v>2.0747580816386068E-2</v>
      </c>
      <c r="F93" s="33">
        <f>DANONE!D91</f>
        <v>-1.3677566123937689E-2</v>
      </c>
      <c r="G93" s="33">
        <f>ENGIE!D91</f>
        <v>-2.5161381825636143E-2</v>
      </c>
      <c r="H93" s="33">
        <f>'HERMES INTL'!D91</f>
        <v>7.6776900469476238E-3</v>
      </c>
      <c r="I93" s="33">
        <f>'PERNOD RICARD'!D91</f>
        <v>1.5425046977930108E-2</v>
      </c>
      <c r="J93" s="33">
        <f>RENAULT!D91</f>
        <v>-1.7217073327544484E-2</v>
      </c>
      <c r="K93" s="33">
        <f>SANOFI!D91</f>
        <v>-6.2010485546096956E-2</v>
      </c>
      <c r="L93" s="33">
        <f>'SCHNEIDER ELECTRIC'!D91</f>
        <v>-1.8695671605887743E-2</v>
      </c>
      <c r="M93" s="33">
        <f>TOTALENERGIES!D91</f>
        <v>-2.8689285094423051E-2</v>
      </c>
      <c r="N93" s="33">
        <f>VINCI!D91</f>
        <v>1.3209554400311066E-5</v>
      </c>
      <c r="O93" s="34"/>
      <c r="P93" s="34">
        <f t="shared" si="2"/>
        <v>-1.5971085039385848E-2</v>
      </c>
    </row>
    <row r="94" spans="2:16" x14ac:dyDescent="0.2">
      <c r="B94" s="16">
        <v>43131</v>
      </c>
      <c r="C94" s="33">
        <f>AIRBUS!D92</f>
        <v>0.11445801340279964</v>
      </c>
      <c r="D94" s="33">
        <f>BNP!D92</f>
        <v>6.9879502215017708E-2</v>
      </c>
      <c r="E94" s="33">
        <f>CAPGEMINI!D92</f>
        <v>8.1504514039212092E-2</v>
      </c>
      <c r="F94" s="33">
        <f>DANONE!D92</f>
        <v>-7.0049015970054824E-3</v>
      </c>
      <c r="G94" s="33">
        <f>ENGIE!D92</f>
        <v>-2.4764682241273366E-2</v>
      </c>
      <c r="H94" s="33">
        <f>'HERMES INTL'!D92</f>
        <v>-2.3529955519554298E-3</v>
      </c>
      <c r="I94" s="33">
        <f>'PERNOD RICARD'!D92</f>
        <v>-2.7661897919556089E-2</v>
      </c>
      <c r="J94" s="33">
        <f>RENAULT!D92</f>
        <v>5.5535637366868472E-2</v>
      </c>
      <c r="K94" s="33">
        <f>SANOFI!D92</f>
        <v>-1.0159917778556458E-2</v>
      </c>
      <c r="L94" s="33">
        <f>'SCHNEIDER ELECTRIC'!D92</f>
        <v>6.5199050973992811E-2</v>
      </c>
      <c r="M94" s="33">
        <f>TOTALENERGIES!D92</f>
        <v>2.6250110714838334E-2</v>
      </c>
      <c r="N94" s="33">
        <f>VINCI!D92</f>
        <v>2.1726417288251039E-2</v>
      </c>
      <c r="O94" s="34"/>
      <c r="P94" s="34">
        <f t="shared" si="2"/>
        <v>3.0217404242719442E-2</v>
      </c>
    </row>
    <row r="95" spans="2:16" x14ac:dyDescent="0.2">
      <c r="B95" s="16">
        <v>43159</v>
      </c>
      <c r="C95" s="33">
        <f>AIRBUS!D93</f>
        <v>6.313495280227209E-2</v>
      </c>
      <c r="D95" s="33">
        <f>BNP!D93</f>
        <v>-1.8468343621779484E-2</v>
      </c>
      <c r="E95" s="33">
        <f>CAPGEMINI!D93</f>
        <v>-3.7400613706769816E-2</v>
      </c>
      <c r="F95" s="33">
        <f>DANONE!D93</f>
        <v>-5.3411973213772175E-2</v>
      </c>
      <c r="G95" s="33">
        <f>ENGIE!D93</f>
        <v>-7.9041487519791634E-2</v>
      </c>
      <c r="H95" s="33">
        <f>'HERMES INTL'!D93</f>
        <v>-6.9631243190031609E-3</v>
      </c>
      <c r="I95" s="33">
        <f>'PERNOD RICARD'!D93</f>
        <v>5.2221349455144603E-2</v>
      </c>
      <c r="J95" s="33">
        <f>RENAULT!D93</f>
        <v>1.0274491121752969E-2</v>
      </c>
      <c r="K95" s="33">
        <f>SANOFI!D93</f>
        <v>-8.5629970226759763E-2</v>
      </c>
      <c r="L95" s="33">
        <f>'SCHNEIDER ELECTRIC'!D93</f>
        <v>-5.1669300520450309E-2</v>
      </c>
      <c r="M95" s="33">
        <f>TOTALENERGIES!D93</f>
        <v>7.1835126267002095E-3</v>
      </c>
      <c r="N95" s="33">
        <f>VINCI!D93</f>
        <v>-6.5287230791126999E-2</v>
      </c>
      <c r="O95" s="34"/>
      <c r="P95" s="34">
        <f t="shared" si="2"/>
        <v>-2.2088144826131959E-2</v>
      </c>
    </row>
    <row r="96" spans="2:16" x14ac:dyDescent="0.2">
      <c r="B96" s="16">
        <v>43190</v>
      </c>
      <c r="C96" s="33">
        <f>AIRBUS!D94</f>
        <v>-4.6166357563511118E-2</v>
      </c>
      <c r="D96" s="33">
        <f>BNP!D94</f>
        <v>-7.9547246543271E-2</v>
      </c>
      <c r="E96" s="33">
        <f>CAPGEMINI!D94</f>
        <v>-1.6998581920545531E-2</v>
      </c>
      <c r="F96" s="33">
        <f>DANONE!D94</f>
        <v>-3.0409838618440747E-4</v>
      </c>
      <c r="G96" s="33">
        <f>ENGIE!D94</f>
        <v>5.281558512303753E-2</v>
      </c>
      <c r="H96" s="33">
        <f>'HERMES INTL'!D94</f>
        <v>9.2832185076541673E-2</v>
      </c>
      <c r="I96" s="33">
        <f>'PERNOD RICARD'!D94</f>
        <v>1.8518313463973346E-3</v>
      </c>
      <c r="J96" s="33">
        <f>RENAULT!D94</f>
        <v>0.10080476048491509</v>
      </c>
      <c r="K96" s="33">
        <f>SANOFI!D94</f>
        <v>4.6132267965668132E-3</v>
      </c>
      <c r="L96" s="33">
        <f>'SCHNEIDER ELECTRIC'!D94</f>
        <v>-3.3529610393788077E-3</v>
      </c>
      <c r="M96" s="33">
        <f>TOTALENERGIES!D94</f>
        <v>-1.7883642212033021E-2</v>
      </c>
      <c r="N96" s="33">
        <f>VINCI!D94</f>
        <v>-1.7461918907427657E-2</v>
      </c>
      <c r="O96" s="34"/>
      <c r="P96" s="34">
        <f t="shared" si="2"/>
        <v>5.9335651879255727E-3</v>
      </c>
    </row>
    <row r="97" spans="2:16" x14ac:dyDescent="0.2">
      <c r="B97" s="16">
        <v>43220</v>
      </c>
      <c r="C97" s="33">
        <f>AIRBUS!D95</f>
        <v>3.837961951639253E-2</v>
      </c>
      <c r="D97" s="33">
        <f>BNP!D95</f>
        <v>6.3320642540848279E-2</v>
      </c>
      <c r="E97" s="33">
        <f>CAPGEMINI!D95</f>
        <v>0.12648231624463338</v>
      </c>
      <c r="F97" s="33">
        <f>DANONE!D95</f>
        <v>2.0690535842162308E-2</v>
      </c>
      <c r="G97" s="33">
        <f>ENGIE!D95</f>
        <v>7.3404752136630141E-2</v>
      </c>
      <c r="H97" s="33">
        <f>'HERMES INTL'!D95</f>
        <v>0.11277245293239264</v>
      </c>
      <c r="I97" s="33">
        <f>'PERNOD RICARD'!D95</f>
        <v>1.7005696366169637E-2</v>
      </c>
      <c r="J97" s="33">
        <f>RENAULT!D95</f>
        <v>-8.7918890198320832E-2</v>
      </c>
      <c r="K97" s="33">
        <f>SANOFI!D95</f>
        <v>7.0412341687884515E-3</v>
      </c>
      <c r="L97" s="33">
        <f>'SCHNEIDER ELECTRIC'!D95</f>
        <v>5.522851329785583E-2</v>
      </c>
      <c r="M97" s="33">
        <f>TOTALENERGIES!D95</f>
        <v>0.14931631563687547</v>
      </c>
      <c r="N97" s="33">
        <f>VINCI!D95</f>
        <v>4.0050060955449635E-2</v>
      </c>
      <c r="O97" s="34"/>
      <c r="P97" s="34">
        <f t="shared" si="2"/>
        <v>5.131443745332312E-2</v>
      </c>
    </row>
    <row r="98" spans="2:16" x14ac:dyDescent="0.2">
      <c r="B98" s="16">
        <v>43251</v>
      </c>
      <c r="C98" s="33">
        <f>AIRBUS!D96</f>
        <v>1.5727245973093638E-2</v>
      </c>
      <c r="D98" s="33">
        <f>BNP!D96</f>
        <v>-0.1706783869582667</v>
      </c>
      <c r="E98" s="33">
        <f>CAPGEMINI!D96</f>
        <v>-1.1842151438096221E-2</v>
      </c>
      <c r="F98" s="33">
        <f>DANONE!D96</f>
        <v>-2.5339004822895524E-2</v>
      </c>
      <c r="G98" s="33">
        <f>ENGIE!D96</f>
        <v>-6.975960038269971E-2</v>
      </c>
      <c r="H98" s="33">
        <f>'HERMES INTL'!D96</f>
        <v>0.13624491940405678</v>
      </c>
      <c r="I98" s="33">
        <f>'PERNOD RICARD'!D96</f>
        <v>4.471098007683505E-2</v>
      </c>
      <c r="J98" s="33">
        <f>RENAULT!D96</f>
        <v>-8.0253916624588209E-2</v>
      </c>
      <c r="K98" s="33">
        <f>SANOFI!D96</f>
        <v>-2.4319867237915381E-3</v>
      </c>
      <c r="L98" s="33">
        <f>'SCHNEIDER ELECTRIC'!D96</f>
        <v>-1.9925548969175994E-2</v>
      </c>
      <c r="M98" s="33">
        <f>TOTALENERGIES!D96</f>
        <v>-5.3507028099723866E-3</v>
      </c>
      <c r="N98" s="33">
        <f>VINCI!D96</f>
        <v>2.8860221089853536E-2</v>
      </c>
      <c r="O98" s="34"/>
      <c r="P98" s="34">
        <f t="shared" si="2"/>
        <v>-1.3336494348803947E-2</v>
      </c>
    </row>
    <row r="99" spans="2:16" x14ac:dyDescent="0.2">
      <c r="B99" s="16">
        <v>43281</v>
      </c>
      <c r="C99" s="33">
        <f>AIRBUS!D97</f>
        <v>3.0315482138324301E-2</v>
      </c>
      <c r="D99" s="33">
        <f>BNP!D97</f>
        <v>5.8306109726402225E-2</v>
      </c>
      <c r="E99" s="33">
        <f>CAPGEMINI!D97</f>
        <v>2.2636574009419749E-2</v>
      </c>
      <c r="F99" s="33">
        <f>DANONE!D97</f>
        <v>-1.0381778791954789E-2</v>
      </c>
      <c r="G99" s="33">
        <f>ENGIE!D97</f>
        <v>-6.0959058069695584E-3</v>
      </c>
      <c r="H99" s="33">
        <f>'HERMES INTL'!D97</f>
        <v>-0.13961905078358353</v>
      </c>
      <c r="I99" s="33">
        <f>'PERNOD RICARD'!D97</f>
        <v>-2.6444195733255731E-2</v>
      </c>
      <c r="J99" s="33">
        <f>RENAULT!D97</f>
        <v>-0.11860092062654565</v>
      </c>
      <c r="K99" s="33">
        <f>SANOFI!D97</f>
        <v>9.6531770482926535E-2</v>
      </c>
      <c r="L99" s="33">
        <f>'SCHNEIDER ELECTRIC'!D97</f>
        <v>-2.8460074650523016E-3</v>
      </c>
      <c r="M99" s="33">
        <f>TOTALENERGIES!D97</f>
        <v>3.0741412790265222E-3</v>
      </c>
      <c r="N99" s="33">
        <f>VINCI!D97</f>
        <v>-1.6244934529120868E-2</v>
      </c>
      <c r="O99" s="34"/>
      <c r="P99" s="34">
        <f t="shared" si="2"/>
        <v>-9.1140596750319252E-3</v>
      </c>
    </row>
    <row r="100" spans="2:16" x14ac:dyDescent="0.2">
      <c r="B100" s="16">
        <v>43312</v>
      </c>
      <c r="C100" s="33">
        <f>AIRBUS!D98</f>
        <v>5.7251048152019576E-2</v>
      </c>
      <c r="D100" s="33">
        <f>BNP!D98</f>
        <v>4.6625380902118867E-2</v>
      </c>
      <c r="E100" s="33">
        <f>CAPGEMINI!D98</f>
        <v>-3.2592762068359274E-2</v>
      </c>
      <c r="F100" s="33">
        <f>DANONE!D98</f>
        <v>6.9031332146774316E-2</v>
      </c>
      <c r="G100" s="33">
        <f>ENGIE!D98</f>
        <v>5.2170768080746222E-2</v>
      </c>
      <c r="H100" s="33">
        <f>'HERMES INTL'!D98</f>
        <v>4.7333179145413525E-2</v>
      </c>
      <c r="I100" s="33">
        <f>'PERNOD RICARD'!D98</f>
        <v>-1.3938571588612112E-2</v>
      </c>
      <c r="J100" s="33">
        <f>RENAULT!D98</f>
        <v>8.1271884261257518E-2</v>
      </c>
      <c r="K100" s="33">
        <f>SANOFI!D98</f>
        <v>8.3321249137583847E-2</v>
      </c>
      <c r="L100" s="33">
        <f>'SCHNEIDER ELECTRIC'!D98</f>
        <v>-3.6124345189257355E-2</v>
      </c>
      <c r="M100" s="33">
        <f>TOTALENERGIES!D98</f>
        <v>8.2549798958159171E-2</v>
      </c>
      <c r="N100" s="33">
        <f>VINCI!D98</f>
        <v>4.4196429671166576E-2</v>
      </c>
      <c r="O100" s="34"/>
      <c r="P100" s="34">
        <f t="shared" si="2"/>
        <v>4.0091282634084235E-2</v>
      </c>
    </row>
    <row r="101" spans="2:16" x14ac:dyDescent="0.2">
      <c r="B101" s="16">
        <v>43343</v>
      </c>
      <c r="C101" s="33">
        <f>AIRBUS!D99</f>
        <v>2.4528523118089608E-3</v>
      </c>
      <c r="D101" s="33">
        <f>BNP!D99</f>
        <v>-9.0892833382453353E-2</v>
      </c>
      <c r="E101" s="33">
        <f>CAPGEMINI!D99</f>
        <v>6.3751115145945971E-3</v>
      </c>
      <c r="F101" s="33">
        <f>DANONE!D99</f>
        <v>9.076003109122566E-3</v>
      </c>
      <c r="G101" s="33">
        <f>ENGIE!D99</f>
        <v>-8.5776407490830667E-2</v>
      </c>
      <c r="H101" s="33">
        <f>'HERMES INTL'!D99</f>
        <v>3.4343034241332629E-2</v>
      </c>
      <c r="I101" s="33">
        <f>'PERNOD RICARD'!D99</f>
        <v>-6.8933254054332005E-3</v>
      </c>
      <c r="J101" s="33">
        <f>RENAULT!D99</f>
        <v>-1.4477374419200554E-2</v>
      </c>
      <c r="K101" s="33">
        <f>SANOFI!D99</f>
        <v>-5.1096035179456377E-3</v>
      </c>
      <c r="L101" s="33">
        <f>'SCHNEIDER ELECTRIC'!D99</f>
        <v>2.0336846736021076E-2</v>
      </c>
      <c r="M101" s="33">
        <f>TOTALENERGIES!D99</f>
        <v>-3.5624615921110082E-2</v>
      </c>
      <c r="N101" s="33">
        <f>VINCI!D99</f>
        <v>-3.9999999999999765E-2</v>
      </c>
      <c r="O101" s="34"/>
      <c r="P101" s="34">
        <f t="shared" si="2"/>
        <v>-1.7182526018674454E-2</v>
      </c>
    </row>
    <row r="102" spans="2:16" x14ac:dyDescent="0.2">
      <c r="B102" s="16">
        <v>43373</v>
      </c>
      <c r="C102" s="33">
        <f>AIRBUS!D100</f>
        <v>1.8068900350297051E-2</v>
      </c>
      <c r="D102" s="33">
        <f>BNP!D100</f>
        <v>4.1493761213844051E-2</v>
      </c>
      <c r="E102" s="33">
        <f>CAPGEMINI!D100</f>
        <v>-1.900456933415557E-2</v>
      </c>
      <c r="F102" s="33">
        <f>DANONE!D100</f>
        <v>-1.651439597580372E-2</v>
      </c>
      <c r="G102" s="33">
        <f>ENGIE!D100</f>
        <v>2.7712849332172428E-3</v>
      </c>
      <c r="H102" s="33">
        <f>'HERMES INTL'!D100</f>
        <v>1.8564767616969059E-2</v>
      </c>
      <c r="I102" s="33">
        <f>'PERNOD RICARD'!D100</f>
        <v>3.8970673240444231E-2</v>
      </c>
      <c r="J102" s="33">
        <f>RENAULT!D100</f>
        <v>4.0432484799410029E-3</v>
      </c>
      <c r="K102" s="33">
        <f>SANOFI!D100</f>
        <v>3.4734451113073196E-2</v>
      </c>
      <c r="L102" s="33">
        <f>'SCHNEIDER ELECTRIC'!D100</f>
        <v>-1.3382561374653046E-2</v>
      </c>
      <c r="M102" s="33">
        <f>TOTALENERGIES!D100</f>
        <v>3.6569502964997946E-2</v>
      </c>
      <c r="N102" s="33">
        <f>VINCI!D100</f>
        <v>-6.5408970185833245E-3</v>
      </c>
      <c r="O102" s="34"/>
      <c r="P102" s="34">
        <f t="shared" ref="P102:P133" si="3">AVERAGE(C102:N102)</f>
        <v>1.1647847184132344E-2</v>
      </c>
    </row>
    <row r="103" spans="2:16" x14ac:dyDescent="0.2">
      <c r="B103" s="16">
        <v>43404</v>
      </c>
      <c r="C103" s="33">
        <f>AIRBUS!D101</f>
        <v>-9.678310206634691E-2</v>
      </c>
      <c r="D103" s="33">
        <f>BNP!D101</f>
        <v>-0.12483395116136911</v>
      </c>
      <c r="E103" s="33">
        <f>CAPGEMINI!D101</f>
        <v>-3.690049470000937E-3</v>
      </c>
      <c r="F103" s="33">
        <f>DANONE!D101</f>
        <v>-6.1768975269467313E-2</v>
      </c>
      <c r="G103" s="33">
        <f>ENGIE!D101</f>
        <v>-7.0272551671223552E-2</v>
      </c>
      <c r="H103" s="33">
        <f>'HERMES INTL'!D101</f>
        <v>-0.11496683225137772</v>
      </c>
      <c r="I103" s="33">
        <f>'PERNOD RICARD'!D101</f>
        <v>-4.6001451222642348E-2</v>
      </c>
      <c r="J103" s="33">
        <f>RENAULT!D101</f>
        <v>-0.11315445705559313</v>
      </c>
      <c r="K103" s="33">
        <f>SANOFI!D101</f>
        <v>2.9780265443867027E-2</v>
      </c>
      <c r="L103" s="33">
        <f>'SCHNEIDER ELECTRIC'!D101</f>
        <v>-7.7056273985201373E-2</v>
      </c>
      <c r="M103" s="33">
        <f>TOTALENERGIES!D101</f>
        <v>-5.863491366259245E-2</v>
      </c>
      <c r="N103" s="33">
        <f>VINCI!D101</f>
        <v>-3.8283274451269757E-2</v>
      </c>
      <c r="O103" s="34"/>
      <c r="P103" s="34">
        <f t="shared" si="3"/>
        <v>-6.4638797235268136E-2</v>
      </c>
    </row>
    <row r="104" spans="2:16" x14ac:dyDescent="0.2">
      <c r="B104" s="16">
        <v>43434</v>
      </c>
      <c r="C104" s="33">
        <f>AIRBUS!D102</f>
        <v>-3.162422916926564E-2</v>
      </c>
      <c r="D104" s="33">
        <f>BNP!D102</f>
        <v>-3.804468358787174E-2</v>
      </c>
      <c r="E104" s="33">
        <f>CAPGEMINI!D102</f>
        <v>-4.5833181930545482E-2</v>
      </c>
      <c r="F104" s="33">
        <f>DANONE!D102</f>
        <v>5.5608746452706664E-2</v>
      </c>
      <c r="G104" s="33">
        <f>ENGIE!D102</f>
        <v>8.6149136588083194E-2</v>
      </c>
      <c r="H104" s="33">
        <f>'HERMES INTL'!D102</f>
        <v>-5.4059246503190522E-2</v>
      </c>
      <c r="I104" s="33">
        <f>'PERNOD RICARD'!D102</f>
        <v>4.7477731580315825E-2</v>
      </c>
      <c r="J104" s="33">
        <f>RENAULT!D102</f>
        <v>-6.0844563931964982E-2</v>
      </c>
      <c r="K104" s="33">
        <f>SANOFI!D102</f>
        <v>1.2303604649667125E-2</v>
      </c>
      <c r="L104" s="33">
        <f>'SCHNEIDER ELECTRIC'!D102</f>
        <v>5.003197923925333E-3</v>
      </c>
      <c r="M104" s="33">
        <f>TOTALENERGIES!D102</f>
        <v>-5.3791176525551196E-2</v>
      </c>
      <c r="N104" s="33">
        <f>VINCI!D102</f>
        <v>-2.2565942159410688E-2</v>
      </c>
      <c r="O104" s="34"/>
      <c r="P104" s="34">
        <f t="shared" si="3"/>
        <v>-8.351717217758509E-3</v>
      </c>
    </row>
    <row r="105" spans="2:16" x14ac:dyDescent="0.2">
      <c r="B105" s="16">
        <v>43465</v>
      </c>
      <c r="C105" s="33">
        <f>AIRBUS!D103</f>
        <v>-0.11266122007350593</v>
      </c>
      <c r="D105" s="33">
        <f>BNP!D103</f>
        <v>-0.11042264715843422</v>
      </c>
      <c r="E105" s="33">
        <f>CAPGEMINI!D103</f>
        <v>-0.15769044525299172</v>
      </c>
      <c r="F105" s="33">
        <f>DANONE!D103</f>
        <v>-6.8876702192612257E-2</v>
      </c>
      <c r="G105" s="33">
        <f>ENGIE!D103</f>
        <v>8.4541676659141314E-3</v>
      </c>
      <c r="H105" s="33">
        <f>'HERMES INTL'!D103</f>
        <v>1.4862581438098583E-2</v>
      </c>
      <c r="I105" s="33">
        <f>'PERNOD RICARD'!D103</f>
        <v>2.4630746097882801E-2</v>
      </c>
      <c r="J105" s="33">
        <f>RENAULT!D103</f>
        <v>-0.12087023160456214</v>
      </c>
      <c r="K105" s="33">
        <f>SANOFI!D103</f>
        <v>-5.1998409808389143E-2</v>
      </c>
      <c r="L105" s="33">
        <f>'SCHNEIDER ELECTRIC'!D103</f>
        <v>-7.0939666942628557E-2</v>
      </c>
      <c r="M105" s="33">
        <f>TOTALENERGIES!D103</f>
        <v>-6.0714232278999955E-2</v>
      </c>
      <c r="N105" s="33">
        <f>VINCI!D103</f>
        <v>-5.6859189660262349E-2</v>
      </c>
      <c r="O105" s="34"/>
      <c r="P105" s="34">
        <f t="shared" si="3"/>
        <v>-6.3590437480874229E-2</v>
      </c>
    </row>
    <row r="106" spans="2:16" x14ac:dyDescent="0.2">
      <c r="B106" s="16">
        <v>43496</v>
      </c>
      <c r="C106" s="33">
        <f>AIRBUS!D104</f>
        <v>0.19366375293611035</v>
      </c>
      <c r="D106" s="33">
        <f>BNP!D104</f>
        <v>3.7745601360445788E-2</v>
      </c>
      <c r="E106" s="33">
        <f>CAPGEMINI!D104</f>
        <v>0.11152078483235742</v>
      </c>
      <c r="F106" s="33">
        <f>DANONE!D104</f>
        <v>3.2352409352148899E-2</v>
      </c>
      <c r="G106" s="33">
        <f>ENGIE!D104</f>
        <v>0.11656667455813395</v>
      </c>
      <c r="H106" s="33">
        <f>'HERMES INTL'!D104</f>
        <v>8.1683365178252268E-2</v>
      </c>
      <c r="I106" s="33">
        <f>'PERNOD RICARD'!D104</f>
        <v>1.1863272089140767E-2</v>
      </c>
      <c r="J106" s="33">
        <f>RENAULT!D104</f>
        <v>0.13382227267467461</v>
      </c>
      <c r="K106" s="33">
        <f>SANOFI!D104</f>
        <v>2.1146256696327513E-3</v>
      </c>
      <c r="L106" s="33">
        <f>'SCHNEIDER ELECTRIC'!D104</f>
        <v>3.9517709747698096E-2</v>
      </c>
      <c r="M106" s="33">
        <f>TOTALENERGIES!D104</f>
        <v>5.283826690474424E-2</v>
      </c>
      <c r="N106" s="33">
        <f>VINCI!D104</f>
        <v>6.748138094867849E-2</v>
      </c>
      <c r="O106" s="34"/>
      <c r="P106" s="34">
        <f t="shared" si="3"/>
        <v>7.343084302100146E-2</v>
      </c>
    </row>
    <row r="107" spans="2:16" x14ac:dyDescent="0.2">
      <c r="B107" s="16">
        <v>43524</v>
      </c>
      <c r="C107" s="33">
        <f>AIRBUS!D105</f>
        <v>0.13350621611277785</v>
      </c>
      <c r="D107" s="33">
        <f>BNP!D105</f>
        <v>9.984118385921173E-2</v>
      </c>
      <c r="E107" s="33">
        <f>CAPGEMINI!D105</f>
        <v>9.0381379190463018E-2</v>
      </c>
      <c r="F107" s="33">
        <f>DANONE!D105</f>
        <v>4.4566859046251614E-2</v>
      </c>
      <c r="G107" s="33">
        <f>ENGIE!D105</f>
        <v>-5.2556167964764165E-2</v>
      </c>
      <c r="H107" s="33">
        <f>'HERMES INTL'!D105</f>
        <v>6.1784694054432376E-2</v>
      </c>
      <c r="I107" s="33">
        <f>'PERNOD RICARD'!D105</f>
        <v>4.4138016382190892E-2</v>
      </c>
      <c r="J107" s="33">
        <f>RENAULT!D105</f>
        <v>-2.619246384102359E-2</v>
      </c>
      <c r="K107" s="33">
        <f>SANOFI!D105</f>
        <v>-3.0598628877335585E-2</v>
      </c>
      <c r="L107" s="33">
        <f>'SCHNEIDER ELECTRIC'!D105</f>
        <v>0.102126297218261</v>
      </c>
      <c r="M107" s="33">
        <f>TOTALENERGIES!D105</f>
        <v>4.1892344470679611E-2</v>
      </c>
      <c r="N107" s="33">
        <f>VINCI!D105</f>
        <v>9.1571215418371155E-2</v>
      </c>
      <c r="O107" s="34"/>
      <c r="P107" s="34">
        <f t="shared" si="3"/>
        <v>5.0038412089126329E-2</v>
      </c>
    </row>
    <row r="108" spans="2:16" x14ac:dyDescent="0.2">
      <c r="B108" s="16">
        <v>43555</v>
      </c>
      <c r="C108" s="33">
        <f>AIRBUS!D106</f>
        <v>3.7852184603828207E-2</v>
      </c>
      <c r="D108" s="33">
        <f>BNP!D106</f>
        <v>-5.4266883604973046E-2</v>
      </c>
      <c r="E108" s="33">
        <f>CAPGEMINI!D106</f>
        <v>2.7566446269510526E-2</v>
      </c>
      <c r="F108" s="33">
        <f>DANONE!D106</f>
        <v>3.5579877919829681E-2</v>
      </c>
      <c r="G108" s="33">
        <f>ENGIE!D106</f>
        <v>2.2640714321025589E-3</v>
      </c>
      <c r="H108" s="33">
        <f>'HERMES INTL'!D106</f>
        <v>5.930727305670723E-2</v>
      </c>
      <c r="I108" s="33">
        <f>'PERNOD RICARD'!D106</f>
        <v>5.6803162069649457E-2</v>
      </c>
      <c r="J108" s="33">
        <f>RENAULT!D106</f>
        <v>-2.1915979504560042E-2</v>
      </c>
      <c r="K108" s="33">
        <f>SANOFI!D106</f>
        <v>7.129231465835742E-2</v>
      </c>
      <c r="L108" s="33">
        <f>'SCHNEIDER ELECTRIC'!D106</f>
        <v>2.2215714690898961E-2</v>
      </c>
      <c r="M108" s="33">
        <f>TOTALENERGIES!D106</f>
        <v>-9.4018686638002655E-3</v>
      </c>
      <c r="N108" s="33">
        <f>VINCI!D106</f>
        <v>3.3365168432989534E-2</v>
      </c>
      <c r="O108" s="34"/>
      <c r="P108" s="34">
        <f t="shared" si="3"/>
        <v>2.1721790113378353E-2</v>
      </c>
    </row>
    <row r="109" spans="2:16" x14ac:dyDescent="0.2">
      <c r="B109" s="16">
        <v>43585</v>
      </c>
      <c r="C109" s="33">
        <f>AIRBUS!D107</f>
        <v>3.3757404626097838E-2</v>
      </c>
      <c r="D109" s="33">
        <f>BNP!D107</f>
        <v>0.11358819416255575</v>
      </c>
      <c r="E109" s="33">
        <f>CAPGEMINI!D107</f>
        <v>0</v>
      </c>
      <c r="F109" s="33">
        <f>DANONE!D107</f>
        <v>4.9352032156664123E-2</v>
      </c>
      <c r="G109" s="33">
        <f>ENGIE!D107</f>
        <v>-5.6476156532637468E-3</v>
      </c>
      <c r="H109" s="33">
        <f>'HERMES INTL'!D107</f>
        <v>6.6304173067211328E-2</v>
      </c>
      <c r="I109" s="33">
        <f>'PERNOD RICARD'!D107</f>
        <v>-2.9062640789073679E-2</v>
      </c>
      <c r="J109" s="33">
        <f>RENAULT!D107</f>
        <v>3.242232696258078E-2</v>
      </c>
      <c r="K109" s="33">
        <f>SANOFI!D107</f>
        <v>-1.5874975082725475E-2</v>
      </c>
      <c r="L109" s="33">
        <f>'SCHNEIDER ELECTRIC'!D107</f>
        <v>7.8924698187145176E-2</v>
      </c>
      <c r="M109" s="33">
        <f>TOTALENERGIES!D107</f>
        <v>1.2907135143960644E-2</v>
      </c>
      <c r="N109" s="33">
        <f>VINCI!D107</f>
        <v>3.8053306407182845E-2</v>
      </c>
      <c r="O109" s="34"/>
      <c r="P109" s="34">
        <f t="shared" si="3"/>
        <v>3.1227003265694633E-2</v>
      </c>
    </row>
    <row r="110" spans="2:16" x14ac:dyDescent="0.2">
      <c r="B110" s="16">
        <v>43616</v>
      </c>
      <c r="C110" s="33">
        <f>AIRBUS!D108</f>
        <v>-4.4301662139482584E-2</v>
      </c>
      <c r="D110" s="33">
        <f>BNP!D108</f>
        <v>-0.13856684958268861</v>
      </c>
      <c r="E110" s="33">
        <f>CAPGEMINI!D108</f>
        <v>-7.4005560483784982E-2</v>
      </c>
      <c r="F110" s="33">
        <f>DANONE!D108</f>
        <v>-9.4337803015110064E-3</v>
      </c>
      <c r="G110" s="33">
        <f>ENGIE!D108</f>
        <v>-5.7175330483087636E-2</v>
      </c>
      <c r="H110" s="33">
        <f>'HERMES INTL'!D108</f>
        <v>-5.1658393869286549E-2</v>
      </c>
      <c r="I110" s="33">
        <f>'PERNOD RICARD'!D108</f>
        <v>1.5771013593985986E-2</v>
      </c>
      <c r="J110" s="33">
        <f>RENAULT!D108</f>
        <v>-0.11344955264690919</v>
      </c>
      <c r="K110" s="33">
        <f>SANOFI!D108</f>
        <v>-6.7750626215119999E-2</v>
      </c>
      <c r="L110" s="33">
        <f>'SCHNEIDER ELECTRIC'!D108</f>
        <v>-3.2122963759512319E-2</v>
      </c>
      <c r="M110" s="33">
        <f>TOTALENERGIES!D108</f>
        <v>-5.8633782572024132E-2</v>
      </c>
      <c r="N110" s="33">
        <f>VINCI!D108</f>
        <v>4.2480172854467702E-3</v>
      </c>
      <c r="O110" s="34"/>
      <c r="P110" s="34">
        <f t="shared" si="3"/>
        <v>-5.2256622597831183E-2</v>
      </c>
    </row>
    <row r="111" spans="2:16" x14ac:dyDescent="0.2">
      <c r="B111" s="16">
        <v>43646</v>
      </c>
      <c r="C111" s="33">
        <f>AIRBUS!D109</f>
        <v>8.5495370201865317E-2</v>
      </c>
      <c r="D111" s="33">
        <f>BNP!D109</f>
        <v>9.6552604072725617E-2</v>
      </c>
      <c r="E111" s="33">
        <f>CAPGEMINI!D109</f>
        <v>9.2407506792568886E-2</v>
      </c>
      <c r="F111" s="33">
        <f>DANONE!D109</f>
        <v>7.2129673677273867E-2</v>
      </c>
      <c r="G111" s="33">
        <f>ENGIE!D109</f>
        <v>0.13424385536294758</v>
      </c>
      <c r="H111" s="33">
        <f>'HERMES INTL'!D109</f>
        <v>6.6240723630786202E-2</v>
      </c>
      <c r="I111" s="33">
        <f>'PERNOD RICARD'!D109</f>
        <v>2.6933045847585903E-2</v>
      </c>
      <c r="J111" s="33">
        <f>RENAULT!D109</f>
        <v>2.540803036693379E-2</v>
      </c>
      <c r="K111" s="33">
        <f>SANOFI!D109</f>
        <v>9.5087948422652752E-2</v>
      </c>
      <c r="L111" s="33">
        <f>'SCHNEIDER ELECTRIC'!D109</f>
        <v>0.12655392027156243</v>
      </c>
      <c r="M111" s="33">
        <f>TOTALENERGIES!D109</f>
        <v>5.6496842305153713E-2</v>
      </c>
      <c r="N111" s="33">
        <f>VINCI!D109</f>
        <v>1.8087254953534197E-2</v>
      </c>
      <c r="O111" s="34"/>
      <c r="P111" s="34">
        <f t="shared" si="3"/>
        <v>7.4636397992132536E-2</v>
      </c>
    </row>
    <row r="112" spans="2:16" x14ac:dyDescent="0.2">
      <c r="B112" s="16">
        <v>43677</v>
      </c>
      <c r="C112" s="33">
        <f>AIRBUS!D110</f>
        <v>2.7109372866504659E-2</v>
      </c>
      <c r="D112" s="33">
        <f>BNP!D110</f>
        <v>9.9366528126943535E-3</v>
      </c>
      <c r="E112" s="33">
        <f>CAPGEMINI!D110</f>
        <v>7.2599679111974527E-2</v>
      </c>
      <c r="F112" s="33">
        <f>DANONE!D110</f>
        <v>5.2348875600901866E-2</v>
      </c>
      <c r="G112" s="33">
        <f>ENGIE!D110</f>
        <v>4.3478342995176063E-2</v>
      </c>
      <c r="H112" s="33">
        <f>'HERMES INTL'!D110</f>
        <v>8.8520739358834959E-3</v>
      </c>
      <c r="I112" s="33">
        <f>'PERNOD RICARD'!D110</f>
        <v>-1.8512958146998382E-2</v>
      </c>
      <c r="J112" s="33">
        <f>RENAULT!D110</f>
        <v>-2.4265198555531553E-2</v>
      </c>
      <c r="K112" s="33">
        <f>SANOFI!D110</f>
        <v>-5.9279862179785342E-3</v>
      </c>
      <c r="L112" s="33">
        <f>'SCHNEIDER ELECTRIC'!D110</f>
        <v>-2.1063395949365942E-2</v>
      </c>
      <c r="M112" s="33">
        <f>TOTALENERGIES!D110</f>
        <v>-3.2627481101579411E-2</v>
      </c>
      <c r="N112" s="33">
        <f>VINCI!D110</f>
        <v>3.5309661175841708E-2</v>
      </c>
      <c r="O112" s="34"/>
      <c r="P112" s="34">
        <f t="shared" si="3"/>
        <v>1.2269803210626902E-2</v>
      </c>
    </row>
    <row r="113" spans="2:16" x14ac:dyDescent="0.2">
      <c r="B113" s="16">
        <v>43708</v>
      </c>
      <c r="C113" s="33">
        <f>AIRBUS!D111</f>
        <v>-2.1240051655959567E-2</v>
      </c>
      <c r="D113" s="33">
        <f>BNP!D111</f>
        <v>-2.7145651200726421E-2</v>
      </c>
      <c r="E113" s="33">
        <f>CAPGEMINI!D111</f>
        <v>-5.2928413055467478E-2</v>
      </c>
      <c r="F113" s="33">
        <f>DANONE!D111</f>
        <v>3.9030613095059799E-2</v>
      </c>
      <c r="G113" s="33">
        <f>ENGIE!D111</f>
        <v>-6.8246998562111411E-3</v>
      </c>
      <c r="H113" s="33">
        <f>'HERMES INTL'!D111</f>
        <v>-2.4505327168634967E-2</v>
      </c>
      <c r="I113" s="33">
        <f>'PERNOD RICARD'!D111</f>
        <v>0.10014734904942967</v>
      </c>
      <c r="J113" s="33">
        <f>RENAULT!D111</f>
        <v>3.2053907688412722E-2</v>
      </c>
      <c r="K113" s="33">
        <f>SANOFI!D111</f>
        <v>3.5250481477749528E-2</v>
      </c>
      <c r="L113" s="33">
        <f>'SCHNEIDER ELECTRIC'!D111</f>
        <v>-2.4589982006329558E-2</v>
      </c>
      <c r="M113" s="33">
        <f>TOTALENERGIES!D111</f>
        <v>-3.4973988435308849E-2</v>
      </c>
      <c r="N113" s="33">
        <f>VINCI!D111</f>
        <v>6.7138835744288375E-2</v>
      </c>
      <c r="O113" s="34"/>
      <c r="P113" s="34">
        <f t="shared" si="3"/>
        <v>6.7844228063585086E-3</v>
      </c>
    </row>
    <row r="114" spans="2:16" x14ac:dyDescent="0.2">
      <c r="B114" s="16">
        <v>43738</v>
      </c>
      <c r="C114" s="33">
        <f>AIRBUS!D112</f>
        <v>-4.8986745961510175E-2</v>
      </c>
      <c r="D114" s="33">
        <f>BNP!D112</f>
        <v>8.8582911581809101E-2</v>
      </c>
      <c r="E114" s="33">
        <f>CAPGEMINI!D112</f>
        <v>-9.6198088994713712E-3</v>
      </c>
      <c r="F114" s="33">
        <f>DANONE!D112</f>
        <v>-7.8565218237992267E-3</v>
      </c>
      <c r="G114" s="33">
        <f>ENGIE!D112</f>
        <v>8.3544226124455209E-2</v>
      </c>
      <c r="H114" s="33">
        <f>'HERMES INTL'!D112</f>
        <v>2.0934017237598305E-2</v>
      </c>
      <c r="I114" s="33">
        <f>'PERNOD RICARD'!D112</f>
        <v>-5.9297613975242684E-2</v>
      </c>
      <c r="J114" s="33">
        <f>RENAULT!D112</f>
        <v>9.5858499176856172E-3</v>
      </c>
      <c r="K114" s="33">
        <f>SANOFI!D112</f>
        <v>8.8837549539842228E-2</v>
      </c>
      <c r="L114" s="33">
        <f>'SCHNEIDER ELECTRIC'!D112</f>
        <v>5.6984991069323601E-2</v>
      </c>
      <c r="M114" s="33">
        <f>TOTALENERGIES!D112</f>
        <v>5.4967542093338269E-2</v>
      </c>
      <c r="N114" s="33">
        <f>VINCI!D112</f>
        <v>-6.8343663411198239E-3</v>
      </c>
      <c r="O114" s="34"/>
      <c r="P114" s="34">
        <f t="shared" si="3"/>
        <v>2.2570169213575752E-2</v>
      </c>
    </row>
    <row r="115" spans="2:16" x14ac:dyDescent="0.2">
      <c r="B115" s="16">
        <v>43769</v>
      </c>
      <c r="C115" s="33">
        <f>AIRBUS!D113</f>
        <v>7.7348995771126819E-2</v>
      </c>
      <c r="D115" s="33">
        <f>BNP!D113</f>
        <v>4.790690838836785E-2</v>
      </c>
      <c r="E115" s="33">
        <f>CAPGEMINI!D113</f>
        <v>-6.6142634056145441E-2</v>
      </c>
      <c r="F115" s="33">
        <f>DANONE!D113</f>
        <v>-7.9930736320595566E-2</v>
      </c>
      <c r="G115" s="33">
        <f>ENGIE!D113</f>
        <v>1.0014070722641026E-3</v>
      </c>
      <c r="H115" s="33">
        <f>'HERMES INTL'!D113</f>
        <v>1.7350058175995622E-2</v>
      </c>
      <c r="I115" s="33">
        <f>'PERNOD RICARD'!D113</f>
        <v>1.2851859367130073E-2</v>
      </c>
      <c r="J115" s="33">
        <f>RENAULT!D113</f>
        <v>-0.13102924813471734</v>
      </c>
      <c r="K115" s="33">
        <f>SANOFI!D113</f>
        <v>-2.868566647046961E-2</v>
      </c>
      <c r="L115" s="33">
        <f>'SCHNEIDER ELECTRIC'!D113</f>
        <v>3.4285914803606078E-2</v>
      </c>
      <c r="M115" s="33">
        <f>TOTALENERGIES!D113</f>
        <v>-1.7569677648912622E-3</v>
      </c>
      <c r="N115" s="33">
        <f>VINCI!D113</f>
        <v>1.8012512284316027E-2</v>
      </c>
      <c r="O115" s="34"/>
      <c r="P115" s="34">
        <f t="shared" si="3"/>
        <v>-8.2322997403343878E-3</v>
      </c>
    </row>
    <row r="116" spans="2:16" x14ac:dyDescent="0.2">
      <c r="B116" s="16">
        <v>43799</v>
      </c>
      <c r="C116" s="33">
        <f>AIRBUS!D114</f>
        <v>3.8779030021636102E-2</v>
      </c>
      <c r="D116" s="33">
        <f>BNP!D114</f>
        <v>8.8870004930809418E-2</v>
      </c>
      <c r="E116" s="33">
        <f>CAPGEMINI!D114</f>
        <v>6.3397844062563047E-2</v>
      </c>
      <c r="F116" s="33">
        <f>DANONE!D114</f>
        <v>4.8413713629867437E-3</v>
      </c>
      <c r="G116" s="33">
        <f>ENGIE!D114</f>
        <v>-4.2347501913573643E-2</v>
      </c>
      <c r="H116" s="33">
        <f>'HERMES INTL'!D114</f>
        <v>5.426341300784987E-2</v>
      </c>
      <c r="I116" s="33">
        <f>'PERNOD RICARD'!D114</f>
        <v>7.2508887558084762E-3</v>
      </c>
      <c r="J116" s="33">
        <f>RENAULT!D114</f>
        <v>-5.0371545356685497E-2</v>
      </c>
      <c r="K116" s="33">
        <f>SANOFI!D114</f>
        <v>2.2875857789250095E-2</v>
      </c>
      <c r="L116" s="33">
        <f>'SCHNEIDER ELECTRIC'!D114</f>
        <v>5.212580654326323E-2</v>
      </c>
      <c r="M116" s="33">
        <f>TOTALENERGIES!D114</f>
        <v>1.0713939785197394E-2</v>
      </c>
      <c r="N116" s="33">
        <f>VINCI!D114</f>
        <v>-1.6103085809720294E-2</v>
      </c>
      <c r="O116" s="34"/>
      <c r="P116" s="34">
        <f t="shared" si="3"/>
        <v>1.9524668598282075E-2</v>
      </c>
    </row>
    <row r="117" spans="2:16" x14ac:dyDescent="0.2">
      <c r="B117" s="16">
        <v>43830</v>
      </c>
      <c r="C117" s="33">
        <f>AIRBUS!D115</f>
        <v>-2.1889037834855702E-2</v>
      </c>
      <c r="D117" s="33">
        <f>BNP!D115</f>
        <v>3.6492007847629584E-2</v>
      </c>
      <c r="E117" s="33">
        <f>CAPGEMINI!D115</f>
        <v>1.4438767525655536E-2</v>
      </c>
      <c r="F117" s="33">
        <f>DANONE!D115</f>
        <v>-1.097435352426925E-2</v>
      </c>
      <c r="G117" s="33">
        <f>ENGIE!D115</f>
        <v>2.7854229952352272E-3</v>
      </c>
      <c r="H117" s="33">
        <f>'HERMES INTL'!D115</f>
        <v>-2.0293965110995193E-2</v>
      </c>
      <c r="I117" s="33">
        <f>'PERNOD RICARD'!D115</f>
        <v>-3.2518369390510303E-2</v>
      </c>
      <c r="J117" s="33">
        <f>RENAULT!D115</f>
        <v>-2.9340776049666888E-2</v>
      </c>
      <c r="K117" s="33">
        <f>SANOFI!D115</f>
        <v>6.0466390027673754E-2</v>
      </c>
      <c r="L117" s="33">
        <f>'SCHNEIDER ELECTRIC'!D115</f>
        <v>4.4520380940248232E-2</v>
      </c>
      <c r="M117" s="33">
        <f>TOTALENERGIES!D115</f>
        <v>3.2745613777142218E-2</v>
      </c>
      <c r="N117" s="33">
        <f>VINCI!D115</f>
        <v>7.9783759628394586E-3</v>
      </c>
      <c r="O117" s="34"/>
      <c r="P117" s="34">
        <f t="shared" si="3"/>
        <v>7.0342047638438888E-3</v>
      </c>
    </row>
    <row r="118" spans="2:16" x14ac:dyDescent="0.2">
      <c r="B118" s="16">
        <v>43861</v>
      </c>
      <c r="C118" s="33">
        <f>AIRBUS!D116</f>
        <v>2.1152681367366331E-2</v>
      </c>
      <c r="D118" s="33">
        <f>BNP!D116</f>
        <v>-9.0573594116093878E-2</v>
      </c>
      <c r="E118" s="33">
        <f>CAPGEMINI!D116</f>
        <v>3.1680452404552979E-2</v>
      </c>
      <c r="F118" s="33">
        <f>DANONE!D116</f>
        <v>-2.0297693528289199E-2</v>
      </c>
      <c r="G118" s="33">
        <f>ENGIE!D116</f>
        <v>8.0555809391233857E-2</v>
      </c>
      <c r="H118" s="33">
        <f>'HERMES INTL'!D116</f>
        <v>1.5610958068146807E-2</v>
      </c>
      <c r="I118" s="33">
        <f>'PERNOD RICARD'!D116</f>
        <v>-1.8193237545101961E-2</v>
      </c>
      <c r="J118" s="33">
        <f>RENAULT!D116</f>
        <v>-0.16441441441441587</v>
      </c>
      <c r="K118" s="33">
        <f>SANOFI!D116</f>
        <v>-2.9792584362595027E-2</v>
      </c>
      <c r="L118" s="33">
        <f>'SCHNEIDER ELECTRIC'!D116</f>
        <v>-1.0710341135607071E-2</v>
      </c>
      <c r="M118" s="33">
        <f>TOTALENERGIES!D116</f>
        <v>-0.10274394587864175</v>
      </c>
      <c r="N118" s="33">
        <f>VINCI!D116</f>
        <v>1.2121300281355819E-2</v>
      </c>
      <c r="O118" s="34"/>
      <c r="P118" s="34">
        <f t="shared" si="3"/>
        <v>-2.2967050789007414E-2</v>
      </c>
    </row>
    <row r="119" spans="2:16" x14ac:dyDescent="0.2">
      <c r="B119" s="16">
        <v>43890</v>
      </c>
      <c r="C119" s="33">
        <f>AIRBUS!D117</f>
        <v>-0.18868216366391899</v>
      </c>
      <c r="D119" s="33">
        <f>BNP!D117</f>
        <v>-8.8666833354337074E-2</v>
      </c>
      <c r="E119" s="33">
        <f>CAPGEMINI!D117</f>
        <v>-0.11686691193689584</v>
      </c>
      <c r="F119" s="33">
        <f>DANONE!D117</f>
        <v>-0.11988945416301365</v>
      </c>
      <c r="G119" s="33">
        <f>ENGIE!D117</f>
        <v>-3.4061889831353755E-2</v>
      </c>
      <c r="H119" s="33">
        <f>'HERMES INTL'!D117</f>
        <v>-6.8873796530546996E-2</v>
      </c>
      <c r="I119" s="33">
        <f>'PERNOD RICARD'!D117</f>
        <v>-6.453687768280858E-2</v>
      </c>
      <c r="J119" s="33">
        <f>RENAULT!D117</f>
        <v>-0.24826207103716322</v>
      </c>
      <c r="K119" s="33">
        <f>SANOFI!D117</f>
        <v>-3.4732595179123645E-2</v>
      </c>
      <c r="L119" s="33">
        <f>'SCHNEIDER ELECTRIC'!D117</f>
        <v>-2.2074161332564764E-4</v>
      </c>
      <c r="M119" s="33">
        <f>TOTALENERGIES!D117</f>
        <v>-0.11905134725891428</v>
      </c>
      <c r="N119" s="33">
        <f>VINCI!D117</f>
        <v>-9.2016012686121376E-2</v>
      </c>
      <c r="O119" s="34"/>
      <c r="P119" s="34">
        <f t="shared" si="3"/>
        <v>-9.7988391244793582E-2</v>
      </c>
    </row>
    <row r="120" spans="2:16" x14ac:dyDescent="0.2">
      <c r="B120" s="16">
        <v>43921</v>
      </c>
      <c r="C120" s="33">
        <f>AIRBUS!D118</f>
        <v>-0.45106382368030196</v>
      </c>
      <c r="D120" s="33">
        <f>BNP!D118</f>
        <v>-0.37170258956443919</v>
      </c>
      <c r="E120" s="33">
        <f>CAPGEMINI!D118</f>
        <v>-0.22394690126708786</v>
      </c>
      <c r="F120" s="33">
        <f>DANONE!D118</f>
        <v>-7.9723778488272265E-2</v>
      </c>
      <c r="G120" s="33">
        <f>ENGIE!D118</f>
        <v>-0.37378579558260916</v>
      </c>
      <c r="H120" s="33">
        <f>'HERMES INTL'!D118</f>
        <v>-1.9048046167435577E-3</v>
      </c>
      <c r="I120" s="33">
        <f>'PERNOD RICARD'!D118</f>
        <v>-0.1157785038884262</v>
      </c>
      <c r="J120" s="33">
        <f>RENAULT!D118</f>
        <v>-0.33164757986668414</v>
      </c>
      <c r="K120" s="33">
        <f>SANOFI!D118</f>
        <v>-4.5156647156403412E-2</v>
      </c>
      <c r="L120" s="33">
        <f>'SCHNEIDER ELECTRIC'!D118</f>
        <v>-0.13171274237031017</v>
      </c>
      <c r="M120" s="33">
        <f>TOTALENERGIES!D118</f>
        <v>-7.7905378699617472E-2</v>
      </c>
      <c r="N120" s="33">
        <f>VINCI!D118</f>
        <v>-0.17124655878771994</v>
      </c>
      <c r="O120" s="34"/>
      <c r="P120" s="34">
        <f t="shared" si="3"/>
        <v>-0.19796459199738461</v>
      </c>
    </row>
    <row r="121" spans="2:16" x14ac:dyDescent="0.2">
      <c r="B121" s="16">
        <v>43951</v>
      </c>
      <c r="C121" s="33">
        <f>AIRBUS!D119</f>
        <v>-2.4603890009327601E-2</v>
      </c>
      <c r="D121" s="33">
        <f>BNP!D119</f>
        <v>4.2348156765712096E-2</v>
      </c>
      <c r="E121" s="33">
        <f>CAPGEMINI!D119</f>
        <v>0.11350650429409738</v>
      </c>
      <c r="F121" s="33">
        <f>DANONE!D119</f>
        <v>7.8785728124324342E-2</v>
      </c>
      <c r="G121" s="33">
        <f>ENGIE!D119</f>
        <v>5.227391477201556E-2</v>
      </c>
      <c r="H121" s="33">
        <f>'HERMES INTL'!D119</f>
        <v>6.4538264406494308E-2</v>
      </c>
      <c r="I121" s="33">
        <f>'PERNOD RICARD'!D119</f>
        <v>7.4546060069790504E-2</v>
      </c>
      <c r="J121" s="33">
        <f>RENAULT!D119</f>
        <v>2.247594924434896E-2</v>
      </c>
      <c r="K121" s="33">
        <f>SANOFI!D119</f>
        <v>0.11292733295738283</v>
      </c>
      <c r="L121" s="33">
        <f>'SCHNEIDER ELECTRIC'!D119</f>
        <v>6.2102297475368454E-2</v>
      </c>
      <c r="M121" s="33">
        <f>TOTALENERGIES!D119</f>
        <v>-5.1778310852745001E-2</v>
      </c>
      <c r="N121" s="33">
        <f>VINCI!D119</f>
        <v>-9.28379585038752E-3</v>
      </c>
      <c r="O121" s="34"/>
      <c r="P121" s="34">
        <f t="shared" si="3"/>
        <v>4.4819850949756192E-2</v>
      </c>
    </row>
    <row r="122" spans="2:16" x14ac:dyDescent="0.2">
      <c r="B122" s="16">
        <v>43982</v>
      </c>
      <c r="C122" s="33">
        <f>AIRBUS!D120</f>
        <v>-2.0387009966099132E-2</v>
      </c>
      <c r="D122" s="33">
        <f>BNP!D120</f>
        <v>0.12484744223318892</v>
      </c>
      <c r="E122" s="33">
        <f>CAPGEMINI!D120</f>
        <v>7.4177739720264341E-2</v>
      </c>
      <c r="F122" s="33">
        <f>DANONE!D120</f>
        <v>-2.6873203810255489E-2</v>
      </c>
      <c r="G122" s="33">
        <f>ENGIE!D120</f>
        <v>7.3808500744179759E-2</v>
      </c>
      <c r="H122" s="33">
        <f>'HERMES INTL'!D120</f>
        <v>0.12480028281986724</v>
      </c>
      <c r="I122" s="33">
        <f>'PERNOD RICARD'!D120</f>
        <v>7.1889683585519958E-3</v>
      </c>
      <c r="J122" s="33">
        <f>RENAULT!D120</f>
        <v>0.11592827986281305</v>
      </c>
      <c r="K122" s="33">
        <f>SANOFI!D120</f>
        <v>-1.8611886603384378E-2</v>
      </c>
      <c r="L122" s="33">
        <f>'SCHNEIDER ELECTRIC'!D120</f>
        <v>6.9254515806647793E-2</v>
      </c>
      <c r="M122" s="33">
        <f>TOTALENERGIES!D120</f>
        <v>2.3592355119668652E-2</v>
      </c>
      <c r="N122" s="33">
        <f>VINCI!D120</f>
        <v>0.11164659443736272</v>
      </c>
      <c r="O122" s="34"/>
      <c r="P122" s="34">
        <f t="shared" si="3"/>
        <v>5.4947714893567118E-2</v>
      </c>
    </row>
    <row r="123" spans="2:16" x14ac:dyDescent="0.2">
      <c r="B123" s="16">
        <v>44012</v>
      </c>
      <c r="C123" s="33">
        <f>AIRBUS!D121</f>
        <v>0.12028223413806392</v>
      </c>
      <c r="D123" s="33">
        <f>BNP!D121</f>
        <v>9.6574077846282899E-2</v>
      </c>
      <c r="E123" s="33">
        <f>CAPGEMINI!D121</f>
        <v>0.10694911921851204</v>
      </c>
      <c r="F123" s="33">
        <f>DANONE!D121</f>
        <v>0</v>
      </c>
      <c r="G123" s="33">
        <f>ENGIE!D121</f>
        <v>3.4320602793289225E-2</v>
      </c>
      <c r="H123" s="33">
        <f>'HERMES INTL'!D121</f>
        <v>-5.3490446024265122E-3</v>
      </c>
      <c r="I123" s="33">
        <f>'PERNOD RICARD'!D121</f>
        <v>-3.5672492794897921E-4</v>
      </c>
      <c r="J123" s="33">
        <f>RENAULT!D121</f>
        <v>0.117545153112359</v>
      </c>
      <c r="K123" s="33">
        <f>SANOFI!D121</f>
        <v>7.3775450984450347E-2</v>
      </c>
      <c r="L123" s="33">
        <f>'SCHNEIDER ELECTRIC'!D121</f>
        <v>0.14425187122252625</v>
      </c>
      <c r="M123" s="33">
        <f>TOTALENERGIES!D121</f>
        <v>1.040884169444195E-2</v>
      </c>
      <c r="N123" s="33">
        <f>VINCI!D121</f>
        <v>-1.2524087473148336E-2</v>
      </c>
      <c r="O123" s="34"/>
      <c r="P123" s="34">
        <f t="shared" si="3"/>
        <v>5.715645783386681E-2</v>
      </c>
    </row>
    <row r="124" spans="2:16" x14ac:dyDescent="0.2">
      <c r="B124" s="16">
        <v>44043</v>
      </c>
      <c r="C124" s="33">
        <f>AIRBUS!D122</f>
        <v>-2.3772135799788381E-2</v>
      </c>
      <c r="D124" s="33">
        <f>BNP!D122</f>
        <v>-3.548194975606004E-2</v>
      </c>
      <c r="E124" s="33">
        <f>CAPGEMINI!D122</f>
        <v>8.9783975119990908E-2</v>
      </c>
      <c r="F124" s="33">
        <f>DANONE!D122</f>
        <v>-8.1546437070834962E-2</v>
      </c>
      <c r="G124" s="33">
        <f>ENGIE!D122</f>
        <v>2.6363557750732104E-2</v>
      </c>
      <c r="H124" s="33">
        <f>'HERMES INTL'!D122</f>
        <v>-7.7440082188216575E-2</v>
      </c>
      <c r="I124" s="33">
        <f>'PERNOD RICARD'!D122</f>
        <v>4.2484871524983495E-2</v>
      </c>
      <c r="J124" s="33">
        <f>RENAULT!D122</f>
        <v>-0.11182464520463431</v>
      </c>
      <c r="K124" s="33">
        <f>SANOFI!D122</f>
        <v>-2.3166009306892887E-2</v>
      </c>
      <c r="L124" s="33">
        <f>'SCHNEIDER ELECTRIC'!D122</f>
        <v>-6.4724768053670435E-3</v>
      </c>
      <c r="M124" s="33">
        <f>TOTALENERGIES!D122</f>
        <v>-6.0557650432168895E-2</v>
      </c>
      <c r="N124" s="33">
        <f>VINCI!D122</f>
        <v>-9.9013460536156436E-2</v>
      </c>
      <c r="O124" s="34"/>
      <c r="P124" s="34">
        <f t="shared" si="3"/>
        <v>-3.0053536892034421E-2</v>
      </c>
    </row>
    <row r="125" spans="2:16" x14ac:dyDescent="0.2">
      <c r="B125" s="16">
        <v>44074</v>
      </c>
      <c r="C125" s="33">
        <f>AIRBUS!D123</f>
        <v>0.11014347969010857</v>
      </c>
      <c r="D125" s="33">
        <f>BNP!D123</f>
        <v>7.1815972800597275E-2</v>
      </c>
      <c r="E125" s="33">
        <f>CAPGEMINI!D123</f>
        <v>5.9360634186238888E-2</v>
      </c>
      <c r="F125" s="33">
        <f>DANONE!D123</f>
        <v>9.0191991259468193E-3</v>
      </c>
      <c r="G125" s="33">
        <f>ENGIE!D123</f>
        <v>3.2329464267558686E-2</v>
      </c>
      <c r="H125" s="33">
        <f>'HERMES INTL'!D123</f>
        <v>4.8382469205364938E-2</v>
      </c>
      <c r="I125" s="33">
        <f>'PERNOD RICARD'!D123</f>
        <v>-8.8728329881637112E-3</v>
      </c>
      <c r="J125" s="33">
        <f>RENAULT!D123</f>
        <v>0.18873101994858127</v>
      </c>
      <c r="K125" s="33">
        <f>SANOFI!D123</f>
        <v>-4.1558304117310256E-2</v>
      </c>
      <c r="L125" s="33">
        <f>'SCHNEIDER ELECTRIC'!D123</f>
        <v>5.6087165961749855E-2</v>
      </c>
      <c r="M125" s="33">
        <f>TOTALENERGIES!D123</f>
        <v>5.7508015826313229E-2</v>
      </c>
      <c r="N125" s="33">
        <f>VINCI!D123</f>
        <v>7.9395598073271734E-2</v>
      </c>
      <c r="O125" s="34"/>
      <c r="P125" s="34">
        <f t="shared" si="3"/>
        <v>5.5195156831688109E-2</v>
      </c>
    </row>
    <row r="126" spans="2:16" x14ac:dyDescent="0.2">
      <c r="B126" s="16">
        <v>44104</v>
      </c>
      <c r="C126" s="33">
        <f>AIRBUS!D124</f>
        <v>-9.8343927800504716E-2</v>
      </c>
      <c r="D126" s="33">
        <f>BNP!D124</f>
        <v>-0.15287845662115998</v>
      </c>
      <c r="E126" s="33">
        <f>CAPGEMINI!D124</f>
        <v>-5.3879216713671962E-2</v>
      </c>
      <c r="F126" s="33">
        <f>DANONE!D124</f>
        <v>2.1779493647023024E-3</v>
      </c>
      <c r="G126" s="33">
        <f>ENGIE!D124</f>
        <v>-2.0162909379871592E-2</v>
      </c>
      <c r="H126" s="33">
        <f>'HERMES INTL'!D124</f>
        <v>2.3352722525107266E-2</v>
      </c>
      <c r="I126" s="33">
        <f>'PERNOD RICARD'!D124</f>
        <v>-5.1219366654693128E-2</v>
      </c>
      <c r="J126" s="33">
        <f>RENAULT!D124</f>
        <v>-6.9001696182016417E-2</v>
      </c>
      <c r="K126" s="33">
        <f>SANOFI!D124</f>
        <v>5.4199259560867357E-3</v>
      </c>
      <c r="L126" s="33">
        <f>'SCHNEIDER ELECTRIC'!D124</f>
        <v>2.2168680077400055E-2</v>
      </c>
      <c r="M126" s="33">
        <f>TOTALENERGIES!D124</f>
        <v>-0.1178247755857196</v>
      </c>
      <c r="N126" s="33">
        <f>VINCI!D124</f>
        <v>-8.9844843605732652E-2</v>
      </c>
      <c r="O126" s="34"/>
      <c r="P126" s="34">
        <f t="shared" si="3"/>
        <v>-5.0002992885006127E-2</v>
      </c>
    </row>
    <row r="127" spans="2:16" x14ac:dyDescent="0.2">
      <c r="B127" s="16">
        <v>44135</v>
      </c>
      <c r="C127" s="33">
        <f>AIRBUS!D125</f>
        <v>8.3777107588981735E-3</v>
      </c>
      <c r="D127" s="33">
        <f>BNP!D125</f>
        <v>-3.6158231758204047E-2</v>
      </c>
      <c r="E127" s="33">
        <f>CAPGEMINI!D125</f>
        <v>-9.6674196562721026E-2</v>
      </c>
      <c r="F127" s="33">
        <f>DANONE!D125</f>
        <v>-0.14161542160117133</v>
      </c>
      <c r="G127" s="33">
        <f>ENGIE!D125</f>
        <v>-9.0630424981447494E-2</v>
      </c>
      <c r="H127" s="33">
        <f>'HERMES INTL'!D125</f>
        <v>8.530299050297506E-2</v>
      </c>
      <c r="I127" s="33">
        <f>'PERNOD RICARD'!D125</f>
        <v>1.6525885781581644E-2</v>
      </c>
      <c r="J127" s="33">
        <f>RENAULT!D125</f>
        <v>-4.2351933572071801E-2</v>
      </c>
      <c r="K127" s="33">
        <f>SANOFI!D125</f>
        <v>-9.3284929756160845E-2</v>
      </c>
      <c r="L127" s="33">
        <f>'SCHNEIDER ELECTRIC'!D125</f>
        <v>-1.7444684863623793E-2</v>
      </c>
      <c r="M127" s="33">
        <f>TOTALENERGIES!D125</f>
        <v>-9.5178737817550499E-2</v>
      </c>
      <c r="N127" s="33">
        <f>VINCI!D125</f>
        <v>-5.173383330909663E-2</v>
      </c>
      <c r="O127" s="34"/>
      <c r="P127" s="34">
        <f t="shared" si="3"/>
        <v>-4.6238817264882714E-2</v>
      </c>
    </row>
    <row r="128" spans="2:16" x14ac:dyDescent="0.2">
      <c r="B128" s="16">
        <v>44165</v>
      </c>
      <c r="C128" s="33">
        <f>AIRBUS!D126</f>
        <v>0.40166164765774698</v>
      </c>
      <c r="D128" s="33">
        <f>BNP!D126</f>
        <v>0.43912256900193219</v>
      </c>
      <c r="E128" s="33">
        <f>CAPGEMINI!D126</f>
        <v>0.17308850862981559</v>
      </c>
      <c r="F128" s="33">
        <f>DANONE!D126</f>
        <v>0.13628695119959625</v>
      </c>
      <c r="G128" s="33">
        <f>ENGIE!D126</f>
        <v>0.1911411069457809</v>
      </c>
      <c r="H128" s="33">
        <f>'HERMES INTL'!D126</f>
        <v>2.3028681282688698E-2</v>
      </c>
      <c r="I128" s="33">
        <f>'PERNOD RICARD'!D126</f>
        <v>0.1560692183239405</v>
      </c>
      <c r="J128" s="33">
        <f>RENAULT!D126</f>
        <v>0.56927796511952233</v>
      </c>
      <c r="K128" s="33">
        <f>SANOFI!D126</f>
        <v>9.486877236493417E-2</v>
      </c>
      <c r="L128" s="33">
        <f>'SCHNEIDER ELECTRIC'!D126</f>
        <v>0.11948188484454211</v>
      </c>
      <c r="M128" s="33">
        <f>TOTALENERGIES!D126</f>
        <v>0.3874903259932661</v>
      </c>
      <c r="N128" s="33">
        <f>VINCI!D126</f>
        <v>0.26069027221591173</v>
      </c>
      <c r="O128" s="34"/>
      <c r="P128" s="34">
        <f t="shared" si="3"/>
        <v>0.24601732529830647</v>
      </c>
    </row>
    <row r="129" spans="2:16" x14ac:dyDescent="0.2">
      <c r="B129" s="16">
        <v>44196</v>
      </c>
      <c r="C129" s="33">
        <f>AIRBUS!D127</f>
        <v>2.3366994987468269E-2</v>
      </c>
      <c r="D129" s="33">
        <f>BNP!D127</f>
        <v>3.2582262189068587E-3</v>
      </c>
      <c r="E129" s="33">
        <f>CAPGEMINI!D127</f>
        <v>9.0283775363438762E-2</v>
      </c>
      <c r="F129" s="33">
        <f>DANONE!D127</f>
        <v>-1.8566173671493858E-3</v>
      </c>
      <c r="G129" s="33">
        <f>ENGIE!D127</f>
        <v>1.2126076246981907E-2</v>
      </c>
      <c r="H129" s="33">
        <f>'HERMES INTL'!D127</f>
        <v>7.609490091432744E-2</v>
      </c>
      <c r="I129" s="33">
        <f>'PERNOD RICARD'!D127</f>
        <v>-1.9999809177823364E-2</v>
      </c>
      <c r="J129" s="33">
        <f>RENAULT!D127</f>
        <v>7.2103017494254101E-2</v>
      </c>
      <c r="K129" s="33">
        <f>SANOFI!D127</f>
        <v>-7.0947721581989032E-2</v>
      </c>
      <c r="L129" s="33">
        <f>'SCHNEIDER ELECTRIC'!D127</f>
        <v>1.4144808961710073E-2</v>
      </c>
      <c r="M129" s="33">
        <f>TOTALENERGIES!D127</f>
        <v>-1.4654427141877757E-2</v>
      </c>
      <c r="N129" s="33">
        <f>VINCI!D127</f>
        <v>-4.8421241987355965E-2</v>
      </c>
      <c r="O129" s="34"/>
      <c r="P129" s="34">
        <f t="shared" si="3"/>
        <v>1.1291498577574327E-2</v>
      </c>
    </row>
    <row r="130" spans="2:16" x14ac:dyDescent="0.2">
      <c r="B130" s="16">
        <v>44227</v>
      </c>
      <c r="C130" s="33">
        <f>AIRBUS!D128</f>
        <v>-7.3290190374511871E-2</v>
      </c>
      <c r="D130" s="33">
        <f>BNP!D128</f>
        <v>-7.7137084895726418E-2</v>
      </c>
      <c r="E130" s="33">
        <f>CAPGEMINI!D128</f>
        <v>-5.7571018365494803E-2</v>
      </c>
      <c r="F130" s="33">
        <f>DANONE!D128</f>
        <v>2.2321436429643696E-2</v>
      </c>
      <c r="G130" s="33">
        <f>ENGIE!D128</f>
        <v>2.3961592397553036E-2</v>
      </c>
      <c r="H130" s="33">
        <f>'HERMES INTL'!D128</f>
        <v>-4.2064521009235516E-2</v>
      </c>
      <c r="I130" s="33">
        <f>'PERNOD RICARD'!D128</f>
        <v>2.4404464154824277E-3</v>
      </c>
      <c r="J130" s="33">
        <f>RENAULT!D128</f>
        <v>-1.4541146902907743E-2</v>
      </c>
      <c r="K130" s="33">
        <f>SANOFI!D128</f>
        <v>-1.9695186468997268E-2</v>
      </c>
      <c r="L130" s="33">
        <f>'SCHNEIDER ELECTRIC'!D128</f>
        <v>2.2400611675024881E-2</v>
      </c>
      <c r="M130" s="33">
        <f>TOTALENERGIES!D128</f>
        <v>-1.1473038480339846E-2</v>
      </c>
      <c r="N130" s="33">
        <f>VINCI!D128</f>
        <v>-5.8750984029133618E-2</v>
      </c>
      <c r="O130" s="34"/>
      <c r="P130" s="34">
        <f t="shared" si="3"/>
        <v>-2.3616590300720258E-2</v>
      </c>
    </row>
    <row r="131" spans="2:16" x14ac:dyDescent="0.2">
      <c r="B131" s="16">
        <v>44255</v>
      </c>
      <c r="C131" s="33">
        <f>AIRBUS!D129</f>
        <v>0.15276438731295683</v>
      </c>
      <c r="D131" s="33">
        <f>BNP!D129</f>
        <v>0.23868775733074812</v>
      </c>
      <c r="E131" s="33">
        <f>CAPGEMINI!D129</f>
        <v>0.11422590741305387</v>
      </c>
      <c r="F131" s="33">
        <f>DANONE!D129</f>
        <v>2.7292442333818508E-2</v>
      </c>
      <c r="G131" s="33">
        <f>ENGIE!D129</f>
        <v>-5.7332372419591493E-2</v>
      </c>
      <c r="H131" s="33">
        <f>'HERMES INTL'!D129</f>
        <v>9.565624467383374E-2</v>
      </c>
      <c r="I131" s="33">
        <f>'PERNOD RICARD'!D129</f>
        <v>1.059726421815485E-2</v>
      </c>
      <c r="J131" s="33">
        <f>RENAULT!D129</f>
        <v>5.3490183457934173E-2</v>
      </c>
      <c r="K131" s="33">
        <f>SANOFI!D129</f>
        <v>-1.7498308281968002E-2</v>
      </c>
      <c r="L131" s="33">
        <f>'SCHNEIDER ELECTRIC'!D129</f>
        <v>1.5709045470994599E-2</v>
      </c>
      <c r="M131" s="33">
        <f>TOTALENERGIES!D129</f>
        <v>0.12068085679823737</v>
      </c>
      <c r="N131" s="33">
        <f>VINCI!D129</f>
        <v>0.12353087025464711</v>
      </c>
      <c r="O131" s="34"/>
      <c r="P131" s="34">
        <f t="shared" si="3"/>
        <v>7.3150356546901649E-2</v>
      </c>
    </row>
    <row r="132" spans="2:16" x14ac:dyDescent="0.2">
      <c r="B132" s="16">
        <v>44286</v>
      </c>
      <c r="C132" s="33">
        <f>AIRBUS!D130</f>
        <v>6.5687117746360841E-3</v>
      </c>
      <c r="D132" s="33">
        <f>BNP!D130</f>
        <v>5.2866665257517674E-2</v>
      </c>
      <c r="E132" s="33">
        <f>CAPGEMINI!D130</f>
        <v>8.9748556692245796E-2</v>
      </c>
      <c r="F132" s="33">
        <f>DANONE!D130</f>
        <v>3.6131847734943913E-2</v>
      </c>
      <c r="G132" s="33">
        <f>ENGIE!D130</f>
        <v>1.6549473566415075E-3</v>
      </c>
      <c r="H132" s="33">
        <f>'HERMES INTL'!D130</f>
        <v>2.2530361350217964E-2</v>
      </c>
      <c r="I132" s="33">
        <f>'PERNOD RICARD'!D130</f>
        <v>1.7159208188136672E-2</v>
      </c>
      <c r="J132" s="33">
        <f>RENAULT!D130</f>
        <v>-5.2524239765759234E-3</v>
      </c>
      <c r="K132" s="33">
        <f>SANOFI!D130</f>
        <v>0.11147753368525994</v>
      </c>
      <c r="L132" s="33">
        <f>'SCHNEIDER ELECTRIC'!D130</f>
        <v>6.0236144992723083E-2</v>
      </c>
      <c r="M132" s="33">
        <f>TOTALENERGIES!D130</f>
        <v>3.6482241321248297E-2</v>
      </c>
      <c r="N132" s="33">
        <f>VINCI!D130</f>
        <v>1.5341670666577489E-2</v>
      </c>
      <c r="O132" s="34"/>
      <c r="P132" s="34">
        <f t="shared" si="3"/>
        <v>3.7078788753631041E-2</v>
      </c>
    </row>
    <row r="133" spans="2:16" x14ac:dyDescent="0.2">
      <c r="B133" s="16">
        <v>44316</v>
      </c>
      <c r="C133" s="33">
        <f>AIRBUS!D131</f>
        <v>3.5218572854671462E-2</v>
      </c>
      <c r="D133" s="33">
        <f>BNP!D131</f>
        <v>2.910568828303816E-2</v>
      </c>
      <c r="E133" s="33">
        <f>CAPGEMINI!D131</f>
        <v>5.0309933684951985E-2</v>
      </c>
      <c r="F133" s="33">
        <f>DANONE!D131</f>
        <v>2.2222956568334691E-3</v>
      </c>
      <c r="G133" s="33">
        <f>ENGIE!D131</f>
        <v>2.189196721709618E-2</v>
      </c>
      <c r="H133" s="33">
        <f>'HERMES INTL'!D131</f>
        <v>0.10772117644044073</v>
      </c>
      <c r="I133" s="33">
        <f>'PERNOD RICARD'!D131</f>
        <v>6.6541625208807506E-2</v>
      </c>
      <c r="J133" s="33">
        <f>RENAULT!D131</f>
        <v>-9.2201524408636049E-2</v>
      </c>
      <c r="K133" s="33">
        <f>SANOFI!D131</f>
        <v>3.5845753859127194E-2</v>
      </c>
      <c r="L133" s="33">
        <f>'SCHNEIDER ELECTRIC'!D131</f>
        <v>2.1266760083875291E-2</v>
      </c>
      <c r="M133" s="33">
        <f>TOTALENERGIES!D131</f>
        <v>-5.8660370260020675E-2</v>
      </c>
      <c r="N133" s="33">
        <f>VINCI!D131</f>
        <v>4.6245396293895256E-2</v>
      </c>
      <c r="O133" s="34"/>
      <c r="P133" s="34">
        <f t="shared" si="3"/>
        <v>2.2125606242840042E-2</v>
      </c>
    </row>
    <row r="134" spans="2:16" x14ac:dyDescent="0.2">
      <c r="B134" s="16">
        <v>44347</v>
      </c>
      <c r="C134" s="33">
        <f>AIRBUS!D132</f>
        <v>6.7240344533522345E-2</v>
      </c>
      <c r="D134" s="33">
        <f>BNP!D132</f>
        <v>4.6075919478631162E-2</v>
      </c>
      <c r="E134" s="33">
        <f>CAPGEMINI!D132</f>
        <v>1.6405349200311989E-3</v>
      </c>
      <c r="F134" s="33">
        <f>DANONE!D132</f>
        <v>-5.6286561112778811E-3</v>
      </c>
      <c r="G134" s="33">
        <f>ENGIE!D132</f>
        <v>-1.778510798513486E-2</v>
      </c>
      <c r="H134" s="33">
        <f>'HERMES INTL'!D132</f>
        <v>0.10392717779658056</v>
      </c>
      <c r="I134" s="33">
        <f>'PERNOD RICARD'!D132</f>
        <v>5.5360161028491894E-2</v>
      </c>
      <c r="J134" s="33">
        <f>RENAULT!D132</f>
        <v>9.246770638338668E-3</v>
      </c>
      <c r="K134" s="33">
        <f>SANOFI!D132</f>
        <v>-3.4376048984030181E-3</v>
      </c>
      <c r="L134" s="33">
        <f>'SCHNEIDER ELECTRIC'!D132</f>
        <v>-2.721404727842678E-2</v>
      </c>
      <c r="M134" s="33">
        <f>TOTALENERGIES!D132</f>
        <v>2.9327778226589579E-2</v>
      </c>
      <c r="N134" s="33">
        <f>VINCI!D132</f>
        <v>3.966344805480989E-2</v>
      </c>
      <c r="O134" s="34"/>
      <c r="P134" s="34">
        <f t="shared" ref="P134:P165" si="4">AVERAGE(C134:N134)</f>
        <v>2.4868059866979399E-2</v>
      </c>
    </row>
    <row r="135" spans="2:16" x14ac:dyDescent="0.2">
      <c r="B135" s="16">
        <v>44377</v>
      </c>
      <c r="C135" s="33">
        <f>AIRBUS!D133</f>
        <v>1.668852761713906E-2</v>
      </c>
      <c r="D135" s="33">
        <f>BNP!D133</f>
        <v>-3.4297346414708718E-2</v>
      </c>
      <c r="E135" s="33">
        <f>CAPGEMINI!D133</f>
        <v>6.1251068736111317E-2</v>
      </c>
      <c r="F135" s="33">
        <f>DANONE!D133</f>
        <v>5.2879931320027537E-2</v>
      </c>
      <c r="G135" s="33">
        <f>ENGIE!D133</f>
        <v>-9.0975853452390319E-3</v>
      </c>
      <c r="H135" s="33">
        <f>'HERMES INTL'!D133</f>
        <v>6.8986458385240548E-2</v>
      </c>
      <c r="I135" s="33">
        <f>'PERNOD RICARD'!D133</f>
        <v>3.9134237877624677E-2</v>
      </c>
      <c r="J135" s="33">
        <f>RENAULT!D133</f>
        <v>7.3887689770862873E-3</v>
      </c>
      <c r="K135" s="33">
        <f>SANOFI!D133</f>
        <v>5.5069007428279845E-2</v>
      </c>
      <c r="L135" s="33">
        <f>'SCHNEIDER ELECTRIC'!D133</f>
        <v>4.548905072382551E-2</v>
      </c>
      <c r="M135" s="33">
        <f>TOTALENERGIES!D133</f>
        <v>6.5953625692876817E-3</v>
      </c>
      <c r="N135" s="33">
        <f>VINCI!D133</f>
        <v>-3.1532477602184673E-2</v>
      </c>
      <c r="O135" s="34"/>
      <c r="P135" s="34">
        <f t="shared" si="4"/>
        <v>2.3212917022707502E-2</v>
      </c>
    </row>
    <row r="136" spans="2:16" x14ac:dyDescent="0.2">
      <c r="B136" s="16">
        <v>44408</v>
      </c>
      <c r="C136" s="33">
        <f>AIRBUS!D134</f>
        <v>6.6949399233455456E-2</v>
      </c>
      <c r="D136" s="33">
        <f>BNP!D134</f>
        <v>-2.6858226740878358E-2</v>
      </c>
      <c r="E136" s="33">
        <f>CAPGEMINI!D134</f>
        <v>0.13956197158270248</v>
      </c>
      <c r="F136" s="33">
        <f>DANONE!D134</f>
        <v>4.5309107123704687E-2</v>
      </c>
      <c r="G136" s="33">
        <f>ENGIE!D134</f>
        <v>-2.6138220717119898E-2</v>
      </c>
      <c r="H136" s="33">
        <f>'HERMES INTL'!D134</f>
        <v>4.9247051550433414E-2</v>
      </c>
      <c r="I136" s="33">
        <f>'PERNOD RICARD'!D134</f>
        <v>-5.876047395743325E-3</v>
      </c>
      <c r="J136" s="33">
        <f>RENAULT!D134</f>
        <v>-6.0437064250596556E-2</v>
      </c>
      <c r="K136" s="33">
        <f>SANOFI!D134</f>
        <v>-1.6749630621191849E-2</v>
      </c>
      <c r="L136" s="33">
        <f>'SCHNEIDER ELECTRIC'!D134</f>
        <v>6.496849860705825E-2</v>
      </c>
      <c r="M136" s="33">
        <f>TOTALENERGIES!D134</f>
        <v>-2.2013057894687639E-2</v>
      </c>
      <c r="N136" s="33">
        <f>VINCI!D134</f>
        <v>-8.6674777587999758E-3</v>
      </c>
      <c r="O136" s="34"/>
      <c r="P136" s="34">
        <f t="shared" si="4"/>
        <v>1.6608025226528055E-2</v>
      </c>
    </row>
    <row r="137" spans="2:16" x14ac:dyDescent="0.2">
      <c r="B137" s="16">
        <v>44439</v>
      </c>
      <c r="C137" s="33">
        <f>AIRBUS!D135</f>
        <v>0</v>
      </c>
      <c r="D137" s="33">
        <f>BNP!D135</f>
        <v>4.4314745781114412E-2</v>
      </c>
      <c r="E137" s="33">
        <f>CAPGEMINI!D135</f>
        <v>4.3347051199375507E-2</v>
      </c>
      <c r="F137" s="33">
        <f>DANONE!D135</f>
        <v>-3.0615862435523062E-3</v>
      </c>
      <c r="G137" s="33">
        <f>ENGIE!D135</f>
        <v>7.8208288110077948E-2</v>
      </c>
      <c r="H137" s="33">
        <f>'HERMES INTL'!D135</f>
        <v>-3.4523047973176506E-2</v>
      </c>
      <c r="I137" s="33">
        <f>'PERNOD RICARD'!D135</f>
        <v>-3.6835570851227899E-2</v>
      </c>
      <c r="J137" s="33">
        <f>RENAULT!D135</f>
        <v>-1.7954734969932516E-2</v>
      </c>
      <c r="K137" s="33">
        <f>SANOFI!D135</f>
        <v>8.517479953642753E-3</v>
      </c>
      <c r="L137" s="33">
        <f>'SCHNEIDER ELECTRIC'!D135</f>
        <v>7.0771364250083291E-2</v>
      </c>
      <c r="M137" s="33">
        <f>TOTALENERGIES!D135</f>
        <v>1.757495423171624E-2</v>
      </c>
      <c r="N137" s="33">
        <f>VINCI!D135</f>
        <v>1.8831806246602849E-2</v>
      </c>
      <c r="O137" s="34"/>
      <c r="P137" s="34">
        <f t="shared" si="4"/>
        <v>1.576589581122698E-2</v>
      </c>
    </row>
    <row r="138" spans="2:16" x14ac:dyDescent="0.2">
      <c r="B138" s="16">
        <v>44469</v>
      </c>
      <c r="C138" s="33">
        <f>AIRBUS!D136</f>
        <v>-5.1858107106769139E-3</v>
      </c>
      <c r="D138" s="33">
        <f>BNP!D136</f>
        <v>3.1825809498043395E-2</v>
      </c>
      <c r="E138" s="33">
        <f>CAPGEMINI!D136</f>
        <v>-5.2590039134686094E-2</v>
      </c>
      <c r="F138" s="33">
        <f>DANONE!D136</f>
        <v>-4.5579387168968769E-2</v>
      </c>
      <c r="G138" s="33">
        <f>ENGIE!D136</f>
        <v>-6.5117152584053886E-2</v>
      </c>
      <c r="H138" s="33">
        <f>'HERMES INTL'!D136</f>
        <v>-3.8569622559831436E-2</v>
      </c>
      <c r="I138" s="33">
        <f>'PERNOD RICARD'!D136</f>
        <v>7.1649267853479928E-2</v>
      </c>
      <c r="J138" s="33">
        <f>RENAULT!D136</f>
        <v>-1.7647015349756996E-2</v>
      </c>
      <c r="K138" s="33">
        <f>SANOFI!D136</f>
        <v>-5.1814751580877033E-2</v>
      </c>
      <c r="L138" s="33">
        <f>'SCHNEIDER ELECTRIC'!D136</f>
        <v>-4.8909564368548999E-2</v>
      </c>
      <c r="M138" s="33">
        <f>TOTALENERGIES!D136</f>
        <v>0.10684144618267857</v>
      </c>
      <c r="N138" s="33">
        <f>VINCI!D136</f>
        <v>-8.141675655956155E-3</v>
      </c>
      <c r="O138" s="34"/>
      <c r="P138" s="34">
        <f t="shared" si="4"/>
        <v>-1.0269874631596199E-2</v>
      </c>
    </row>
    <row r="139" spans="2:16" x14ac:dyDescent="0.2">
      <c r="B139" s="16">
        <v>44500</v>
      </c>
      <c r="C139" s="33">
        <f>AIRBUS!D137</f>
        <v>-3.9096503827288243E-2</v>
      </c>
      <c r="D139" s="33">
        <f>BNP!D137</f>
        <v>7.3831425769910516E-2</v>
      </c>
      <c r="E139" s="33">
        <f>CAPGEMINI!D137</f>
        <v>0.11740217837123507</v>
      </c>
      <c r="F139" s="33">
        <f>DANONE!D137</f>
        <v>-4.5724033615454955E-2</v>
      </c>
      <c r="G139" s="33">
        <f>ENGIE!D137</f>
        <v>8.4112322222337832E-2</v>
      </c>
      <c r="H139" s="33">
        <f>'HERMES INTL'!D137</f>
        <v>0.14542421996233992</v>
      </c>
      <c r="I139" s="33">
        <f>'PERNOD RICARD'!D137</f>
        <v>4.1950737858946534E-2</v>
      </c>
      <c r="J139" s="33">
        <f>RENAULT!D137</f>
        <v>5.3405302222378076E-3</v>
      </c>
      <c r="K139" s="33">
        <f>SANOFI!D137</f>
        <v>4.0322563265046567E-2</v>
      </c>
      <c r="L139" s="33">
        <f>'SCHNEIDER ELECTRIC'!D137</f>
        <v>3.4746392724147528E-2</v>
      </c>
      <c r="M139" s="33">
        <f>TOTALENERGIES!D137</f>
        <v>6.785474111338051E-2</v>
      </c>
      <c r="N139" s="33">
        <f>VINCI!D137</f>
        <v>2.4625718570791384E-2</v>
      </c>
      <c r="O139" s="34"/>
      <c r="P139" s="34">
        <f t="shared" si="4"/>
        <v>4.589919105313587E-2</v>
      </c>
    </row>
    <row r="140" spans="2:16" x14ac:dyDescent="0.2">
      <c r="B140" s="16">
        <v>44530</v>
      </c>
      <c r="C140" s="33">
        <f>AIRBUS!D138</f>
        <v>-0.1074139981354571</v>
      </c>
      <c r="D140" s="33">
        <f>BNP!D138</f>
        <v>-4.8704561093718783E-2</v>
      </c>
      <c r="E140" s="33">
        <f>CAPGEMINI!D138</f>
        <v>1.390961418084774E-2</v>
      </c>
      <c r="F140" s="33">
        <f>DANONE!D138</f>
        <v>-7.7373420817805114E-2</v>
      </c>
      <c r="G140" s="33">
        <f>ENGIE!D138</f>
        <v>4.1802236981207296E-2</v>
      </c>
      <c r="H140" s="33">
        <f>'HERMES INTL'!D138</f>
        <v>0.20612921408371984</v>
      </c>
      <c r="I140" s="33">
        <f>'PERNOD RICARD'!D138</f>
        <v>1.9124392747536696E-2</v>
      </c>
      <c r="J140" s="33">
        <f>RENAULT!D138</f>
        <v>-8.3708916123752197E-2</v>
      </c>
      <c r="K140" s="33">
        <f>SANOFI!D138</f>
        <v>-2.9734946807474825E-2</v>
      </c>
      <c r="L140" s="33">
        <f>'SCHNEIDER ELECTRIC'!D138</f>
        <v>4.9160611691318447E-2</v>
      </c>
      <c r="M140" s="33">
        <f>TOTALENERGIES!D138</f>
        <v>-6.3638280070752146E-2</v>
      </c>
      <c r="N140" s="33">
        <f>VINCI!D138</f>
        <v>-9.4294731961588496E-2</v>
      </c>
      <c r="O140" s="34"/>
      <c r="P140" s="34">
        <f t="shared" si="4"/>
        <v>-1.4561898777159889E-2</v>
      </c>
    </row>
    <row r="141" spans="2:16" x14ac:dyDescent="0.2">
      <c r="B141" s="16">
        <v>44561</v>
      </c>
      <c r="C141" s="33">
        <f>AIRBUS!D139</f>
        <v>0.13816852623536174</v>
      </c>
      <c r="D141" s="33">
        <f>BNP!D139</f>
        <v>0.10330412423086453</v>
      </c>
      <c r="E141" s="33">
        <f>CAPGEMINI!D139</f>
        <v>5.585488263010166E-2</v>
      </c>
      <c r="F141" s="33">
        <f>DANONE!D139</f>
        <v>5.0009523356029074E-2</v>
      </c>
      <c r="G141" s="33">
        <f>ENGIE!D139</f>
        <v>1.5924939920580066E-2</v>
      </c>
      <c r="H141" s="33">
        <f>'HERMES INTL'!D139</f>
        <v>-7.0780469779523958E-2</v>
      </c>
      <c r="I141" s="33">
        <f>'PERNOD RICARD'!D139</f>
        <v>5.332965437222386E-2</v>
      </c>
      <c r="J141" s="33">
        <f>RENAULT!D139</f>
        <v>7.3260773180015393E-2</v>
      </c>
      <c r="K141" s="33">
        <f>SANOFI!D139</f>
        <v>5.6284142738370298E-2</v>
      </c>
      <c r="L141" s="33">
        <f>'SCHNEIDER ELECTRIC'!D139</f>
        <v>0.10395594779652084</v>
      </c>
      <c r="M141" s="33">
        <f>TOTALENERGIES!D139</f>
        <v>9.8990441079434513E-2</v>
      </c>
      <c r="N141" s="33">
        <f>VINCI!D139</f>
        <v>0.11824764389765464</v>
      </c>
      <c r="O141" s="34"/>
      <c r="P141" s="34">
        <f t="shared" si="4"/>
        <v>6.6379177471469389E-2</v>
      </c>
    </row>
    <row r="142" spans="2:16" x14ac:dyDescent="0.2">
      <c r="B142" s="16">
        <v>44592</v>
      </c>
      <c r="C142" s="33">
        <f>AIRBUS!D140</f>
        <v>-2.1360434551246079E-3</v>
      </c>
      <c r="D142" s="33">
        <f>BNP!D140</f>
        <v>3.6695722230189097E-2</v>
      </c>
      <c r="E142" s="33">
        <f>CAPGEMINI!D140</f>
        <v>-8.3758737361122507E-2</v>
      </c>
      <c r="F142" s="33">
        <f>DANONE!D140</f>
        <v>1.209011338024193E-2</v>
      </c>
      <c r="G142" s="33">
        <f>ENGIE!D140</f>
        <v>4.1493860316311228E-2</v>
      </c>
      <c r="H142" s="33">
        <f>'HERMES INTL'!D140</f>
        <v>-0.14160156024964954</v>
      </c>
      <c r="I142" s="33">
        <f>'PERNOD RICARD'!D140</f>
        <v>-0.10638295462570706</v>
      </c>
      <c r="J142" s="33">
        <f>RENAULT!D140</f>
        <v>0.14306759433240723</v>
      </c>
      <c r="K142" s="33">
        <f>SANOFI!D140</f>
        <v>4.7076149812997167E-2</v>
      </c>
      <c r="L142" s="33">
        <f>'SCHNEIDER ELECTRIC'!D140</f>
        <v>-0.13394416248789628</v>
      </c>
      <c r="M142" s="33">
        <f>TOTALENERGIES!D140</f>
        <v>0.12525179114172424</v>
      </c>
      <c r="N142" s="33">
        <f>VINCI!D140</f>
        <v>4.0361622005370391E-2</v>
      </c>
      <c r="O142" s="34"/>
      <c r="P142" s="34">
        <f t="shared" si="4"/>
        <v>-1.8155504133548928E-3</v>
      </c>
    </row>
    <row r="143" spans="2:16" x14ac:dyDescent="0.2">
      <c r="B143" s="16">
        <v>44620</v>
      </c>
      <c r="C143" s="33">
        <f>AIRBUS!D141</f>
        <v>2.4794921364379087E-2</v>
      </c>
      <c r="D143" s="33">
        <f>BNP!D141</f>
        <v>-0.16650790874163193</v>
      </c>
      <c r="E143" s="33">
        <f>CAPGEMINI!D141</f>
        <v>-4.6340721876499631E-2</v>
      </c>
      <c r="F143" s="33">
        <f>DANONE!D141</f>
        <v>-1.7013554171721214E-2</v>
      </c>
      <c r="G143" s="33">
        <f>ENGIE!D141</f>
        <v>5.2678132570977122E-2</v>
      </c>
      <c r="H143" s="33">
        <f>'HERMES INTL'!D141</f>
        <v>-5.8020421861587228E-2</v>
      </c>
      <c r="I143" s="33">
        <f>'PERNOD RICARD'!D141</f>
        <v>3.5185136231774841E-2</v>
      </c>
      <c r="J143" s="33">
        <f>RENAULT!D141</f>
        <v>-0.18258623414329028</v>
      </c>
      <c r="K143" s="33">
        <f>SANOFI!D141</f>
        <v>7.7628891313966508E-3</v>
      </c>
      <c r="L143" s="33">
        <f>'SCHNEIDER ELECTRIC'!D141</f>
        <v>-6.4140454092825747E-2</v>
      </c>
      <c r="M143" s="33">
        <f>TOTALENERGIES!D141</f>
        <v>-7.8567996985798083E-2</v>
      </c>
      <c r="N143" s="33">
        <f>VINCI!D141</f>
        <v>-2.2139547341537471E-2</v>
      </c>
      <c r="O143" s="34"/>
      <c r="P143" s="34">
        <f t="shared" si="4"/>
        <v>-4.290797999303033E-2</v>
      </c>
    </row>
    <row r="144" spans="2:16" x14ac:dyDescent="0.2">
      <c r="B144" s="16">
        <v>44651</v>
      </c>
      <c r="C144" s="33">
        <f>AIRBUS!D142</f>
        <v>-3.9512622019494716E-2</v>
      </c>
      <c r="D144" s="33">
        <f>BNP!D142</f>
        <v>-1.1045487337595921E-2</v>
      </c>
      <c r="E144" s="33">
        <f>CAPGEMINI!D142</f>
        <v>7.5411594080562028E-2</v>
      </c>
      <c r="F144" s="33">
        <f>DANONE!D142</f>
        <v>-7.8806956209386311E-2</v>
      </c>
      <c r="G144" s="33">
        <f>ENGIE!D142</f>
        <v>-0.16358284145793717</v>
      </c>
      <c r="H144" s="33">
        <f>'HERMES INTL'!D142</f>
        <v>4.2020542643586109E-2</v>
      </c>
      <c r="I144" s="33">
        <f>'PERNOD RICARD'!D142</f>
        <v>1.8655871906912029E-2</v>
      </c>
      <c r="J144" s="33">
        <f>RENAULT!D142</f>
        <v>-0.16345488434502159</v>
      </c>
      <c r="K144" s="33">
        <f>SANOFI!D142</f>
        <v>-1.0270628223430172E-2</v>
      </c>
      <c r="L144" s="33">
        <f>'SCHNEIDER ELECTRIC'!D142</f>
        <v>8.8567951465580275E-2</v>
      </c>
      <c r="M144" s="33">
        <f>TOTALENERGIES!D142</f>
        <v>9.6512700796451151E-3</v>
      </c>
      <c r="N144" s="33">
        <f>VINCI!D142</f>
        <v>-1.6187053066520796E-2</v>
      </c>
      <c r="O144" s="34"/>
      <c r="P144" s="34">
        <f t="shared" si="4"/>
        <v>-2.0712770206925094E-2</v>
      </c>
    </row>
    <row r="145" spans="2:16" x14ac:dyDescent="0.2">
      <c r="B145" s="16">
        <v>44681</v>
      </c>
      <c r="C145" s="33">
        <f>AIRBUS!D143</f>
        <v>-4.3675234973153135E-2</v>
      </c>
      <c r="D145" s="33">
        <f>BNP!D143</f>
        <v>-4.2846200799789798E-2</v>
      </c>
      <c r="E145" s="33">
        <f>CAPGEMINI!D143</f>
        <v>-3.1604858026986406E-2</v>
      </c>
      <c r="F145" s="33">
        <f>DANONE!D143</f>
        <v>0.15210886721891448</v>
      </c>
      <c r="G145" s="33">
        <f>ENGIE!D143</f>
        <v>-5.128212344336016E-2</v>
      </c>
      <c r="H145" s="33">
        <f>'HERMES INTL'!D143</f>
        <v>-8.1300803478811245E-2</v>
      </c>
      <c r="I145" s="33">
        <f>'PERNOD RICARD'!D143</f>
        <v>-8.2790980226021254E-3</v>
      </c>
      <c r="J145" s="33">
        <f>RENAULT!D143</f>
        <v>-1.2565324717069769E-2</v>
      </c>
      <c r="K145" s="33">
        <f>SANOFI!D143</f>
        <v>9.3719453146176565E-2</v>
      </c>
      <c r="L145" s="33">
        <f>'SCHNEIDER ELECTRIC'!D143</f>
        <v>-9.503161760817215E-2</v>
      </c>
      <c r="M145" s="33">
        <f>TOTALENERGIES!D143</f>
        <v>4.0970634182491236E-2</v>
      </c>
      <c r="N145" s="33">
        <f>VINCI!D143</f>
        <v>-1.6129269738934307E-3</v>
      </c>
      <c r="O145" s="34"/>
      <c r="P145" s="34">
        <f t="shared" si="4"/>
        <v>-6.7832694580213281E-3</v>
      </c>
    </row>
    <row r="146" spans="2:16" x14ac:dyDescent="0.2">
      <c r="B146" s="16">
        <v>44712</v>
      </c>
      <c r="C146" s="33">
        <f>AIRBUS!D144</f>
        <v>4.5477005998207108E-2</v>
      </c>
      <c r="D146" s="33">
        <f>BNP!D144</f>
        <v>6.8504254545252885E-2</v>
      </c>
      <c r="E146" s="33">
        <f>CAPGEMINI!D144</f>
        <v>-7.9551354785263914E-2</v>
      </c>
      <c r="F146" s="33">
        <f>DANONE!D144</f>
        <v>-5.0485897777230886E-2</v>
      </c>
      <c r="G146" s="33">
        <f>ENGIE!D144</f>
        <v>0.18724557799470626</v>
      </c>
      <c r="H146" s="33">
        <f>'HERMES INTL'!D144</f>
        <v>-6.0281805864236121E-2</v>
      </c>
      <c r="I146" s="33">
        <f>'PERNOD RICARD'!D144</f>
        <v>-7.6650513311040891E-2</v>
      </c>
      <c r="J146" s="33">
        <f>RENAULT!D144</f>
        <v>8.3775009817087562E-2</v>
      </c>
      <c r="K146" s="33">
        <f>SANOFI!D144</f>
        <v>-1.2424214485944185E-2</v>
      </c>
      <c r="L146" s="33">
        <f>'SCHNEIDER ELECTRIC'!D144</f>
        <v>-6.2890378254333815E-2</v>
      </c>
      <c r="M146" s="33">
        <f>TOTALENERGIES!D144</f>
        <v>0.17713065919768908</v>
      </c>
      <c r="N146" s="33">
        <f>VINCI!D144</f>
        <v>-1.0374363075990843E-2</v>
      </c>
      <c r="O146" s="34"/>
      <c r="P146" s="34">
        <f t="shared" si="4"/>
        <v>1.745616499990852E-2</v>
      </c>
    </row>
    <row r="147" spans="2:16" x14ac:dyDescent="0.2">
      <c r="B147" s="16">
        <v>44742</v>
      </c>
      <c r="C147" s="33">
        <f>AIRBUS!D145</f>
        <v>-0.15011959505144506</v>
      </c>
      <c r="D147" s="33">
        <f>BNP!D145</f>
        <v>-8.3183317205570984E-2</v>
      </c>
      <c r="E147" s="33">
        <f>CAPGEMINI!D145</f>
        <v>-9.4459781733817846E-2</v>
      </c>
      <c r="F147" s="33">
        <f>DANONE!D145</f>
        <v>8.1343576569043782E-3</v>
      </c>
      <c r="G147" s="33">
        <f>ENGIE!D145</f>
        <v>-0.12243927902490261</v>
      </c>
      <c r="H147" s="33">
        <f>'HERMES INTL'!D145</f>
        <v>-3.8739009050717782E-2</v>
      </c>
      <c r="I147" s="33">
        <f>'PERNOD RICARD'!D145</f>
        <v>-3.9452045393370126E-2</v>
      </c>
      <c r="J147" s="33">
        <f>RENAULT!D145</f>
        <v>-6.8884386020067315E-2</v>
      </c>
      <c r="K147" s="33">
        <f>SANOFI!D145</f>
        <v>2.9854292560239082E-3</v>
      </c>
      <c r="L147" s="33">
        <f>'SCHNEIDER ELECTRIC'!D145</f>
        <v>-0.10473362256941932</v>
      </c>
      <c r="M147" s="33">
        <f>TOTALENERGIES!D145</f>
        <v>-9.3901856403292822E-2</v>
      </c>
      <c r="N147" s="33">
        <f>VINCI!D145</f>
        <v>-5.263157894736737E-2</v>
      </c>
      <c r="O147" s="34"/>
      <c r="P147" s="34">
        <f t="shared" si="4"/>
        <v>-6.9785390373920245E-2</v>
      </c>
    </row>
    <row r="148" spans="2:16" x14ac:dyDescent="0.2">
      <c r="B148" s="16">
        <v>44773</v>
      </c>
      <c r="C148" s="33">
        <f>AIRBUS!D146</f>
        <v>0.13445118035677431</v>
      </c>
      <c r="D148" s="33">
        <f>BNP!D146</f>
        <v>1.3997533414707346E-2</v>
      </c>
      <c r="E148" s="33">
        <f>CAPGEMINI!D146</f>
        <v>0.14926700525604975</v>
      </c>
      <c r="F148" s="33">
        <f>DANONE!D146</f>
        <v>1.0326734139717408E-2</v>
      </c>
      <c r="G148" s="33">
        <f>ENGIE!D146</f>
        <v>9.9763080862166051E-2</v>
      </c>
      <c r="H148" s="33">
        <f>'HERMES INTL'!D146</f>
        <v>0.25023433906497428</v>
      </c>
      <c r="I148" s="33">
        <f>'PERNOD RICARD'!D146</f>
        <v>9.2412763737028267E-2</v>
      </c>
      <c r="J148" s="33">
        <f>RENAULT!D146</f>
        <v>0.2082807269434388</v>
      </c>
      <c r="K148" s="33">
        <f>SANOFI!D146</f>
        <v>9.0306574460104101E-3</v>
      </c>
      <c r="L148" s="33">
        <f>'SCHNEIDER ELECTRIC'!D146</f>
        <v>0.19167395423849026</v>
      </c>
      <c r="M148" s="33">
        <f>TOTALENERGIES!D146</f>
        <v>1.0376105004547445E-3</v>
      </c>
      <c r="N148" s="33">
        <f>VINCI!D146</f>
        <v>9.9105263598723667E-2</v>
      </c>
      <c r="O148" s="34"/>
      <c r="P148" s="34">
        <f t="shared" si="4"/>
        <v>0.10496507079654462</v>
      </c>
    </row>
    <row r="149" spans="2:16" x14ac:dyDescent="0.2">
      <c r="B149" s="16">
        <v>44804</v>
      </c>
      <c r="C149" s="33">
        <f>AIRBUS!D147</f>
        <v>-6.6647632248909197E-2</v>
      </c>
      <c r="D149" s="33">
        <f>BNP!D147</f>
        <v>1.0543350384563516E-2</v>
      </c>
      <c r="E149" s="33">
        <f>CAPGEMINI!D147</f>
        <v>-6.6630647816587188E-2</v>
      </c>
      <c r="F149" s="33">
        <f>DANONE!D147</f>
        <v>-2.4159066716027182E-2</v>
      </c>
      <c r="G149" s="33">
        <f>ENGIE!D147</f>
        <v>-1.5920483945929455E-2</v>
      </c>
      <c r="H149" s="33">
        <f>'HERMES INTL'!D147</f>
        <v>-3.8605531803607894E-2</v>
      </c>
      <c r="I149" s="33">
        <f>'PERNOD RICARD'!D147</f>
        <v>-3.2964657869657743E-2</v>
      </c>
      <c r="J149" s="33">
        <f>RENAULT!D147</f>
        <v>-4.6964454966455672E-3</v>
      </c>
      <c r="K149" s="33">
        <f>SANOFI!D147</f>
        <v>-0.15461382088450545</v>
      </c>
      <c r="L149" s="33">
        <f>'SCHNEIDER ELECTRIC'!D147</f>
        <v>-0.11713984588515453</v>
      </c>
      <c r="M149" s="33">
        <f>TOTALENERGIES!D147</f>
        <v>1.8689742935055178E-2</v>
      </c>
      <c r="N149" s="33">
        <f>VINCI!D147</f>
        <v>-1.210094307823676E-2</v>
      </c>
      <c r="O149" s="34"/>
      <c r="P149" s="34">
        <f t="shared" si="4"/>
        <v>-4.2020498535470192E-2</v>
      </c>
    </row>
    <row r="150" spans="2:16" x14ac:dyDescent="0.2">
      <c r="B150" s="16">
        <v>44834</v>
      </c>
      <c r="C150" s="33">
        <f>AIRBUS!D148</f>
        <v>-9.1939954653836406E-2</v>
      </c>
      <c r="D150" s="33">
        <f>BNP!D148</f>
        <v>-6.1955505142945601E-2</v>
      </c>
      <c r="E150" s="33">
        <f>CAPGEMINI!D148</f>
        <v>-4.335265555981508E-2</v>
      </c>
      <c r="F150" s="33">
        <f>DANONE!D148</f>
        <v>-7.5033402483176692E-2</v>
      </c>
      <c r="G150" s="33">
        <f>ENGIE!D148</f>
        <v>-2.19080998409094E-3</v>
      </c>
      <c r="H150" s="33">
        <f>'HERMES INTL'!D148</f>
        <v>-5.1072211912664811E-2</v>
      </c>
      <c r="I150" s="33">
        <f>'PERNOD RICARD'!D148</f>
        <v>2.8875027914587455E-2</v>
      </c>
      <c r="J150" s="33">
        <f>RENAULT!D148</f>
        <v>-2.2369867436225283E-2</v>
      </c>
      <c r="K150" s="33">
        <f>SANOFI!D148</f>
        <v>-4.599646618428526E-2</v>
      </c>
      <c r="L150" s="33">
        <f>'SCHNEIDER ELECTRIC'!D148</f>
        <v>-1.549076266534239E-2</v>
      </c>
      <c r="M150" s="33">
        <f>TOTALENERGIES!D148</f>
        <v>-4.7642484613094116E-2</v>
      </c>
      <c r="N150" s="33">
        <f>VINCI!D148</f>
        <v>-9.8428156034839218E-2</v>
      </c>
      <c r="O150" s="34"/>
      <c r="P150" s="34">
        <f t="shared" si="4"/>
        <v>-4.3883104062977359E-2</v>
      </c>
    </row>
    <row r="151" spans="2:16" x14ac:dyDescent="0.2">
      <c r="B151" s="16">
        <v>44865</v>
      </c>
      <c r="C151" s="33">
        <f>AIRBUS!D149</f>
        <v>0.23275962307509923</v>
      </c>
      <c r="D151" s="33">
        <f>BNP!D149</f>
        <v>8.9210074485644469E-2</v>
      </c>
      <c r="E151" s="33">
        <f>CAPGEMINI!D149</f>
        <v>4.5317182095981874E-3</v>
      </c>
      <c r="F151" s="33">
        <f>DANONE!D149</f>
        <v>3.6442294099547821E-2</v>
      </c>
      <c r="G151" s="33">
        <f>ENGIE!D149</f>
        <v>0.11079218131842246</v>
      </c>
      <c r="H151" s="33">
        <f>'HERMES INTL'!D149</f>
        <v>7.6828306716775305E-2</v>
      </c>
      <c r="I151" s="33">
        <f>'PERNOD RICARD'!D149</f>
        <v>-5.9041482121532159E-2</v>
      </c>
      <c r="J151" s="33">
        <f>RENAULT!D149</f>
        <v>0.11440834390495985</v>
      </c>
      <c r="K151" s="33">
        <f>SANOFI!D149</f>
        <v>0.11390297259887526</v>
      </c>
      <c r="L151" s="33">
        <f>'SCHNEIDER ELECTRIC'!D149</f>
        <v>9.6801672940615147E-2</v>
      </c>
      <c r="M151" s="33">
        <f>TOTALENERGIES!D149</f>
        <v>0.15772330485424926</v>
      </c>
      <c r="N151" s="33">
        <f>VINCI!D149</f>
        <v>0.12035595186917947</v>
      </c>
      <c r="O151" s="34"/>
      <c r="P151" s="34">
        <f t="shared" si="4"/>
        <v>9.1226246829286192E-2</v>
      </c>
    </row>
    <row r="152" spans="2:16" x14ac:dyDescent="0.2">
      <c r="B152" s="16">
        <v>44895</v>
      </c>
      <c r="C152" s="33">
        <f>AIRBUS!D150</f>
        <v>-3.4677399035008055E-3</v>
      </c>
      <c r="D152" s="33">
        <f>BNP!D150</f>
        <v>0.12496051353298238</v>
      </c>
      <c r="E152" s="33">
        <f>CAPGEMINI!D150</f>
        <v>2.8571339471936547E-2</v>
      </c>
      <c r="F152" s="33">
        <f>DANONE!D150</f>
        <v>-5.1648430631176826E-3</v>
      </c>
      <c r="G152" s="33">
        <f>ENGIE!D150</f>
        <v>0.10384684802808125</v>
      </c>
      <c r="H152" s="33">
        <f>'HERMES INTL'!D150</f>
        <v>0.17703182978550469</v>
      </c>
      <c r="I152" s="33">
        <f>'PERNOD RICARD'!D150</f>
        <v>6.3308699434757518E-2</v>
      </c>
      <c r="J152" s="33">
        <f>RENAULT!D150</f>
        <v>0.11677889347344601</v>
      </c>
      <c r="K152" s="33">
        <f>SANOFI!D150</f>
        <v>-9.7332548933828731E-3</v>
      </c>
      <c r="L152" s="33">
        <f>'SCHNEIDER ELECTRIC'!D150</f>
        <v>8.3112516031861275E-2</v>
      </c>
      <c r="M152" s="33">
        <f>TOTALENERGIES!D150</f>
        <v>9.4555447019623498E-2</v>
      </c>
      <c r="N152" s="33">
        <f>VINCI!D150</f>
        <v>3.6917744282881138E-2</v>
      </c>
      <c r="O152" s="34"/>
      <c r="P152" s="34">
        <f t="shared" si="4"/>
        <v>6.7559832766756089E-2</v>
      </c>
    </row>
    <row r="153" spans="2:16" x14ac:dyDescent="0.2">
      <c r="B153" s="16">
        <v>44926</v>
      </c>
      <c r="C153" s="33">
        <f>AIRBUS!D151</f>
        <v>1.666659909426502E-2</v>
      </c>
      <c r="D153" s="33">
        <f>BNP!D151</f>
        <v>-3.3689124168884642E-3</v>
      </c>
      <c r="E153" s="33">
        <f>CAPGEMINI!D151</f>
        <v>-8.8011616563950443E-2</v>
      </c>
      <c r="F153" s="33">
        <f>DANONE!D151</f>
        <v>-1.6972877184826693E-2</v>
      </c>
      <c r="G153" s="33">
        <f>ENGIE!D151</f>
        <v>-7.7961624148680769E-2</v>
      </c>
      <c r="H153" s="33">
        <f>'HERMES INTL'!D151</f>
        <v>-6.3209265135268936E-2</v>
      </c>
      <c r="I153" s="33">
        <f>'PERNOD RICARD'!D151</f>
        <v>-1.4284562874592338E-2</v>
      </c>
      <c r="J153" s="33">
        <f>RENAULT!D151</f>
        <v>-0.10155120453571499</v>
      </c>
      <c r="K153" s="33">
        <f>SANOFI!D151</f>
        <v>3.8852862509924334E-2</v>
      </c>
      <c r="L153" s="33">
        <f>'SCHNEIDER ELECTRIC'!D151</f>
        <v>-5.9026786819355415E-2</v>
      </c>
      <c r="M153" s="33">
        <f>TOTALENERGIES!D151</f>
        <v>-2.7524415224799034E-2</v>
      </c>
      <c r="N153" s="33">
        <f>VINCI!D151</f>
        <v>-2.420863183996487E-2</v>
      </c>
      <c r="O153" s="34"/>
      <c r="P153" s="34">
        <f t="shared" si="4"/>
        <v>-3.5050036261654378E-2</v>
      </c>
    </row>
    <row r="154" spans="2:16" x14ac:dyDescent="0.2">
      <c r="B154" s="16">
        <v>44957</v>
      </c>
      <c r="C154" s="33">
        <f>AIRBUS!D152</f>
        <v>3.4408226517964401E-2</v>
      </c>
      <c r="D154" s="33">
        <f>BNP!D152</f>
        <v>0.18122062760957652</v>
      </c>
      <c r="E154" s="33">
        <f>CAPGEMINI!D152</f>
        <v>0.11510091050398734</v>
      </c>
      <c r="F154" s="33">
        <f>DANONE!D152</f>
        <v>2.1937901209794469E-2</v>
      </c>
      <c r="G154" s="33">
        <f>ENGIE!D152</f>
        <v>-2.7487221737612495E-2</v>
      </c>
      <c r="H154" s="33">
        <f>'HERMES INTL'!D152</f>
        <v>0.18650521677537421</v>
      </c>
      <c r="I154" s="33">
        <f>'PERNOD RICARD'!D152</f>
        <v>3.3469383666951749E-2</v>
      </c>
      <c r="J154" s="33">
        <f>RENAULT!D152</f>
        <v>0.19072740511361369</v>
      </c>
      <c r="K154" s="33">
        <f>SANOFI!D152</f>
        <v>-1.8922262491071829E-3</v>
      </c>
      <c r="L154" s="33">
        <f>'SCHNEIDER ELECTRIC'!D152</f>
        <v>0.13463900278314864</v>
      </c>
      <c r="M154" s="33">
        <f>TOTALENERGIES!D152</f>
        <v>-1.1654006047598121E-2</v>
      </c>
      <c r="N154" s="33">
        <f>VINCI!D152</f>
        <v>0.11094451945620003</v>
      </c>
      <c r="O154" s="34"/>
      <c r="P154" s="34">
        <f t="shared" si="4"/>
        <v>8.0659978300191101E-2</v>
      </c>
    </row>
    <row r="155" spans="2:16" x14ac:dyDescent="0.2">
      <c r="B155" s="16">
        <v>44985</v>
      </c>
      <c r="C155" s="33">
        <f>AIRBUS!D153</f>
        <v>7.9937320994738631E-2</v>
      </c>
      <c r="D155" s="33">
        <f>BNP!D153</f>
        <v>5.1669357386091685E-2</v>
      </c>
      <c r="E155" s="33">
        <f>CAPGEMINI!D153</f>
        <v>2.2714322714323373E-2</v>
      </c>
      <c r="F155" s="33">
        <f>DANONE!D153</f>
        <v>5.8238914083152495E-2</v>
      </c>
      <c r="G155" s="33">
        <f>ENGIE!D153</f>
        <v>6.2672818751231915E-2</v>
      </c>
      <c r="H155" s="33">
        <f>'HERMES INTL'!D153</f>
        <v>5.8327992887987744E-4</v>
      </c>
      <c r="I155" s="33">
        <f>'PERNOD RICARD'!D153</f>
        <v>4.1074337153791794E-2</v>
      </c>
      <c r="J155" s="33">
        <f>RENAULT!D153</f>
        <v>0.14044049518399951</v>
      </c>
      <c r="K155" s="33">
        <f>SANOFI!D153</f>
        <v>-8.6985346457190606E-3</v>
      </c>
      <c r="L155" s="33">
        <f>'SCHNEIDER ELECTRIC'!D153</f>
        <v>2.5620093626332077E-2</v>
      </c>
      <c r="M155" s="33">
        <f>TOTALENERGIES!D153</f>
        <v>4.014159730793343E-2</v>
      </c>
      <c r="N155" s="33">
        <f>VINCI!D153</f>
        <v>4.0524712232412947E-2</v>
      </c>
      <c r="O155" s="34"/>
      <c r="P155" s="34">
        <f t="shared" si="4"/>
        <v>4.6243226226430713E-2</v>
      </c>
    </row>
    <row r="156" spans="2:16" x14ac:dyDescent="0.2">
      <c r="B156" s="16">
        <v>45016</v>
      </c>
      <c r="C156" s="33">
        <f>AIRBUS!D154</f>
        <v>-5.9667991042690587E-3</v>
      </c>
      <c r="D156" s="33">
        <f>BNP!D154</f>
        <v>-0.16538174141923426</v>
      </c>
      <c r="E156" s="33">
        <f>CAPGEMINI!D154</f>
        <v>-3.9921343751602674E-2</v>
      </c>
      <c r="F156" s="33">
        <f>DANONE!D154</f>
        <v>7.6446218622729406E-2</v>
      </c>
      <c r="G156" s="33">
        <f>ENGIE!D154</f>
        <v>5.3339187217541786E-2</v>
      </c>
      <c r="H156" s="33">
        <f>'HERMES INTL'!D154</f>
        <v>8.8744933225082701E-2</v>
      </c>
      <c r="I156" s="33">
        <f>'PERNOD RICARD'!D154</f>
        <v>5.563984642812448E-2</v>
      </c>
      <c r="J156" s="33">
        <f>RENAULT!D154</f>
        <v>-0.11466940355848716</v>
      </c>
      <c r="K156" s="33">
        <f>SANOFI!D154</f>
        <v>0.12768593857160188</v>
      </c>
      <c r="L156" s="33">
        <f>'SCHNEIDER ELECTRIC'!D154</f>
        <v>1.0255124654677249E-2</v>
      </c>
      <c r="M156" s="33">
        <f>TOTALENERGIES!D154</f>
        <v>-7.1879811603573165E-2</v>
      </c>
      <c r="N156" s="33">
        <f>VINCI!D154</f>
        <v>-1.9658699364837776E-2</v>
      </c>
      <c r="O156" s="34"/>
      <c r="P156" s="34">
        <f t="shared" si="4"/>
        <v>-4.4721250685388216E-4</v>
      </c>
    </row>
    <row r="157" spans="2:16" x14ac:dyDescent="0.2">
      <c r="B157" s="16">
        <v>45046</v>
      </c>
      <c r="C157" s="33">
        <f>AIRBUS!D155</f>
        <v>3.1310839745856765E-2</v>
      </c>
      <c r="D157" s="33">
        <f>BNP!D155</f>
        <v>6.1220862810101029E-2</v>
      </c>
      <c r="E157" s="33">
        <f>CAPGEMINI!D155</f>
        <v>-3.4260719598553389E-2</v>
      </c>
      <c r="F157" s="33">
        <f>DANONE!D155</f>
        <v>4.6763181965669982E-2</v>
      </c>
      <c r="G157" s="33">
        <f>ENGIE!D155</f>
        <v>-3.9798238364777208E-3</v>
      </c>
      <c r="H157" s="33">
        <f>'HERMES INTL'!D155</f>
        <v>5.5150328811920078E-2</v>
      </c>
      <c r="I157" s="33">
        <f>'PERNOD RICARD'!D155</f>
        <v>3.3540224980948305E-3</v>
      </c>
      <c r="J157" s="33">
        <f>RENAULT!D155</f>
        <v>-0.10558495305459287</v>
      </c>
      <c r="K157" s="33">
        <f>SANOFI!D155</f>
        <v>-2.3942198752014594E-3</v>
      </c>
      <c r="L157" s="33">
        <f>'SCHNEIDER ELECTRIC'!D155</f>
        <v>2.6939237549630502E-2</v>
      </c>
      <c r="M157" s="33">
        <f>TOTALENERGIES!D155</f>
        <v>7.934662621288377E-2</v>
      </c>
      <c r="N157" s="33">
        <f>VINCI!D155</f>
        <v>6.1293832726177867E-2</v>
      </c>
      <c r="O157" s="34"/>
      <c r="P157" s="34">
        <f t="shared" si="4"/>
        <v>1.8263267996292448E-2</v>
      </c>
    </row>
    <row r="158" spans="2:16" x14ac:dyDescent="0.2">
      <c r="B158" s="16">
        <v>45077</v>
      </c>
      <c r="C158" s="33">
        <f>AIRBUS!D156</f>
        <v>-2.2459622254650428E-2</v>
      </c>
      <c r="D158" s="33">
        <f>BNP!D156</f>
        <v>-7.8170373838603632E-2</v>
      </c>
      <c r="E158" s="33">
        <f>CAPGEMINI!D156</f>
        <v>-1.2734922861149679E-2</v>
      </c>
      <c r="F158" s="33">
        <f>DANONE!D156</f>
        <v>-7.7512851681556347E-2</v>
      </c>
      <c r="G158" s="33">
        <f>ENGIE!D156</f>
        <v>6.402591238241763E-2</v>
      </c>
      <c r="H158" s="33">
        <f>'HERMES INTL'!D156</f>
        <v>-2.8465935355551569E-2</v>
      </c>
      <c r="I158" s="33">
        <f>'PERNOD RICARD'!D156</f>
        <v>-3.4861367282018788E-2</v>
      </c>
      <c r="J158" s="33">
        <f>RENAULT!D156</f>
        <v>-6.9729507728199608E-2</v>
      </c>
      <c r="K158" s="33">
        <f>SANOFI!D156</f>
        <v>-5.1199961446331037E-2</v>
      </c>
      <c r="L158" s="33">
        <f>'SCHNEIDER ELECTRIC'!D156</f>
        <v>2.2303769247216252E-2</v>
      </c>
      <c r="M158" s="33">
        <f>TOTALENERGIES!D156</f>
        <v>-8.3879917029438547E-2</v>
      </c>
      <c r="N158" s="33">
        <f>VINCI!D156</f>
        <v>-2.6103721044176395E-2</v>
      </c>
      <c r="O158" s="34"/>
      <c r="P158" s="34">
        <f t="shared" si="4"/>
        <v>-3.3232374907670177E-2</v>
      </c>
    </row>
    <row r="159" spans="2:16" x14ac:dyDescent="0.2">
      <c r="B159" s="16">
        <v>45107</v>
      </c>
      <c r="C159" s="33">
        <f>AIRBUS!D157</f>
        <v>8.0137068237935802E-2</v>
      </c>
      <c r="D159" s="33">
        <f>BNP!D157</f>
        <v>0.14318422410971646</v>
      </c>
      <c r="E159" s="33">
        <f>CAPGEMINI!D157</f>
        <v>8.8493080231811364E-2</v>
      </c>
      <c r="F159" s="33">
        <f>DANONE!D157</f>
        <v>4.9150163857953337E-2</v>
      </c>
      <c r="G159" s="33">
        <f>ENGIE!D157</f>
        <v>8.4460838143775266E-2</v>
      </c>
      <c r="H159" s="33">
        <f>'HERMES INTL'!D157</f>
        <v>4.6377100957943625E-2</v>
      </c>
      <c r="I159" s="33">
        <f>'PERNOD RICARD'!D157</f>
        <v>1.484286055837659E-3</v>
      </c>
      <c r="J159" s="33">
        <f>RENAULT!D157</f>
        <v>0.24270161727274003</v>
      </c>
      <c r="K159" s="33">
        <f>SANOFI!D157</f>
        <v>7.3617897450145006E-2</v>
      </c>
      <c r="L159" s="33">
        <f>'SCHNEIDER ELECTRIC'!D157</f>
        <v>5.2614248542550091E-2</v>
      </c>
      <c r="M159" s="33">
        <f>TOTALENERGIES!D157</f>
        <v>-9.9849210773715318E-3</v>
      </c>
      <c r="N159" s="33">
        <f>VINCI!D157</f>
        <v>5.6430752174540686E-4</v>
      </c>
      <c r="O159" s="34"/>
      <c r="P159" s="34">
        <f t="shared" si="4"/>
        <v>7.1066659275398555E-2</v>
      </c>
    </row>
    <row r="160" spans="2:16" x14ac:dyDescent="0.2">
      <c r="B160" s="16">
        <v>45138</v>
      </c>
      <c r="C160" s="33">
        <f>AIRBUS!D158</f>
        <v>1.223932945787504E-2</v>
      </c>
      <c r="D160" s="33">
        <f>BNP!D158</f>
        <v>3.9847542537555861E-2</v>
      </c>
      <c r="E160" s="33">
        <f>CAPGEMINI!D158</f>
        <v>-5.0129657330346168E-2</v>
      </c>
      <c r="F160" s="33">
        <f>DANONE!D158</f>
        <v>-1.0865720777713257E-2</v>
      </c>
      <c r="G160" s="33">
        <f>ENGIE!D158</f>
        <v>-2.0751257650842268E-2</v>
      </c>
      <c r="H160" s="33">
        <f>'HERMES INTL'!D158</f>
        <v>1.3316512150364486E-2</v>
      </c>
      <c r="I160" s="33">
        <f>'PERNOD RICARD'!D158</f>
        <v>-8.893261273308202E-3</v>
      </c>
      <c r="J160" s="33">
        <f>RENAULT!D158</f>
        <v>3.4344192090920288E-2</v>
      </c>
      <c r="K160" s="33">
        <f>SANOFI!D158</f>
        <v>-1.1303498747050259E-2</v>
      </c>
      <c r="L160" s="33">
        <f>'SCHNEIDER ELECTRIC'!D158</f>
        <v>-2.6553054256141715E-2</v>
      </c>
      <c r="M160" s="33">
        <f>TOTALENERGIES!D158</f>
        <v>6.6414653479928518E-2</v>
      </c>
      <c r="N160" s="33">
        <f>VINCI!D158</f>
        <v>3.7601378266909368E-3</v>
      </c>
      <c r="O160" s="34"/>
      <c r="P160" s="34">
        <f t="shared" si="4"/>
        <v>3.4521597923277709E-3</v>
      </c>
    </row>
    <row r="161" spans="2:16" x14ac:dyDescent="0.2">
      <c r="B161" s="16">
        <v>45169</v>
      </c>
      <c r="C161" s="33">
        <f>AIRBUS!D159</f>
        <v>1.0449376008822881E-2</v>
      </c>
      <c r="D161" s="33">
        <f>BNP!D159</f>
        <v>-5.1649794370642044E-3</v>
      </c>
      <c r="E161" s="33">
        <f>CAPGEMINI!D159</f>
        <v>4.5495903266557648E-2</v>
      </c>
      <c r="F161" s="33">
        <f>DANONE!D159</f>
        <v>-3.0614056171971878E-2</v>
      </c>
      <c r="G161" s="33">
        <f>ENGIE!D159</f>
        <v>-1.4753004432307021E-3</v>
      </c>
      <c r="H161" s="33">
        <f>'HERMES INTL'!D159</f>
        <v>-5.73765299556383E-2</v>
      </c>
      <c r="I161" s="33">
        <f>'PERNOD RICARD'!D159</f>
        <v>-8.7504506005810209E-2</v>
      </c>
      <c r="J161" s="33">
        <f>RENAULT!D159</f>
        <v>-6.4403095421041417E-2</v>
      </c>
      <c r="K161" s="33">
        <f>SANOFI!D159</f>
        <v>1.5964617141419665E-2</v>
      </c>
      <c r="L161" s="33">
        <f>'SCHNEIDER ELECTRIC'!D159</f>
        <v>-2.1352724835855354E-2</v>
      </c>
      <c r="M161" s="33">
        <f>TOTALENERGIES!D159</f>
        <v>5.0850473495026825E-2</v>
      </c>
      <c r="N161" s="33">
        <f>VINCI!D159</f>
        <v>-3.5774500742856083E-2</v>
      </c>
      <c r="O161" s="34"/>
      <c r="P161" s="34">
        <f t="shared" si="4"/>
        <v>-1.5075443591803425E-2</v>
      </c>
    </row>
    <row r="162" spans="2:16" x14ac:dyDescent="0.2">
      <c r="B162" s="16">
        <v>45199</v>
      </c>
      <c r="C162" s="33">
        <f>AIRBUS!D160</f>
        <v>-6.2047542521710207E-2</v>
      </c>
      <c r="D162" s="33">
        <f>BNP!D160</f>
        <v>1.2058328575382599E-2</v>
      </c>
      <c r="E162" s="33">
        <f>CAPGEMINI!D160</f>
        <v>-3.8004063505881133E-2</v>
      </c>
      <c r="F162" s="33">
        <f>DANONE!D160</f>
        <v>-2.9165900556956056E-2</v>
      </c>
      <c r="G162" s="33">
        <f>ENGIE!D160</f>
        <v>-2.4177343372310346E-2</v>
      </c>
      <c r="H162" s="33">
        <f>'HERMES INTL'!D160</f>
        <v>-8.9962105489189412E-2</v>
      </c>
      <c r="I162" s="33">
        <f>'PERNOD RICARD'!D160</f>
        <v>-0.12886303936944565</v>
      </c>
      <c r="J162" s="33">
        <f>RENAULT!D160</f>
        <v>4.1248258503334682E-2</v>
      </c>
      <c r="K162" s="33">
        <f>SANOFI!D160</f>
        <v>2.8791656248162666E-2</v>
      </c>
      <c r="L162" s="33">
        <f>'SCHNEIDER ELECTRIC'!D160</f>
        <v>-1.0089590585764818E-2</v>
      </c>
      <c r="M162" s="33">
        <f>TOTALENERGIES!D160</f>
        <v>7.3015436247831758E-2</v>
      </c>
      <c r="N162" s="33">
        <f>VINCI!D160</f>
        <v>2.0007829150537153E-2</v>
      </c>
      <c r="O162" s="34"/>
      <c r="P162" s="34">
        <f t="shared" si="4"/>
        <v>-1.7265673056334065E-2</v>
      </c>
    </row>
    <row r="163" spans="2:16" x14ac:dyDescent="0.2">
      <c r="B163" s="16">
        <v>45230</v>
      </c>
      <c r="C163" s="33">
        <f>AIRBUS!D161</f>
        <v>-5.5127703335112058E-3</v>
      </c>
      <c r="D163" s="33">
        <f>BNP!D161</f>
        <v>-0.10160523610788305</v>
      </c>
      <c r="E163" s="33">
        <f>CAPGEMINI!D161</f>
        <v>4.2219310156974199E-3</v>
      </c>
      <c r="F163" s="33">
        <f>DANONE!D161</f>
        <v>7.4435509803718644E-2</v>
      </c>
      <c r="G163" s="33">
        <f>ENGIE!D161</f>
        <v>3.262225590332065E-2</v>
      </c>
      <c r="H163" s="33">
        <f>'HERMES INTL'!D161</f>
        <v>1.7227374341962934E-2</v>
      </c>
      <c r="I163" s="33">
        <f>'PERNOD RICARD'!D161</f>
        <v>6.1133932924893164E-2</v>
      </c>
      <c r="J163" s="33">
        <f>RENAULT!D161</f>
        <v>-0.14983923819558659</v>
      </c>
      <c r="K163" s="33">
        <f>SANOFI!D161</f>
        <v>-0.15549867305503418</v>
      </c>
      <c r="L163" s="33">
        <f>'SCHNEIDER ELECTRIC'!D161</f>
        <v>-7.6442758164955188E-2</v>
      </c>
      <c r="M163" s="33">
        <f>TOTALENERGIES!D161</f>
        <v>2.6331114380239485E-2</v>
      </c>
      <c r="N163" s="33">
        <f>VINCI!D161</f>
        <v>-5.1419536575791E-3</v>
      </c>
      <c r="O163" s="34"/>
      <c r="P163" s="34">
        <f t="shared" si="4"/>
        <v>-2.3172375928726414E-2</v>
      </c>
    </row>
    <row r="164" spans="2:16" x14ac:dyDescent="0.2">
      <c r="B164" s="16">
        <v>45260</v>
      </c>
      <c r="C164" s="33">
        <f>AIRBUS!D162</f>
        <v>7.8555588063108014E-2</v>
      </c>
      <c r="D164" s="33">
        <f>BNP!D162</f>
        <v>6.4100178944031347E-2</v>
      </c>
      <c r="E164" s="33">
        <f>CAPGEMINI!D162</f>
        <v>0.12912914572764125</v>
      </c>
      <c r="F164" s="33">
        <f>DANONE!D162</f>
        <v>5.022271304267803E-2</v>
      </c>
      <c r="G164" s="33">
        <f>ENGIE!D162</f>
        <v>6.0917052129745491E-2</v>
      </c>
      <c r="H164" s="33">
        <f>'HERMES INTL'!D162</f>
        <v>8.2177716942681889E-2</v>
      </c>
      <c r="I164" s="33">
        <f>'PERNOD RICARD'!D162</f>
        <v>-5.3432816103878379E-2</v>
      </c>
      <c r="J164" s="33">
        <f>RENAULT!D162</f>
        <v>8.8956117910859014E-2</v>
      </c>
      <c r="K164" s="33">
        <f>SANOFI!D162</f>
        <v>-2.8004468866186776E-3</v>
      </c>
      <c r="L164" s="33">
        <f>'SCHNEIDER ELECTRIC'!D162</f>
        <v>0.16305688628223849</v>
      </c>
      <c r="M164" s="33">
        <f>TOTALENERGIES!D162</f>
        <v>-1.4873445896810158E-2</v>
      </c>
      <c r="N164" s="33">
        <f>VINCI!D162</f>
        <v>7.4846884507868486E-2</v>
      </c>
      <c r="O164" s="34"/>
      <c r="P164" s="34">
        <f t="shared" si="4"/>
        <v>6.0071297888628743E-2</v>
      </c>
    </row>
    <row r="165" spans="2:16" x14ac:dyDescent="0.2">
      <c r="B165" s="16">
        <v>45291</v>
      </c>
      <c r="C165" s="33">
        <f>AIRBUS!D163</f>
        <v>2.6284911122603408E-2</v>
      </c>
      <c r="D165" s="33">
        <f>BNP!D163</f>
        <v>8.3434409232861079E-2</v>
      </c>
      <c r="E165" s="33">
        <f>CAPGEMINI!D163</f>
        <v>3.9893278075052675E-3</v>
      </c>
      <c r="F165" s="33">
        <f>DANONE!D163</f>
        <v>-4.917856366777538E-3</v>
      </c>
      <c r="G165" s="33">
        <f>ENGIE!D163</f>
        <v>0</v>
      </c>
      <c r="H165" s="33">
        <f>'HERMES INTL'!D163</f>
        <v>7.667302409509409E-3</v>
      </c>
      <c r="I165" s="33">
        <f>'PERNOD RICARD'!D163</f>
        <v>2.372289251397082E-2</v>
      </c>
      <c r="J165" s="33">
        <f>RENAULT!D163</f>
        <v>2.5423743492359426E-2</v>
      </c>
      <c r="K165" s="33">
        <f>SANOFI!D163</f>
        <v>5.0315943528175741E-2</v>
      </c>
      <c r="L165" s="33">
        <f>'SCHNEIDER ELECTRIC'!D163</f>
        <v>7.8045339895885302E-2</v>
      </c>
      <c r="M165" s="33">
        <f>TOTALENERGIES!D163</f>
        <v>-1.0600700916065263E-2</v>
      </c>
      <c r="N165" s="33">
        <f>VINCI!D163</f>
        <v>2.2491064886124023E-2</v>
      </c>
      <c r="O165" s="34"/>
      <c r="P165" s="34">
        <f t="shared" si="4"/>
        <v>2.5488031467179307E-2</v>
      </c>
    </row>
    <row r="166" spans="2:16" x14ac:dyDescent="0.2">
      <c r="B166" s="16">
        <v>45322</v>
      </c>
      <c r="C166" s="33">
        <f>AIRBUS!D164</f>
        <v>5.7375889375912183E-2</v>
      </c>
      <c r="D166" s="33">
        <f>BNP!D164</f>
        <v>-6.391140062845203E-4</v>
      </c>
      <c r="E166" s="33">
        <f>CAPGEMINI!D164</f>
        <v>9.7748341008277728E-2</v>
      </c>
      <c r="F166" s="33">
        <f>DANONE!D164</f>
        <v>5.2147291364421214E-2</v>
      </c>
      <c r="G166" s="33">
        <f>ENGIE!D164</f>
        <v>-6.9606731879556294E-2</v>
      </c>
      <c r="H166" s="33">
        <f>'HERMES INTL'!D164</f>
        <v>2.03252164655531E-2</v>
      </c>
      <c r="I166" s="33">
        <f>'PERNOD RICARD'!D164</f>
        <v>-4.5383353134435575E-2</v>
      </c>
      <c r="J166" s="33">
        <f>RENAULT!D164</f>
        <v>-4.9722274930081273E-2</v>
      </c>
      <c r="K166" s="33">
        <f>SANOFI!D164</f>
        <v>4.0106851290948431E-2</v>
      </c>
      <c r="L166" s="33">
        <f>'SCHNEIDER ELECTRIC'!D164</f>
        <v>6.1612610764013552E-3</v>
      </c>
      <c r="M166" s="33">
        <f>TOTALENERGIES!D164</f>
        <v>-2.4350748958290702E-2</v>
      </c>
      <c r="N166" s="33">
        <f>VINCI!D164</f>
        <v>2.972726859305154E-2</v>
      </c>
      <c r="O166" s="34"/>
      <c r="P166" s="34">
        <f t="shared" ref="P166:P185" si="5">AVERAGE(C166:N166)</f>
        <v>9.4908246888264335E-3</v>
      </c>
    </row>
    <row r="167" spans="2:16" x14ac:dyDescent="0.2">
      <c r="B167" s="16">
        <v>45351</v>
      </c>
      <c r="C167" s="33">
        <f>AIRBUS!D165</f>
        <v>3.4776729809667707E-2</v>
      </c>
      <c r="D167" s="33">
        <f>BNP!D165</f>
        <v>-0.11462823541227979</v>
      </c>
      <c r="E167" s="33">
        <f>CAPGEMINI!D165</f>
        <v>8.4459459718174396E-2</v>
      </c>
      <c r="F167" s="33">
        <f>DANONE!D165</f>
        <v>-4.4055730075533102E-2</v>
      </c>
      <c r="G167" s="33">
        <f>ENGIE!D165</f>
        <v>1.7556286104902015E-3</v>
      </c>
      <c r="H167" s="33">
        <f>'HERMES INTL'!D165</f>
        <v>0.18142815609456026</v>
      </c>
      <c r="I167" s="33">
        <f>'PERNOD RICARD'!D165</f>
        <v>1.344267853485653E-2</v>
      </c>
      <c r="J167" s="33">
        <f>RENAULT!D165</f>
        <v>9.8659831759659186E-2</v>
      </c>
      <c r="K167" s="33">
        <f>SANOFI!D165</f>
        <v>-5.8590335772286943E-2</v>
      </c>
      <c r="L167" s="33">
        <f>'SCHNEIDER ELECTRIC'!D165</f>
        <v>0.14707493433901131</v>
      </c>
      <c r="M167" s="33">
        <f>TOTALENERGIES!D165</f>
        <v>-6.5346525537801703E-3</v>
      </c>
      <c r="N167" s="33">
        <f>VINCI!D165</f>
        <v>1.1274364878056919E-2</v>
      </c>
      <c r="O167" s="34"/>
      <c r="P167" s="34">
        <f t="shared" si="5"/>
        <v>2.9088569160883041E-2</v>
      </c>
    </row>
    <row r="168" spans="2:16" x14ac:dyDescent="0.2">
      <c r="B168" s="16">
        <v>45382</v>
      </c>
      <c r="C168" s="33">
        <f>AIRBUS!D166</f>
        <v>0.11625476870614229</v>
      </c>
      <c r="D168" s="33">
        <f>BNP!D166</f>
        <v>0.18923794109267819</v>
      </c>
      <c r="E168" s="33">
        <f>CAPGEMINI!D166</f>
        <v>-5.0734278664697277E-2</v>
      </c>
      <c r="F168" s="33">
        <f>DANONE!D166</f>
        <v>1.4740726649130122E-2</v>
      </c>
      <c r="G168" s="33">
        <f>ENGIE!D166</f>
        <v>4.5429968681368414E-2</v>
      </c>
      <c r="H168" s="33">
        <f>'HERMES INTL'!D166</f>
        <v>2.4554635841769191E-2</v>
      </c>
      <c r="I168" s="33">
        <f>'PERNOD RICARD'!D166</f>
        <v>-2.9763959631527316E-2</v>
      </c>
      <c r="J168" s="33">
        <f>RENAULT!D166</f>
        <v>0.21450811583444862</v>
      </c>
      <c r="K168" s="33">
        <f>SANOFI!D166</f>
        <v>3.4929955458295088E-2</v>
      </c>
      <c r="L168" s="33">
        <f>'SCHNEIDER ELECTRIC'!D166</f>
        <v>-7.149863160726801E-4</v>
      </c>
      <c r="M168" s="33">
        <f>TOTALENERGIES!D166</f>
        <v>7.594517014424175E-2</v>
      </c>
      <c r="N168" s="33">
        <f>VINCI!D166</f>
        <v>3.0404957362224361E-3</v>
      </c>
      <c r="O168" s="34"/>
      <c r="P168" s="34">
        <f t="shared" si="5"/>
        <v>5.3119046127666568E-2</v>
      </c>
    </row>
    <row r="169" spans="2:16" x14ac:dyDescent="0.2">
      <c r="B169" s="16">
        <v>45412</v>
      </c>
      <c r="C169" s="33">
        <f>AIRBUS!D167</f>
        <v>-9.3955124378665739E-2</v>
      </c>
      <c r="D169" s="33">
        <f>BNP!D167</f>
        <v>2.6571563074224865E-2</v>
      </c>
      <c r="E169" s="33">
        <f>CAPGEMINI!D167</f>
        <v>-7.2198832256466589E-2</v>
      </c>
      <c r="F169" s="33">
        <f>DANONE!D167</f>
        <v>-2.0537624314787367E-2</v>
      </c>
      <c r="G169" s="33">
        <f>ENGIE!D167</f>
        <v>4.9000609724001623E-2</v>
      </c>
      <c r="H169" s="33">
        <f>'HERMES INTL'!D167</f>
        <v>-4.8605240467976381E-2</v>
      </c>
      <c r="I169" s="33">
        <f>'PERNOD RICARD'!D167</f>
        <v>-5.3017511467835149E-2</v>
      </c>
      <c r="J169" s="33">
        <f>RENAULT!D167</f>
        <v>-1.1752278696940607E-3</v>
      </c>
      <c r="K169" s="33">
        <f>SANOFI!D167</f>
        <v>2.3307012442712185E-2</v>
      </c>
      <c r="L169" s="33">
        <f>'SCHNEIDER ELECTRIC'!D167</f>
        <v>2.5995771531558912E-2</v>
      </c>
      <c r="M169" s="33">
        <f>TOTALENERGIES!D167</f>
        <v>9.324958866750388E-2</v>
      </c>
      <c r="N169" s="33">
        <f>VINCI!D167</f>
        <v>-7.1657073258681009E-2</v>
      </c>
      <c r="O169" s="34"/>
      <c r="P169" s="34">
        <f t="shared" si="5"/>
        <v>-1.1918507381175404E-2</v>
      </c>
    </row>
    <row r="170" spans="2:16" x14ac:dyDescent="0.2">
      <c r="B170" s="16">
        <v>45443</v>
      </c>
      <c r="C170" s="33">
        <f>AIRBUS!D168</f>
        <v>2.5437559206072644E-2</v>
      </c>
      <c r="D170" s="33">
        <f>BNP!D168</f>
        <v>1.3310531186487052E-3</v>
      </c>
      <c r="E170" s="33">
        <f>CAPGEMINI!D168</f>
        <v>-6.2152574855733819E-2</v>
      </c>
      <c r="F170" s="33">
        <f>DANONE!D168</f>
        <v>7.8418168975928106E-3</v>
      </c>
      <c r="G170" s="33">
        <f>ENGIE!D168</f>
        <v>-4.5175172218202241E-2</v>
      </c>
      <c r="H170" s="33">
        <f>'HERMES INTL'!D168</f>
        <v>-3.3318505534973689E-2</v>
      </c>
      <c r="I170" s="33">
        <f>'PERNOD RICARD'!D168</f>
        <v>-3.556345966904477E-2</v>
      </c>
      <c r="J170" s="33">
        <f>RENAULT!D168</f>
        <v>0.1463414504027008</v>
      </c>
      <c r="K170" s="33">
        <f>SANOFI!D168</f>
        <v>-3.5668212458253787E-2</v>
      </c>
      <c r="L170" s="33">
        <f>'SCHNEIDER ELECTRIC'!D168</f>
        <v>5.7415072483528916E-2</v>
      </c>
      <c r="M170" s="33">
        <f>TOTALENERGIES!D168</f>
        <v>-2.3035326514646067E-2</v>
      </c>
      <c r="N170" s="33">
        <f>VINCI!D168</f>
        <v>7.0624166736017124E-2</v>
      </c>
      <c r="O170" s="34"/>
      <c r="P170" s="34">
        <f t="shared" si="5"/>
        <v>6.1731556328088874E-3</v>
      </c>
    </row>
    <row r="171" spans="2:16" x14ac:dyDescent="0.2">
      <c r="B171" s="16">
        <v>45473</v>
      </c>
      <c r="C171" s="33">
        <f>AIRBUS!D169</f>
        <v>-0.1772930949332221</v>
      </c>
      <c r="D171" s="33">
        <f>BNP!D169</f>
        <v>-6.1457217488641878E-2</v>
      </c>
      <c r="E171" s="33">
        <f>CAPGEMINI!D169</f>
        <v>1.699659727799514E-2</v>
      </c>
      <c r="F171" s="33">
        <f>DANONE!D169</f>
        <v>8.4147456013832932E-4</v>
      </c>
      <c r="G171" s="33">
        <f>ENGIE!D169</f>
        <v>-5.8900782522118646E-2</v>
      </c>
      <c r="H171" s="33">
        <f>'HERMES INTL'!D169</f>
        <v>-7.0602284025898417E-3</v>
      </c>
      <c r="I171" s="33">
        <f>'PERNOD RICARD'!D169</f>
        <v>-7.4844785556482746E-2</v>
      </c>
      <c r="J171" s="33">
        <f>RENAULT!D169</f>
        <v>-7.2295975721211519E-2</v>
      </c>
      <c r="K171" s="33">
        <f>SANOFI!D169</f>
        <v>4.3603401000209936E-2</v>
      </c>
      <c r="L171" s="33">
        <f>'SCHNEIDER ELECTRIC'!D169</f>
        <v>8.9149107739623689E-4</v>
      </c>
      <c r="M171" s="33">
        <f>TOTALENERGIES!D169</f>
        <v>-6.9840374393949578E-2</v>
      </c>
      <c r="N171" s="33">
        <f>VINCI!D169</f>
        <v>-0.14041078752147665</v>
      </c>
      <c r="O171" s="34"/>
      <c r="P171" s="34">
        <f t="shared" si="5"/>
        <v>-4.9980856885329446E-2</v>
      </c>
    </row>
    <row r="172" spans="2:16" x14ac:dyDescent="0.2">
      <c r="B172" s="16">
        <v>45504</v>
      </c>
      <c r="C172" s="33">
        <f>AIRBUS!D170</f>
        <v>9.1221002782738897E-2</v>
      </c>
      <c r="D172" s="33">
        <f>BNP!D170</f>
        <v>6.601715756798196E-2</v>
      </c>
      <c r="E172" s="33">
        <f>CAPGEMINI!D170</f>
        <v>-1.1308501900274935E-2</v>
      </c>
      <c r="F172" s="33">
        <f>DANONE!D170</f>
        <v>5.3959315783767378E-2</v>
      </c>
      <c r="G172" s="33">
        <f>ENGIE!D170</f>
        <v>9.036369562639876E-2</v>
      </c>
      <c r="H172" s="33">
        <f>'HERMES INTL'!D170</f>
        <v>-5.467294190885838E-2</v>
      </c>
      <c r="I172" s="33">
        <f>'PERNOD RICARD'!D170</f>
        <v>-2.1310229105535497E-2</v>
      </c>
      <c r="J172" s="33">
        <f>RENAULT!D170</f>
        <v>-6.2708969281360535E-2</v>
      </c>
      <c r="K172" s="33">
        <f>SANOFI!D170</f>
        <v>5.9928842503483959E-2</v>
      </c>
      <c r="L172" s="33">
        <f>'SCHNEIDER ELECTRIC'!D170</f>
        <v>-6.4645131124037736E-3</v>
      </c>
      <c r="M172" s="33">
        <f>TOTALENERGIES!D170</f>
        <v>1.5164698777785287E-2</v>
      </c>
      <c r="N172" s="33">
        <f>VINCI!D170</f>
        <v>7.3389084725244427E-2</v>
      </c>
      <c r="O172" s="34"/>
      <c r="P172" s="34">
        <f t="shared" si="5"/>
        <v>2.4464886871580622E-2</v>
      </c>
    </row>
    <row r="173" spans="2:16" x14ac:dyDescent="0.2">
      <c r="B173" s="16">
        <v>45535</v>
      </c>
      <c r="C173" s="33">
        <f>AIRBUS!D171</f>
        <v>-8.1451220229992304E-3</v>
      </c>
      <c r="D173" s="33">
        <f>BNP!D171</f>
        <v>-1.3867010467440245E-2</v>
      </c>
      <c r="E173" s="33">
        <f>CAPGEMINI!D171</f>
        <v>2.1241788386955212E-2</v>
      </c>
      <c r="F173" s="33">
        <f>DANONE!D171</f>
        <v>4.3882957557691595E-2</v>
      </c>
      <c r="G173" s="33">
        <f>ENGIE!D171</f>
        <v>9.5598434126366955E-2</v>
      </c>
      <c r="H173" s="33">
        <f>'HERMES INTL'!D171</f>
        <v>7.2170104318263831E-2</v>
      </c>
      <c r="I173" s="33">
        <f>'PERNOD RICARD'!D171</f>
        <v>5.8579206424944415E-2</v>
      </c>
      <c r="J173" s="33">
        <f>RENAULT!D171</f>
        <v>-4.2149920699060948E-2</v>
      </c>
      <c r="K173" s="33">
        <f>SANOFI!D171</f>
        <v>6.1575547722607815E-2</v>
      </c>
      <c r="L173" s="33">
        <f>'SCHNEIDER ELECTRIC'!D171</f>
        <v>3.0738147404209638E-2</v>
      </c>
      <c r="M173" s="33">
        <f>TOTALENERGIES!D171</f>
        <v>-4.6414760014557134E-3</v>
      </c>
      <c r="N173" s="33">
        <f>VINCI!D171</f>
        <v>2.4147641490407858E-2</v>
      </c>
      <c r="O173" s="34"/>
      <c r="P173" s="34">
        <f t="shared" si="5"/>
        <v>2.8260858186707597E-2</v>
      </c>
    </row>
    <row r="174" spans="2:16" x14ac:dyDescent="0.2">
      <c r="B174" s="16">
        <v>45565</v>
      </c>
      <c r="C174" s="33">
        <f>AIRBUS!D172</f>
        <v>-5.4747181855983471E-2</v>
      </c>
      <c r="D174" s="33">
        <f>BNP!D172</f>
        <v>-1.6459010362252446E-2</v>
      </c>
      <c r="E174" s="33">
        <f>CAPGEMINI!D172</f>
        <v>3.4399988344235626E-2</v>
      </c>
      <c r="F174" s="33">
        <f>DANONE!D172</f>
        <v>4.0445832190029521E-2</v>
      </c>
      <c r="G174" s="33">
        <f>ENGIE!D172</f>
        <v>-2.6051484590323696E-2</v>
      </c>
      <c r="H174" s="33">
        <f>'HERMES INTL'!D172</f>
        <v>1.7058527734040888E-2</v>
      </c>
      <c r="I174" s="33">
        <f>'PERNOD RICARD'!D172</f>
        <v>5.2795059595462372E-2</v>
      </c>
      <c r="J174" s="33">
        <f>RENAULT!D172</f>
        <v>-9.2200179922779041E-2</v>
      </c>
      <c r="K174" s="33">
        <f>SANOFI!D172</f>
        <v>1.6798480649079194E-2</v>
      </c>
      <c r="L174" s="33">
        <f>'SCHNEIDER ELECTRIC'!D172</f>
        <v>2.8297757368172419E-2</v>
      </c>
      <c r="M174" s="33">
        <f>TOTALENERGIES!D172</f>
        <v>-5.9334258670747785E-2</v>
      </c>
      <c r="N174" s="33">
        <f>VINCI!D172</f>
        <v>-2.9588523435391281E-2</v>
      </c>
      <c r="O174" s="34"/>
      <c r="P174" s="34">
        <f t="shared" si="5"/>
        <v>-7.3820827463714741E-3</v>
      </c>
    </row>
    <row r="175" spans="2:16" x14ac:dyDescent="0.2">
      <c r="B175" s="16">
        <v>45596</v>
      </c>
      <c r="C175" s="33">
        <f>AIRBUS!D173</f>
        <v>6.812981655477425E-2</v>
      </c>
      <c r="D175" s="33">
        <f>BNP!D173</f>
        <v>1.9496369258908668E-2</v>
      </c>
      <c r="E175" s="33">
        <f>CAPGEMINI!D173</f>
        <v>-0.17916986165380366</v>
      </c>
      <c r="F175" s="33">
        <f>DANONE!D173</f>
        <v>5.509658584353927E-3</v>
      </c>
      <c r="G175" s="33">
        <f>ENGIE!D173</f>
        <v>-6.4453802401209081E-3</v>
      </c>
      <c r="H175" s="33">
        <f>'HERMES INTL'!D173</f>
        <v>-5.9836890120307573E-2</v>
      </c>
      <c r="I175" s="33">
        <f>'PERNOD RICARD'!D173</f>
        <v>-0.15744838036478956</v>
      </c>
      <c r="J175" s="33">
        <f>RENAULT!D173</f>
        <v>7.4634536669437715E-2</v>
      </c>
      <c r="K175" s="33">
        <f>SANOFI!D173</f>
        <v>-5.6268221213251007E-2</v>
      </c>
      <c r="L175" s="33">
        <f>'SCHNEIDER ELECTRIC'!D173</f>
        <v>4.2337172372737273E-3</v>
      </c>
      <c r="M175" s="33">
        <f>TOTALENERGIES!D173</f>
        <v>-6.2828005388357849E-3</v>
      </c>
      <c r="N175" s="33">
        <f>VINCI!D173</f>
        <v>-2.1438809175344842E-2</v>
      </c>
      <c r="O175" s="34"/>
      <c r="P175" s="34">
        <f t="shared" si="5"/>
        <v>-2.6240520416808757E-2</v>
      </c>
    </row>
    <row r="176" spans="2:16" x14ac:dyDescent="0.2">
      <c r="B176" s="16">
        <v>45626</v>
      </c>
      <c r="C176" s="33">
        <f>AIRBUS!D174</f>
        <v>5.2796728077548608E-2</v>
      </c>
      <c r="D176" s="33">
        <f>BNP!D174</f>
        <v>-9.7370487882439738E-2</v>
      </c>
      <c r="E176" s="33">
        <f>CAPGEMINI!D174</f>
        <v>-4.5854365778090558E-2</v>
      </c>
      <c r="F176" s="33">
        <f>DANONE!D174</f>
        <v>-1.5829443170471445E-2</v>
      </c>
      <c r="G176" s="33">
        <f>ENGIE!D174</f>
        <v>-2.140771563494873E-2</v>
      </c>
      <c r="H176" s="33">
        <f>'HERMES INTL'!D174</f>
        <v>-4.3393577607772019E-3</v>
      </c>
      <c r="I176" s="33">
        <f>'PERNOD RICARD'!D174</f>
        <v>-7.3085358407144307E-2</v>
      </c>
      <c r="J176" s="33">
        <f>RENAULT!D174</f>
        <v>-3.2696987140383618E-2</v>
      </c>
      <c r="K176" s="33">
        <f>SANOFI!D174</f>
        <v>-5.1694013606770207E-2</v>
      </c>
      <c r="L176" s="33">
        <f>'SCHNEIDER ELECTRIC'!D174</f>
        <v>2.655984021871477E-2</v>
      </c>
      <c r="M176" s="33">
        <f>TOTALENERGIES!D174</f>
        <v>-4.2334586084191758E-2</v>
      </c>
      <c r="N176" s="33">
        <f>VINCI!D174</f>
        <v>-1.8044174426003905E-2</v>
      </c>
      <c r="O176" s="34"/>
      <c r="P176" s="34">
        <f t="shared" si="5"/>
        <v>-2.6941660132913176E-2</v>
      </c>
    </row>
    <row r="177" spans="2:16" x14ac:dyDescent="0.2">
      <c r="B177" s="16">
        <v>45657</v>
      </c>
      <c r="C177" s="33">
        <f>AIRBUS!D175</f>
        <v>4.892930146900621E-2</v>
      </c>
      <c r="D177" s="33">
        <f>BNP!D175</f>
        <v>4.5550843531669605E-2</v>
      </c>
      <c r="E177" s="33">
        <f>CAPGEMINI!D175</f>
        <v>4.1145579251142553E-2</v>
      </c>
      <c r="F177" s="33">
        <f>DANONE!D175</f>
        <v>7.1141596946977014E-3</v>
      </c>
      <c r="G177" s="33">
        <f>ENGIE!D175</f>
        <v>1.4915472899752548E-2</v>
      </c>
      <c r="H177" s="33">
        <f>'HERMES INTL'!D175</f>
        <v>0.12445524613592074</v>
      </c>
      <c r="I177" s="33">
        <f>'PERNOD RICARD'!D175</f>
        <v>5.2463602803965108E-2</v>
      </c>
      <c r="J177" s="33">
        <f>RENAULT!D175</f>
        <v>0.16086851611801606</v>
      </c>
      <c r="K177" s="33">
        <f>SANOFI!D175</f>
        <v>1.7917246875694025E-2</v>
      </c>
      <c r="L177" s="33">
        <f>'SCHNEIDER ELECTRIC'!D175</f>
        <v>-1.067759719074161E-2</v>
      </c>
      <c r="M177" s="33">
        <f>TOTALENERGIES!D175</f>
        <v>-2.9106857142898592E-2</v>
      </c>
      <c r="N177" s="33">
        <f>VINCI!D175</f>
        <v>-1.2017437215489702E-3</v>
      </c>
      <c r="O177" s="34"/>
      <c r="P177" s="34">
        <f t="shared" si="5"/>
        <v>3.9364480893722957E-2</v>
      </c>
    </row>
    <row r="178" spans="2:16" x14ac:dyDescent="0.2">
      <c r="B178" s="16">
        <v>45688</v>
      </c>
      <c r="C178" s="33">
        <f>AIRBUS!D176</f>
        <v>7.9726054488924405E-2</v>
      </c>
      <c r="D178" s="33">
        <f>BNP!D176</f>
        <v>0.10976023182533746</v>
      </c>
      <c r="E178" s="33">
        <f>CAPGEMINI!D176</f>
        <v>0.11255131245787324</v>
      </c>
      <c r="F178" s="33">
        <f>DANONE!D176</f>
        <v>3.6240777726902915E-2</v>
      </c>
      <c r="G178" s="33">
        <f>ENGIE!D176</f>
        <v>3.951661442592122E-2</v>
      </c>
      <c r="H178" s="33">
        <f>'HERMES INTL'!D176</f>
        <v>0.17312657929683498</v>
      </c>
      <c r="I178" s="33">
        <f>'PERNOD RICARD'!D176</f>
        <v>1.100913797343615E-2</v>
      </c>
      <c r="J178" s="33">
        <f>RENAULT!D176</f>
        <v>5.5260392305284012E-2</v>
      </c>
      <c r="K178" s="33">
        <f>SANOFI!D176</f>
        <v>0.11371889623967772</v>
      </c>
      <c r="L178" s="33">
        <f>'SCHNEIDER ELECTRIC'!D176</f>
        <v>1.8472404552685163E-2</v>
      </c>
      <c r="M178" s="33">
        <f>TOTALENERGIES!D176</f>
        <v>5.6586221490061046E-2</v>
      </c>
      <c r="N178" s="33">
        <f>VINCI!D176</f>
        <v>4.7724133493204528E-2</v>
      </c>
      <c r="O178" s="34"/>
      <c r="P178" s="34">
        <f t="shared" si="5"/>
        <v>7.1141063023011902E-2</v>
      </c>
    </row>
    <row r="179" spans="2:16" x14ac:dyDescent="0.2">
      <c r="B179" s="16">
        <v>45716</v>
      </c>
      <c r="C179" s="33">
        <f>AIRBUS!D177</f>
        <v>-8.4968679731547928E-3</v>
      </c>
      <c r="D179" s="33">
        <f>BNP!D177</f>
        <v>0.10864276822472875</v>
      </c>
      <c r="E179" s="33">
        <f>CAPGEMINI!D177</f>
        <v>-0.15231596830649813</v>
      </c>
      <c r="F179" s="33">
        <f>DANONE!D177</f>
        <v>2.045039867599998E-2</v>
      </c>
      <c r="G179" s="33">
        <f>ENGIE!D177</f>
        <v>8.325477556097538E-2</v>
      </c>
      <c r="H179" s="33">
        <f>'HERMES INTL'!D177</f>
        <v>4.772362285821518E-3</v>
      </c>
      <c r="I179" s="33">
        <f>'PERNOD RICARD'!D177</f>
        <v>-6.3067139911822293E-2</v>
      </c>
      <c r="J179" s="33">
        <f>RENAULT!D177</f>
        <v>3.8267917150462409E-3</v>
      </c>
      <c r="K179" s="33">
        <f>SANOFI!D177</f>
        <v>-3.8316468085398205E-4</v>
      </c>
      <c r="L179" s="33">
        <f>'SCHNEIDER ELECTRIC'!D177</f>
        <v>-4.6464293469622137E-2</v>
      </c>
      <c r="M179" s="33">
        <f>TOTALENERGIES!D177</f>
        <v>4.0044865797189702E-2</v>
      </c>
      <c r="N179" s="33">
        <f>VINCI!D177</f>
        <v>6.3157852330342212E-2</v>
      </c>
      <c r="O179" s="34"/>
      <c r="P179" s="34">
        <f t="shared" si="5"/>
        <v>4.4518650206793698E-3</v>
      </c>
    </row>
    <row r="180" spans="2:16" x14ac:dyDescent="0.2">
      <c r="B180" s="16">
        <v>45747</v>
      </c>
      <c r="C180" s="33">
        <f>AIRBUS!D178</f>
        <v>-1.7622203083275795E-2</v>
      </c>
      <c r="D180" s="33">
        <f>BNP!D178</f>
        <v>5.5586062740417587E-2</v>
      </c>
      <c r="E180" s="33">
        <f>CAPGEMINI!D178</f>
        <v>-7.4421669555869124E-2</v>
      </c>
      <c r="F180" s="33">
        <f>DANONE!D178</f>
        <v>2.8753937894366026E-2</v>
      </c>
      <c r="G180" s="33">
        <f>ENGIE!D178</f>
        <v>4.6113669147118036E-2</v>
      </c>
      <c r="H180" s="33">
        <f>'HERMES INTL'!D178</f>
        <v>-0.11802118695323655</v>
      </c>
      <c r="I180" s="33">
        <f>'PERNOD RICARD'!D178</f>
        <v>-0.11612587220189813</v>
      </c>
      <c r="J180" s="33">
        <f>RENAULT!D178</f>
        <v>-6.6011257483742244E-2</v>
      </c>
      <c r="K180" s="33">
        <f>SANOFI!D178</f>
        <v>-2.3380630813882655E-2</v>
      </c>
      <c r="L180" s="33">
        <f>'SCHNEIDER ELECTRIC'!D178</f>
        <v>-9.9166425435744485E-2</v>
      </c>
      <c r="M180" s="33">
        <f>TOTALENERGIES!D178</f>
        <v>3.2537152076982538E-2</v>
      </c>
      <c r="N180" s="33">
        <f>VINCI!D178</f>
        <v>4.6804713738511666E-2</v>
      </c>
      <c r="O180" s="34"/>
      <c r="P180" s="34">
        <f t="shared" si="5"/>
        <v>-2.5412809160854432E-2</v>
      </c>
    </row>
    <row r="181" spans="2:16" x14ac:dyDescent="0.2">
      <c r="B181" s="16">
        <v>45777</v>
      </c>
      <c r="C181" s="33">
        <f>AIRBUS!D179</f>
        <v>-9.6080566479584698E-2</v>
      </c>
      <c r="D181" s="33">
        <f>BNP!D179</f>
        <v>-3.4065910791538402E-2</v>
      </c>
      <c r="E181" s="33">
        <f>CAPGEMINI!D179</f>
        <v>1.3038780613701893E-2</v>
      </c>
      <c r="F181" s="33">
        <f>DANONE!D179</f>
        <v>7.2275686355715407E-2</v>
      </c>
      <c r="G181" s="33">
        <f>ENGIE!D179</f>
        <v>8.3171966404186146E-3</v>
      </c>
      <c r="H181" s="33">
        <f>'HERMES INTL'!D179</f>
        <v>-8.2952838151519361E-3</v>
      </c>
      <c r="I181" s="33">
        <f>'PERNOD RICARD'!D179</f>
        <v>4.3392463853968846E-2</v>
      </c>
      <c r="J181" s="33">
        <f>RENAULT!D179</f>
        <v>1.7185976566210202E-3</v>
      </c>
      <c r="K181" s="33">
        <f>SANOFI!D179</f>
        <v>-5.9065953174957504E-2</v>
      </c>
      <c r="L181" s="33">
        <f>'SCHNEIDER ELECTRIC'!D179</f>
        <v>-3.1079528046481581E-2</v>
      </c>
      <c r="M181" s="33">
        <f>TOTALENERGIES!D179</f>
        <v>-0.13090560166280624</v>
      </c>
      <c r="N181" s="33">
        <f>VINCI!D179</f>
        <v>5.4170148227412736E-2</v>
      </c>
      <c r="O181" s="34"/>
      <c r="P181" s="34">
        <f t="shared" si="5"/>
        <v>-1.3881664218556822E-2</v>
      </c>
    </row>
    <row r="182" spans="2:16" x14ac:dyDescent="0.2">
      <c r="B182" s="16">
        <v>45808</v>
      </c>
      <c r="C182" s="33">
        <f>AIRBUS!D180</f>
        <v>0.12629695009167682</v>
      </c>
      <c r="D182" s="33">
        <f>BNP!D180</f>
        <v>3.8363164128901166E-2</v>
      </c>
      <c r="E182" s="33">
        <f>CAPGEMINI!D180</f>
        <v>4.5763298165943558E-2</v>
      </c>
      <c r="F182" s="33">
        <f>DANONE!D180</f>
        <v>-9.4787008987583955E-3</v>
      </c>
      <c r="G182" s="33">
        <f>ENGIE!D180</f>
        <v>0.13369390334770567</v>
      </c>
      <c r="H182" s="33">
        <f>'HERMES INTL'!D180</f>
        <v>1.5474662212816534E-2</v>
      </c>
      <c r="I182" s="33">
        <f>'PERNOD RICARD'!D180</f>
        <v>-4.4108400312031518E-2</v>
      </c>
      <c r="J182" s="33">
        <f>RENAULT!D180</f>
        <v>-2.6806792738844537E-2</v>
      </c>
      <c r="K182" s="33">
        <f>SANOFI!D180</f>
        <v>-8.7382690544908145E-2</v>
      </c>
      <c r="L182" s="33">
        <f>'SCHNEIDER ELECTRIC'!D180</f>
        <v>8.3986322279896677E-2</v>
      </c>
      <c r="M182" s="33">
        <f>TOTALENERGIES!D180</f>
        <v>9.7733121703503668E-3</v>
      </c>
      <c r="N182" s="33">
        <f>VINCI!D180</f>
        <v>5.9251095755945143E-2</v>
      </c>
      <c r="O182" s="34"/>
      <c r="P182" s="34">
        <f t="shared" si="5"/>
        <v>2.8735510304891115E-2</v>
      </c>
    </row>
    <row r="183" spans="2:16" x14ac:dyDescent="0.2">
      <c r="B183" s="16">
        <v>45838</v>
      </c>
      <c r="C183" s="33">
        <f>AIRBUS!D181</f>
        <v>9.3657406862593356E-2</v>
      </c>
      <c r="D183" s="33">
        <f>BNP!D181</f>
        <v>5.289664154268444E-2</v>
      </c>
      <c r="E183" s="33">
        <f>CAPGEMINI!D181</f>
        <v>1.4648796489099518E-2</v>
      </c>
      <c r="F183" s="33">
        <f>DANONE!D181</f>
        <v>-5.1649341731029592E-2</v>
      </c>
      <c r="G183" s="33">
        <f>ENGIE!D181</f>
        <v>4.9512699314655982E-2</v>
      </c>
      <c r="H183" s="33">
        <f>'HERMES INTL'!D181</f>
        <v>-4.4361025103944351E-2</v>
      </c>
      <c r="I183" s="33">
        <f>'PERNOD RICARD'!D181</f>
        <v>-7.0533968068468858E-2</v>
      </c>
      <c r="J183" s="33">
        <f>RENAULT!D181</f>
        <v>-9.5877075113272064E-2</v>
      </c>
      <c r="K183" s="33">
        <f>SANOFI!D181</f>
        <v>-1.9299151270200154E-2</v>
      </c>
      <c r="L183" s="33">
        <f>'SCHNEIDER ELECTRIC'!D181</f>
        <v>3.8424945840328073E-2</v>
      </c>
      <c r="M183" s="33">
        <f>TOTALENERGIES!D181</f>
        <v>8.5171537738980858E-3</v>
      </c>
      <c r="N183" s="33">
        <f>VINCI!D181</f>
        <v>-5.9594848977226758E-3</v>
      </c>
      <c r="O183" s="34"/>
      <c r="P183" s="34">
        <f t="shared" si="5"/>
        <v>-2.5018668634481842E-3</v>
      </c>
    </row>
    <row r="184" spans="2:16" x14ac:dyDescent="0.2">
      <c r="B184" s="16">
        <v>45869</v>
      </c>
      <c r="C184" s="33">
        <f>AIRBUS!D182</f>
        <v>-6.8825525133136218E-3</v>
      </c>
      <c r="D184" s="33">
        <f>BNP!D182</f>
        <v>4.900408060645018E-2</v>
      </c>
      <c r="E184" s="33">
        <f>CAPGEMINI!D182</f>
        <v>-9.7552629145584199E-2</v>
      </c>
      <c r="F184" s="33">
        <f>DANONE!D182</f>
        <v>3.6332131212384912E-2</v>
      </c>
      <c r="G184" s="33">
        <f>ENGIE!D182</f>
        <v>-1.5307322936294282E-2</v>
      </c>
      <c r="H184" s="33">
        <f>'HERMES INTL'!D182</f>
        <v>-6.4375815571987821E-2</v>
      </c>
      <c r="I184" s="33">
        <f>'PERNOD RICARD'!D182</f>
        <v>6.8085181917221752E-2</v>
      </c>
      <c r="J184" s="33">
        <f>RENAULT!D182</f>
        <v>-0.16406853586502435</v>
      </c>
      <c r="K184" s="33">
        <f>SANOFI!D182</f>
        <v>-4.0992613843960093E-2</v>
      </c>
      <c r="L184" s="33">
        <f>'SCHNEIDER ELECTRIC'!D182</f>
        <v>1.085029634689774E-2</v>
      </c>
      <c r="M184" s="33">
        <f>TOTALENERGIES!D182</f>
        <v>1.4254213500138857E-2</v>
      </c>
      <c r="N184" s="33">
        <f>VINCI!D182</f>
        <v>-2.7977620955238366E-2</v>
      </c>
      <c r="O184" s="34"/>
      <c r="P184" s="34">
        <f t="shared" si="5"/>
        <v>-1.9885932270692439E-2</v>
      </c>
    </row>
    <row r="185" spans="2:16" x14ac:dyDescent="0.2">
      <c r="B185" s="16">
        <v>45900</v>
      </c>
      <c r="C185" s="33">
        <f>AIRBUS!D183</f>
        <v>1.7155216925919332E-2</v>
      </c>
      <c r="D185" s="33">
        <f>BNP!D183</f>
        <v>-4.0344662293393292E-2</v>
      </c>
      <c r="E185" s="33">
        <f>CAPGEMINI!D183</f>
        <v>-7.219249342146708E-2</v>
      </c>
      <c r="F185" s="33">
        <f>DANONE!D183</f>
        <v>-9.73841089300982E-3</v>
      </c>
      <c r="G185" s="33">
        <f>ENGIE!D183</f>
        <v>-9.8369022559695721E-2</v>
      </c>
      <c r="H185" s="33">
        <f>'HERMES INTL'!D183</f>
        <v>-2.7894002789400279E-2</v>
      </c>
      <c r="I185" s="33">
        <f>'PERNOD RICARD'!D183</f>
        <v>0.1027594872196138</v>
      </c>
      <c r="J185" s="33">
        <f>RENAULT!D183</f>
        <v>2.7208786748969399E-2</v>
      </c>
      <c r="K185" s="33">
        <f>SANOFI!D183</f>
        <v>7.166415256622112E-2</v>
      </c>
      <c r="L185" s="33">
        <f>'SCHNEIDER ELECTRIC'!D183</f>
        <v>-7.9737116969296779E-2</v>
      </c>
      <c r="M185" s="33">
        <f>TOTALENERGIES!D183</f>
        <v>2.8450583254925527E-2</v>
      </c>
      <c r="N185" s="33">
        <f>VINCI!D183</f>
        <v>-4.6874934718414599E-2</v>
      </c>
      <c r="O185" s="34"/>
      <c r="P185" s="34">
        <f t="shared" si="5"/>
        <v>-1.0659368077419034E-2</v>
      </c>
    </row>
    <row r="186" spans="2:16" x14ac:dyDescent="0.2">
      <c r="B186" s="16"/>
      <c r="C186" s="23"/>
      <c r="D186" s="23"/>
      <c r="E186" s="23"/>
      <c r="F186" s="23"/>
      <c r="G186" s="23"/>
      <c r="H186" s="23"/>
      <c r="I186" s="23"/>
      <c r="J186" s="23"/>
      <c r="K186" s="23"/>
      <c r="L186" s="23"/>
      <c r="M186" s="23"/>
      <c r="N186" s="23"/>
    </row>
    <row r="187" spans="2:16" x14ac:dyDescent="0.2">
      <c r="D187" s="28"/>
    </row>
    <row r="188" spans="2:16" x14ac:dyDescent="0.2">
      <c r="B188" s="112" t="s">
        <v>241</v>
      </c>
      <c r="C188" s="113"/>
      <c r="D188" s="113"/>
      <c r="E188" s="113"/>
      <c r="F188" s="113"/>
      <c r="G188" s="113"/>
      <c r="H188" s="113"/>
      <c r="I188" s="113"/>
      <c r="J188" s="113"/>
      <c r="K188" s="113"/>
      <c r="L188" s="113"/>
      <c r="M188" s="113"/>
      <c r="N188" s="114"/>
    </row>
    <row r="189" spans="2:16" x14ac:dyDescent="0.2">
      <c r="B189" s="115"/>
      <c r="C189" s="116"/>
      <c r="D189" s="116"/>
      <c r="E189" s="116"/>
      <c r="F189" s="116"/>
      <c r="G189" s="116"/>
      <c r="H189" s="116"/>
      <c r="I189" s="116"/>
      <c r="J189" s="116"/>
      <c r="K189" s="116"/>
      <c r="L189" s="116"/>
      <c r="M189" s="116"/>
      <c r="N189" s="117"/>
    </row>
    <row r="190" spans="2:16" x14ac:dyDescent="0.2">
      <c r="B190" s="29"/>
      <c r="C190" s="29"/>
      <c r="D190" s="29"/>
      <c r="E190" s="29"/>
      <c r="F190" s="29"/>
      <c r="G190" s="29"/>
      <c r="H190" s="29"/>
      <c r="I190" s="29"/>
      <c r="J190" s="29"/>
      <c r="K190" s="29"/>
      <c r="L190" s="29"/>
      <c r="M190" s="29"/>
      <c r="N190" s="29"/>
    </row>
    <row r="191" spans="2:16" x14ac:dyDescent="0.2">
      <c r="B191" s="42" t="s">
        <v>8</v>
      </c>
      <c r="C191" s="49" t="s">
        <v>9</v>
      </c>
      <c r="D191" s="45" t="s">
        <v>10</v>
      </c>
      <c r="E191" s="45" t="s">
        <v>11</v>
      </c>
      <c r="F191" s="45" t="s">
        <v>12</v>
      </c>
      <c r="G191" s="45" t="s">
        <v>13</v>
      </c>
      <c r="H191" s="45" t="s">
        <v>14</v>
      </c>
      <c r="I191" s="45" t="s">
        <v>15</v>
      </c>
      <c r="J191" s="45" t="s">
        <v>16</v>
      </c>
      <c r="K191" s="45" t="s">
        <v>17</v>
      </c>
      <c r="L191" s="45" t="s">
        <v>18</v>
      </c>
      <c r="M191" s="45" t="s">
        <v>19</v>
      </c>
      <c r="N191" s="45" t="s">
        <v>20</v>
      </c>
    </row>
    <row r="192" spans="2:16" x14ac:dyDescent="0.2">
      <c r="B192" s="44" t="s">
        <v>21</v>
      </c>
      <c r="C192" s="46" t="s">
        <v>22</v>
      </c>
      <c r="D192" s="46" t="s">
        <v>23</v>
      </c>
      <c r="E192" s="46" t="s">
        <v>24</v>
      </c>
      <c r="F192" s="46" t="s">
        <v>25</v>
      </c>
      <c r="G192" s="46" t="s">
        <v>26</v>
      </c>
      <c r="H192" s="46" t="s">
        <v>27</v>
      </c>
      <c r="I192" s="46" t="s">
        <v>28</v>
      </c>
      <c r="J192" s="46" t="s">
        <v>29</v>
      </c>
      <c r="K192" s="46" t="s">
        <v>30</v>
      </c>
      <c r="L192" s="46" t="s">
        <v>31</v>
      </c>
      <c r="M192" s="46" t="s">
        <v>32</v>
      </c>
      <c r="N192" s="46" t="s">
        <v>33</v>
      </c>
      <c r="P192" s="20"/>
    </row>
    <row r="193" spans="2:14" ht="16" customHeight="1" x14ac:dyDescent="0.2">
      <c r="B193" s="50" t="s">
        <v>242</v>
      </c>
      <c r="C193" s="26">
        <f t="shared" ref="C193:N193" si="6">AVERAGE(C6:C185)</f>
        <v>1.8353192314365933E-2</v>
      </c>
      <c r="D193" s="26">
        <f t="shared" si="6"/>
        <v>1.0802049268044851E-2</v>
      </c>
      <c r="E193" s="26">
        <f t="shared" si="6"/>
        <v>1.1765025342822949E-2</v>
      </c>
      <c r="F193" s="26">
        <f t="shared" si="6"/>
        <v>6.3944428594207535E-3</v>
      </c>
      <c r="G193" s="26">
        <f t="shared" si="6"/>
        <v>6.5414564183260589E-3</v>
      </c>
      <c r="H193" s="26">
        <f t="shared" si="6"/>
        <v>1.8609588198570306E-2</v>
      </c>
      <c r="I193" s="26">
        <f t="shared" si="6"/>
        <v>5.8213508800785425E-3</v>
      </c>
      <c r="J193" s="26">
        <f t="shared" si="6"/>
        <v>8.39288591431951E-3</v>
      </c>
      <c r="K193" s="26">
        <f t="shared" si="6"/>
        <v>8.2943728306026452E-3</v>
      </c>
      <c r="L193" s="26">
        <f t="shared" si="6"/>
        <v>1.3385431639095171E-2</v>
      </c>
      <c r="M193" s="26">
        <f t="shared" si="6"/>
        <v>8.9876987303617994E-3</v>
      </c>
      <c r="N193" s="26">
        <f t="shared" si="6"/>
        <v>1.1511434282027579E-2</v>
      </c>
    </row>
    <row r="194" spans="2:14" x14ac:dyDescent="0.2">
      <c r="B194" s="20" t="s">
        <v>243</v>
      </c>
      <c r="C194" s="26">
        <f t="shared" ref="C194:N194" si="7">_xlfn.STDEV.S(C6:C185)</f>
        <v>8.8934194844897577E-2</v>
      </c>
      <c r="D194" s="26">
        <f t="shared" si="7"/>
        <v>9.3740979967282867E-2</v>
      </c>
      <c r="E194" s="26">
        <f t="shared" si="7"/>
        <v>7.622591479924988E-2</v>
      </c>
      <c r="F194" s="26">
        <f t="shared" si="7"/>
        <v>4.6148189836844128E-2</v>
      </c>
      <c r="G194" s="26">
        <f t="shared" si="7"/>
        <v>7.1858262578004248E-2</v>
      </c>
      <c r="H194" s="26">
        <f t="shared" si="7"/>
        <v>7.3923859362519537E-2</v>
      </c>
      <c r="I194" s="26">
        <f t="shared" si="7"/>
        <v>5.4566912678864883E-2</v>
      </c>
      <c r="J194" s="26">
        <f t="shared" si="7"/>
        <v>0.11127162359518497</v>
      </c>
      <c r="K194" s="26">
        <f t="shared" si="7"/>
        <v>5.5213641564772542E-2</v>
      </c>
      <c r="L194" s="26">
        <f t="shared" si="7"/>
        <v>6.4583580696525283E-2</v>
      </c>
      <c r="M194" s="26">
        <f t="shared" si="7"/>
        <v>6.5125548700578614E-2</v>
      </c>
      <c r="N194" s="26">
        <f t="shared" si="7"/>
        <v>5.9924362701828847E-2</v>
      </c>
    </row>
    <row r="195" spans="2:14" x14ac:dyDescent="0.2">
      <c r="B195" s="27" t="s">
        <v>244</v>
      </c>
      <c r="C195" s="26">
        <f t="shared" ref="C195:N195" si="8">C193*12</f>
        <v>0.2202383077723912</v>
      </c>
      <c r="D195" s="26">
        <f t="shared" si="8"/>
        <v>0.12962459121653822</v>
      </c>
      <c r="E195" s="26">
        <f t="shared" si="8"/>
        <v>0.14118030411387539</v>
      </c>
      <c r="F195" s="26">
        <f t="shared" si="8"/>
        <v>7.6733314313049042E-2</v>
      </c>
      <c r="G195" s="26">
        <f t="shared" si="8"/>
        <v>7.8497477019912706E-2</v>
      </c>
      <c r="H195" s="26">
        <f t="shared" si="8"/>
        <v>0.22331505838284366</v>
      </c>
      <c r="I195" s="26">
        <f t="shared" si="8"/>
        <v>6.9856210560942517E-2</v>
      </c>
      <c r="J195" s="26">
        <f t="shared" si="8"/>
        <v>0.10071463097183411</v>
      </c>
      <c r="K195" s="26">
        <f t="shared" si="8"/>
        <v>9.9532473967231749E-2</v>
      </c>
      <c r="L195" s="26">
        <f t="shared" si="8"/>
        <v>0.16062517966914205</v>
      </c>
      <c r="M195" s="26">
        <f t="shared" si="8"/>
        <v>0.10785238476434159</v>
      </c>
      <c r="N195" s="26">
        <f t="shared" si="8"/>
        <v>0.13813721138433094</v>
      </c>
    </row>
    <row r="196" spans="2:14" x14ac:dyDescent="0.2">
      <c r="B196" s="20" t="s">
        <v>245</v>
      </c>
      <c r="C196" s="26">
        <f t="shared" ref="C196:N196" si="9">C194*SQRT(12)</f>
        <v>0.30807708800318545</v>
      </c>
      <c r="D196" s="26">
        <f t="shared" si="9"/>
        <v>0.32472828010926047</v>
      </c>
      <c r="E196" s="26">
        <f t="shared" si="9"/>
        <v>0.26405431457143436</v>
      </c>
      <c r="F196" s="26">
        <f t="shared" si="9"/>
        <v>0.15986201894949545</v>
      </c>
      <c r="G196" s="26">
        <f t="shared" si="9"/>
        <v>0.24892432345745738</v>
      </c>
      <c r="H196" s="26">
        <f t="shared" si="9"/>
        <v>0.25607976061492016</v>
      </c>
      <c r="I196" s="26">
        <f t="shared" si="9"/>
        <v>0.18902533034393665</v>
      </c>
      <c r="J196" s="26">
        <f t="shared" si="9"/>
        <v>0.38545621101508054</v>
      </c>
      <c r="K196" s="26">
        <f t="shared" si="9"/>
        <v>0.19126566492216562</v>
      </c>
      <c r="L196" s="26">
        <f t="shared" si="9"/>
        <v>0.22372408620221274</v>
      </c>
      <c r="M196" s="26">
        <f t="shared" si="9"/>
        <v>0.22560151844040685</v>
      </c>
      <c r="N196" s="26">
        <f t="shared" si="9"/>
        <v>0.20758408162150591</v>
      </c>
    </row>
    <row r="199" spans="2:14" x14ac:dyDescent="0.2">
      <c r="B199" s="112" t="s">
        <v>246</v>
      </c>
      <c r="C199" s="113"/>
      <c r="D199" s="113"/>
      <c r="E199" s="113"/>
      <c r="F199" s="113"/>
      <c r="G199" s="113"/>
      <c r="H199" s="113"/>
      <c r="I199" s="113"/>
      <c r="J199" s="113"/>
      <c r="K199" s="113"/>
      <c r="L199" s="113"/>
      <c r="M199" s="113"/>
      <c r="N199" s="114"/>
    </row>
    <row r="200" spans="2:14" x14ac:dyDescent="0.2">
      <c r="B200" s="115"/>
      <c r="C200" s="116"/>
      <c r="D200" s="116"/>
      <c r="E200" s="116"/>
      <c r="F200" s="116"/>
      <c r="G200" s="116"/>
      <c r="H200" s="116"/>
      <c r="I200" s="116"/>
      <c r="J200" s="116"/>
      <c r="K200" s="116"/>
      <c r="L200" s="116"/>
      <c r="M200" s="116"/>
      <c r="N200" s="117"/>
    </row>
    <row r="202" spans="2:14" x14ac:dyDescent="0.2">
      <c r="B202" s="20" t="s">
        <v>247</v>
      </c>
      <c r="C202" s="34">
        <f t="shared" ref="C202:N202" si="10">1/12</f>
        <v>8.3333333333333329E-2</v>
      </c>
      <c r="D202" s="34">
        <f t="shared" si="10"/>
        <v>8.3333333333333329E-2</v>
      </c>
      <c r="E202" s="34">
        <f t="shared" si="10"/>
        <v>8.3333333333333329E-2</v>
      </c>
      <c r="F202" s="34">
        <f t="shared" si="10"/>
        <v>8.3333333333333329E-2</v>
      </c>
      <c r="G202" s="34">
        <f t="shared" si="10"/>
        <v>8.3333333333333329E-2</v>
      </c>
      <c r="H202" s="34">
        <f t="shared" si="10"/>
        <v>8.3333333333333329E-2</v>
      </c>
      <c r="I202" s="34">
        <f t="shared" si="10"/>
        <v>8.3333333333333329E-2</v>
      </c>
      <c r="J202" s="34">
        <f t="shared" si="10"/>
        <v>8.3333333333333329E-2</v>
      </c>
      <c r="K202" s="34">
        <f t="shared" si="10"/>
        <v>8.3333333333333329E-2</v>
      </c>
      <c r="L202" s="34">
        <f t="shared" si="10"/>
        <v>8.3333333333333329E-2</v>
      </c>
      <c r="M202" s="34">
        <f t="shared" si="10"/>
        <v>8.3333333333333329E-2</v>
      </c>
      <c r="N202" s="34">
        <f t="shared" si="10"/>
        <v>8.3333333333333329E-2</v>
      </c>
    </row>
    <row r="204" spans="2:14" x14ac:dyDescent="0.2">
      <c r="B204" s="118" t="s">
        <v>248</v>
      </c>
      <c r="C204" s="119"/>
    </row>
    <row r="205" spans="2:14" x14ac:dyDescent="0.2">
      <c r="B205" s="51" t="s">
        <v>249</v>
      </c>
      <c r="C205" s="26">
        <f>AVERAGE($P$6:$P$185)</f>
        <v>1.0738244056503013E-2</v>
      </c>
      <c r="D205" s="58" t="s">
        <v>250</v>
      </c>
    </row>
    <row r="206" spans="2:14" x14ac:dyDescent="0.2">
      <c r="B206" s="51" t="s">
        <v>249</v>
      </c>
      <c r="C206" s="26">
        <f>AVERAGE(C193:N193)</f>
        <v>1.073824405650301E-2</v>
      </c>
      <c r="D206" s="58" t="s">
        <v>251</v>
      </c>
    </row>
    <row r="207" spans="2:14" x14ac:dyDescent="0.2">
      <c r="B207" s="51" t="s">
        <v>252</v>
      </c>
      <c r="C207" s="26">
        <f t="array" ref="C207">SQRT(MMULT(MMULT(C202:N202,'Covariance Matrix'!C5:N16),TRANSPOSE(C202:N202)))</f>
        <v>4.7703961667749838E-2</v>
      </c>
      <c r="D207" s="26">
        <f>AVERAGE(C194:N194)</f>
        <v>7.1793089277212771E-2</v>
      </c>
      <c r="E207" s="58" t="s">
        <v>253</v>
      </c>
    </row>
    <row r="208" spans="2:14" x14ac:dyDescent="0.2">
      <c r="B208" s="51" t="s">
        <v>244</v>
      </c>
      <c r="C208" s="26">
        <f>C205*12</f>
        <v>0.12885892867803617</v>
      </c>
    </row>
    <row r="209" spans="2:14" x14ac:dyDescent="0.2">
      <c r="B209" s="51" t="s">
        <v>245</v>
      </c>
      <c r="C209" s="26">
        <f>C207*SQRT(12)</f>
        <v>0.16525137066172174</v>
      </c>
      <c r="D209" s="26">
        <f>SQRT(D207)</f>
        <v>0.2679423245349879</v>
      </c>
      <c r="E209" s="58" t="s">
        <v>254</v>
      </c>
    </row>
    <row r="212" spans="2:14" x14ac:dyDescent="0.2">
      <c r="B212" s="112" t="s">
        <v>255</v>
      </c>
      <c r="C212" s="113"/>
      <c r="D212" s="113"/>
      <c r="E212" s="113"/>
      <c r="F212" s="113"/>
      <c r="G212" s="113"/>
      <c r="H212" s="113"/>
      <c r="I212" s="113"/>
      <c r="J212" s="113"/>
      <c r="K212" s="113"/>
      <c r="L212" s="113"/>
      <c r="M212" s="113"/>
      <c r="N212" s="114"/>
    </row>
    <row r="213" spans="2:14" x14ac:dyDescent="0.2">
      <c r="B213" s="115"/>
      <c r="C213" s="116"/>
      <c r="D213" s="116"/>
      <c r="E213" s="116"/>
      <c r="F213" s="116"/>
      <c r="G213" s="116"/>
      <c r="H213" s="116"/>
      <c r="I213" s="116"/>
      <c r="J213" s="116"/>
      <c r="K213" s="116"/>
      <c r="L213" s="116"/>
      <c r="M213" s="116"/>
      <c r="N213" s="117"/>
    </row>
    <row r="215" spans="2:14" x14ac:dyDescent="0.2">
      <c r="B215" s="51" t="s">
        <v>256</v>
      </c>
      <c r="C215" s="51" t="s">
        <v>245</v>
      </c>
      <c r="D215" s="51" t="s">
        <v>257</v>
      </c>
    </row>
    <row r="216" spans="2:14" x14ac:dyDescent="0.2">
      <c r="B216" s="52" t="s">
        <v>22</v>
      </c>
      <c r="C216" s="34">
        <v>0.30807708800318551</v>
      </c>
      <c r="D216" s="34">
        <v>0.2202383077723912</v>
      </c>
    </row>
    <row r="217" spans="2:14" x14ac:dyDescent="0.2">
      <c r="B217" s="52" t="s">
        <v>23</v>
      </c>
      <c r="C217" s="34">
        <v>0.32472828010926053</v>
      </c>
      <c r="D217" s="34">
        <v>0.12962459121653819</v>
      </c>
    </row>
    <row r="218" spans="2:14" x14ac:dyDescent="0.2">
      <c r="B218" s="52" t="s">
        <v>24</v>
      </c>
      <c r="C218" s="34">
        <v>0.26405431457143441</v>
      </c>
      <c r="D218" s="34">
        <v>0.14118030411387539</v>
      </c>
    </row>
    <row r="219" spans="2:14" x14ac:dyDescent="0.2">
      <c r="B219" s="52" t="s">
        <v>25</v>
      </c>
      <c r="C219" s="34">
        <v>0.15986201894949539</v>
      </c>
      <c r="D219" s="34">
        <v>7.6733314313049042E-2</v>
      </c>
    </row>
    <row r="220" spans="2:14" x14ac:dyDescent="0.2">
      <c r="B220" s="52" t="s">
        <v>26</v>
      </c>
      <c r="C220" s="34">
        <v>0.24892432345745741</v>
      </c>
      <c r="D220" s="34">
        <v>7.8497477019912706E-2</v>
      </c>
    </row>
    <row r="221" spans="2:14" x14ac:dyDescent="0.2">
      <c r="B221" s="52" t="s">
        <v>27</v>
      </c>
      <c r="C221" s="34">
        <v>0.25607976061492022</v>
      </c>
      <c r="D221" s="34">
        <v>0.22331505838284371</v>
      </c>
    </row>
    <row r="222" spans="2:14" x14ac:dyDescent="0.2">
      <c r="B222" s="52" t="s">
        <v>28</v>
      </c>
      <c r="C222" s="34">
        <v>0.18902533034393659</v>
      </c>
      <c r="D222" s="34">
        <v>6.9856210560942517E-2</v>
      </c>
    </row>
    <row r="223" spans="2:14" x14ac:dyDescent="0.2">
      <c r="B223" s="52" t="s">
        <v>29</v>
      </c>
      <c r="C223" s="34">
        <v>0.38545621101508049</v>
      </c>
      <c r="D223" s="34">
        <v>0.1007146309718341</v>
      </c>
    </row>
    <row r="224" spans="2:14" x14ac:dyDescent="0.2">
      <c r="B224" s="52" t="s">
        <v>30</v>
      </c>
      <c r="C224" s="34">
        <v>0.1912656649221656</v>
      </c>
      <c r="D224" s="34">
        <v>9.9532473967231749E-2</v>
      </c>
    </row>
    <row r="225" spans="2:4" x14ac:dyDescent="0.2">
      <c r="B225" s="52" t="s">
        <v>31</v>
      </c>
      <c r="C225" s="34">
        <v>0.22372408620221271</v>
      </c>
      <c r="D225" s="34">
        <v>0.16062517966914211</v>
      </c>
    </row>
    <row r="226" spans="2:4" x14ac:dyDescent="0.2">
      <c r="B226" s="52" t="s">
        <v>32</v>
      </c>
      <c r="C226" s="34">
        <v>0.22560151844040691</v>
      </c>
      <c r="D226" s="34">
        <v>0.1078523847643416</v>
      </c>
    </row>
    <row r="227" spans="2:4" x14ac:dyDescent="0.2">
      <c r="B227" s="52" t="s">
        <v>33</v>
      </c>
      <c r="C227" s="34">
        <v>0.20758408162150591</v>
      </c>
      <c r="D227" s="34">
        <v>0.13813721138433091</v>
      </c>
    </row>
    <row r="228" spans="2:4" x14ac:dyDescent="0.2">
      <c r="B228" s="52" t="s">
        <v>248</v>
      </c>
      <c r="C228" s="34">
        <v>0.16525137066172171</v>
      </c>
      <c r="D228" s="34">
        <v>0.12885892867803619</v>
      </c>
    </row>
  </sheetData>
  <mergeCells count="5">
    <mergeCell ref="B199:N200"/>
    <mergeCell ref="B212:N213"/>
    <mergeCell ref="B188:N189"/>
    <mergeCell ref="B204:C204"/>
    <mergeCell ref="P4:P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3:R62"/>
  <sheetViews>
    <sheetView showGridLines="0" zoomScale="50" zoomScaleNormal="36" workbookViewId="0">
      <selection activeCell="W44" sqref="W44"/>
    </sheetView>
  </sheetViews>
  <sheetFormatPr baseColWidth="10" defaultColWidth="10.83203125" defaultRowHeight="15" x14ac:dyDescent="0.2"/>
  <cols>
    <col min="1" max="1" width="21.5" customWidth="1"/>
    <col min="2" max="2" width="26" customWidth="1"/>
    <col min="3" max="3" width="24" customWidth="1"/>
    <col min="4" max="4" width="16.5" customWidth="1"/>
    <col min="5" max="5" width="14.6640625" customWidth="1"/>
    <col min="6" max="6" width="17.5" customWidth="1"/>
    <col min="7" max="7" width="18.83203125" customWidth="1"/>
    <col min="8" max="8" width="12.6640625" bestFit="1" customWidth="1"/>
    <col min="9" max="9" width="25" customWidth="1"/>
    <col min="10" max="10" width="23.5" customWidth="1"/>
    <col min="11" max="11" width="26.83203125" customWidth="1"/>
    <col min="16" max="16" width="16.83203125" customWidth="1"/>
    <col min="17" max="17" width="18.6640625" customWidth="1"/>
    <col min="18" max="21" width="13.1640625" bestFit="1" customWidth="1"/>
    <col min="22" max="22" width="13.6640625" bestFit="1" customWidth="1"/>
    <col min="24" max="24" width="48.1640625" customWidth="1"/>
  </cols>
  <sheetData>
    <row r="3" spans="2:14" ht="24" customHeight="1" x14ac:dyDescent="0.2">
      <c r="F3" s="135" t="s">
        <v>258</v>
      </c>
      <c r="G3" s="136"/>
      <c r="I3" s="135" t="s">
        <v>259</v>
      </c>
      <c r="J3" s="137"/>
      <c r="K3" s="137"/>
      <c r="L3" s="137"/>
      <c r="M3" s="137"/>
      <c r="N3" s="136"/>
    </row>
    <row r="4" spans="2:14" ht="16" customHeight="1" x14ac:dyDescent="0.2">
      <c r="B4" s="63" t="s">
        <v>256</v>
      </c>
      <c r="C4" s="59" t="s">
        <v>260</v>
      </c>
      <c r="F4" s="71" t="s">
        <v>256</v>
      </c>
      <c r="G4" s="64" t="s">
        <v>261</v>
      </c>
      <c r="I4" s="71" t="s">
        <v>256</v>
      </c>
      <c r="J4" s="72" t="s">
        <v>262</v>
      </c>
      <c r="K4" s="72" t="s">
        <v>263</v>
      </c>
      <c r="L4" s="72" t="s">
        <v>264</v>
      </c>
      <c r="M4" s="72" t="s">
        <v>265</v>
      </c>
      <c r="N4" s="72" t="s">
        <v>266</v>
      </c>
    </row>
    <row r="5" spans="2:14" ht="16" customHeight="1" x14ac:dyDescent="0.2">
      <c r="B5" s="65" t="s">
        <v>22</v>
      </c>
      <c r="C5" s="62">
        <v>8.3333333333333329E-2</v>
      </c>
      <c r="F5" s="65" t="s">
        <v>22</v>
      </c>
      <c r="G5" s="69">
        <v>0</v>
      </c>
      <c r="I5" s="65" t="s">
        <v>22</v>
      </c>
      <c r="J5" s="62">
        <v>0</v>
      </c>
      <c r="K5" s="62">
        <v>6.351357832178775E-2</v>
      </c>
      <c r="L5" s="62">
        <v>0.1638206779648434</v>
      </c>
      <c r="M5" s="62">
        <v>0.41953305652042988</v>
      </c>
      <c r="N5" s="62">
        <v>-9.9999999875031292E-9</v>
      </c>
    </row>
    <row r="6" spans="2:14" ht="16" customHeight="1" x14ac:dyDescent="0.2">
      <c r="B6" s="65" t="s">
        <v>23</v>
      </c>
      <c r="C6" s="62">
        <v>8.3333333333333329E-2</v>
      </c>
      <c r="F6" s="65" t="s">
        <v>23</v>
      </c>
      <c r="G6" s="69">
        <v>0</v>
      </c>
      <c r="I6" s="65" t="s">
        <v>23</v>
      </c>
      <c r="J6" s="62">
        <v>0</v>
      </c>
      <c r="K6" s="62">
        <v>0</v>
      </c>
      <c r="L6" s="62">
        <v>0</v>
      </c>
      <c r="M6" s="62">
        <v>0</v>
      </c>
      <c r="N6" s="62">
        <v>0</v>
      </c>
    </row>
    <row r="7" spans="2:14" ht="16" customHeight="1" x14ac:dyDescent="0.2">
      <c r="B7" s="65" t="s">
        <v>24</v>
      </c>
      <c r="C7" s="62">
        <v>8.3333333333333329E-2</v>
      </c>
      <c r="F7" s="65" t="s">
        <v>24</v>
      </c>
      <c r="G7" s="69">
        <v>0</v>
      </c>
      <c r="I7" s="65" t="s">
        <v>24</v>
      </c>
      <c r="J7" s="62">
        <v>0</v>
      </c>
      <c r="K7" s="62">
        <v>0</v>
      </c>
      <c r="L7" s="62">
        <v>0</v>
      </c>
      <c r="M7" s="62">
        <v>0</v>
      </c>
      <c r="N7" s="62">
        <v>0</v>
      </c>
    </row>
    <row r="8" spans="2:14" ht="16" customHeight="1" x14ac:dyDescent="0.2">
      <c r="B8" s="65" t="s">
        <v>25</v>
      </c>
      <c r="C8" s="62">
        <v>8.3333333333333329E-2</v>
      </c>
      <c r="F8" s="65" t="s">
        <v>25</v>
      </c>
      <c r="G8" s="69">
        <v>0.29776651342005889</v>
      </c>
      <c r="I8" s="65" t="s">
        <v>25</v>
      </c>
      <c r="J8" s="62">
        <v>0.20870557709391049</v>
      </c>
      <c r="K8" s="62">
        <v>0.1164751767072907</v>
      </c>
      <c r="L8" s="62">
        <v>0</v>
      </c>
      <c r="M8" s="62">
        <v>0</v>
      </c>
      <c r="N8" s="62">
        <v>0</v>
      </c>
    </row>
    <row r="9" spans="2:14" ht="16" customHeight="1" x14ac:dyDescent="0.2">
      <c r="B9" s="65" t="s">
        <v>26</v>
      </c>
      <c r="C9" s="62">
        <v>8.3333333333333329E-2</v>
      </c>
      <c r="F9" s="65" t="s">
        <v>26</v>
      </c>
      <c r="G9" s="69">
        <v>7.4164696153373386E-2</v>
      </c>
      <c r="I9" s="65" t="s">
        <v>26</v>
      </c>
      <c r="J9" s="62">
        <v>2.763861919750361E-2</v>
      </c>
      <c r="K9" s="62">
        <v>0</v>
      </c>
      <c r="L9" s="62">
        <v>0</v>
      </c>
      <c r="M9" s="62">
        <v>0</v>
      </c>
      <c r="N9" s="62">
        <v>0</v>
      </c>
    </row>
    <row r="10" spans="2:14" ht="16" customHeight="1" x14ac:dyDescent="0.2">
      <c r="B10" s="65" t="s">
        <v>27</v>
      </c>
      <c r="C10" s="62">
        <v>8.3333333333333329E-2</v>
      </c>
      <c r="F10" s="65" t="s">
        <v>27</v>
      </c>
      <c r="G10" s="69">
        <v>0.12240148578305091</v>
      </c>
      <c r="I10" s="65" t="s">
        <v>27</v>
      </c>
      <c r="J10" s="62">
        <v>0.234475985344719</v>
      </c>
      <c r="K10" s="62">
        <v>0.32930774620839659</v>
      </c>
      <c r="L10" s="62">
        <v>0.42495466222257577</v>
      </c>
      <c r="M10" s="62">
        <v>0.42764660858484038</v>
      </c>
      <c r="N10" s="62">
        <v>1.0000000099999999</v>
      </c>
    </row>
    <row r="11" spans="2:14" ht="16" customHeight="1" x14ac:dyDescent="0.2">
      <c r="B11" s="65" t="s">
        <v>28</v>
      </c>
      <c r="C11" s="62">
        <v>8.3333333333333329E-2</v>
      </c>
      <c r="F11" s="65" t="s">
        <v>28</v>
      </c>
      <c r="G11" s="69">
        <v>0.17212290136994671</v>
      </c>
      <c r="I11" s="65" t="s">
        <v>28</v>
      </c>
      <c r="J11" s="62">
        <v>6.0909382960508483E-2</v>
      </c>
      <c r="K11" s="62">
        <v>0</v>
      </c>
      <c r="L11" s="62">
        <v>0</v>
      </c>
      <c r="M11" s="62">
        <v>0</v>
      </c>
      <c r="N11" s="62">
        <v>0</v>
      </c>
    </row>
    <row r="12" spans="2:14" ht="16" customHeight="1" x14ac:dyDescent="0.2">
      <c r="B12" s="65" t="s">
        <v>29</v>
      </c>
      <c r="C12" s="62">
        <v>8.3333333333333329E-2</v>
      </c>
      <c r="F12" s="65" t="s">
        <v>29</v>
      </c>
      <c r="G12" s="69">
        <v>0</v>
      </c>
      <c r="I12" s="65" t="s">
        <v>29</v>
      </c>
      <c r="J12" s="62">
        <v>0</v>
      </c>
      <c r="K12" s="62">
        <v>0</v>
      </c>
      <c r="L12" s="62">
        <v>0</v>
      </c>
      <c r="M12" s="62">
        <v>0</v>
      </c>
      <c r="N12" s="62">
        <v>0</v>
      </c>
    </row>
    <row r="13" spans="2:14" ht="16" customHeight="1" x14ac:dyDescent="0.2">
      <c r="B13" s="65" t="s">
        <v>30</v>
      </c>
      <c r="C13" s="62">
        <v>8.3333333333333329E-2</v>
      </c>
      <c r="F13" s="65" t="s">
        <v>30</v>
      </c>
      <c r="G13" s="69">
        <v>0.19524984716884219</v>
      </c>
      <c r="I13" s="65" t="s">
        <v>30</v>
      </c>
      <c r="J13" s="62">
        <v>0.21786137120364979</v>
      </c>
      <c r="K13" s="62">
        <v>0.22645300399891169</v>
      </c>
      <c r="L13" s="62">
        <v>0.20985507980347901</v>
      </c>
      <c r="M13" s="62">
        <v>0.1042456070331538</v>
      </c>
      <c r="N13" s="62">
        <v>0</v>
      </c>
    </row>
    <row r="14" spans="2:14" ht="16" customHeight="1" x14ac:dyDescent="0.2">
      <c r="B14" s="65" t="s">
        <v>31</v>
      </c>
      <c r="C14" s="62">
        <v>8.3333333333333329E-2</v>
      </c>
      <c r="F14" s="65" t="s">
        <v>31</v>
      </c>
      <c r="G14" s="69">
        <v>4.0468165584286953E-2</v>
      </c>
      <c r="I14" s="65" t="s">
        <v>31</v>
      </c>
      <c r="J14" s="62">
        <v>7.2761499213767525E-2</v>
      </c>
      <c r="K14" s="62">
        <v>7.5844637994139791E-2</v>
      </c>
      <c r="L14" s="62">
        <v>5.6791568916815763E-2</v>
      </c>
      <c r="M14" s="62">
        <v>4.6340895923155873E-3</v>
      </c>
      <c r="N14" s="62">
        <v>0</v>
      </c>
    </row>
    <row r="15" spans="2:14" ht="16" customHeight="1" x14ac:dyDescent="0.2">
      <c r="B15" s="65" t="s">
        <v>32</v>
      </c>
      <c r="C15" s="62">
        <v>8.3333333333333329E-2</v>
      </c>
      <c r="F15" s="65" t="s">
        <v>32</v>
      </c>
      <c r="G15" s="69">
        <v>7.8867659782507579E-2</v>
      </c>
      <c r="I15" s="65" t="s">
        <v>32</v>
      </c>
      <c r="J15" s="62">
        <v>8.6687607197302008E-2</v>
      </c>
      <c r="K15" s="62">
        <v>7.0190041208522846E-2</v>
      </c>
      <c r="L15" s="62">
        <v>2.8804436585451901E-2</v>
      </c>
      <c r="M15" s="62">
        <v>0</v>
      </c>
      <c r="N15" s="62">
        <v>0</v>
      </c>
    </row>
    <row r="16" spans="2:14" ht="16" customHeight="1" x14ac:dyDescent="0.2">
      <c r="B16" s="65" t="s">
        <v>33</v>
      </c>
      <c r="C16" s="62">
        <v>8.3333333333333329E-2</v>
      </c>
      <c r="F16" s="65" t="s">
        <v>33</v>
      </c>
      <c r="G16" s="69">
        <v>1.8958730737933381E-2</v>
      </c>
      <c r="I16" s="65" t="s">
        <v>33</v>
      </c>
      <c r="J16" s="62">
        <v>9.0959957788638968E-2</v>
      </c>
      <c r="K16" s="62">
        <v>0.1182158155609504</v>
      </c>
      <c r="L16" s="62">
        <v>0.11577357450683411</v>
      </c>
      <c r="M16" s="62">
        <v>4.3940638269260382E-2</v>
      </c>
      <c r="N16" s="62">
        <v>0</v>
      </c>
    </row>
    <row r="17" spans="1:18" ht="16" customHeight="1" x14ac:dyDescent="0.2">
      <c r="B17" s="64" t="s">
        <v>267</v>
      </c>
      <c r="C17" s="62">
        <f>SUM(C5:C16)</f>
        <v>1</v>
      </c>
      <c r="F17" s="59" t="s">
        <v>267</v>
      </c>
      <c r="G17" s="62">
        <f>SUM(G5:G16)</f>
        <v>0.99999999999999989</v>
      </c>
      <c r="I17" s="59" t="s">
        <v>267</v>
      </c>
      <c r="J17" s="62">
        <f>SUM(J5:J16)</f>
        <v>0.99999999999999989</v>
      </c>
      <c r="K17" s="62">
        <f>SUM(K5:K16)</f>
        <v>0.99999999999999967</v>
      </c>
      <c r="L17" s="62">
        <f>SUM(L5:L16)</f>
        <v>1</v>
      </c>
      <c r="M17" s="62">
        <f>SUM(M5:M16)</f>
        <v>1</v>
      </c>
      <c r="N17" s="62">
        <f>SUM(N5:N16)</f>
        <v>1</v>
      </c>
    </row>
    <row r="19" spans="1:18" ht="16" customHeight="1" x14ac:dyDescent="0.2">
      <c r="B19" s="59" t="s">
        <v>268</v>
      </c>
      <c r="C19" s="66">
        <f t="array" ref="C19">SUMPRODUCT(C5:C16,TRANSPOSE('Returns-VOL'!$C$195:$N$195))</f>
        <v>0.12885892867803608</v>
      </c>
      <c r="D19" s="26"/>
      <c r="F19" s="59" t="s">
        <v>268</v>
      </c>
      <c r="G19" s="66">
        <f t="array" ref="G19">SUMPRODUCT(G5:G16,TRANSPOSE('Returns-VOL'!$C$195:$N$195))</f>
        <v>0.10508717966454466</v>
      </c>
      <c r="I19" s="59" t="s">
        <v>268</v>
      </c>
      <c r="J19" s="68">
        <f t="array" ref="J19">SUMPRODUCT(J5:J16,TRANSPOSE('Returns-VOL'!$C$195:$N$195))</f>
        <v>0.13008717978351136</v>
      </c>
      <c r="K19" s="68">
        <f t="array" ref="K19">SUMPRODUCT(K5:K16,TRANSPOSE('Returns-VOL'!$C$195:$N$195))</f>
        <v>0.15508718068879249</v>
      </c>
      <c r="L19" s="68">
        <f t="array" ref="L19">SUMPRODUCT(L5:L16,TRANSPOSE('Returns-VOL'!$C$195:$N$195))</f>
        <v>0.18008718123769055</v>
      </c>
      <c r="M19" s="68">
        <f t="array" ref="M19">SUMPRODUCT(M5:M16,TRANSPOSE('Returns-VOL'!$C$195:$N$195))</f>
        <v>0.20508718966454464</v>
      </c>
      <c r="N19" s="70">
        <f t="array" ref="N19">SUMPRODUCT(N5:N16,TRANSPOSE('Returns-VOL'!$C$195:$N$195))</f>
        <v>0.22331505841361116</v>
      </c>
    </row>
    <row r="20" spans="1:18" ht="16" customHeight="1" x14ac:dyDescent="0.2">
      <c r="B20" s="59" t="s">
        <v>269</v>
      </c>
      <c r="C20" s="66">
        <f t="array" ref="C20">MMULT(TRANSPOSE(C5:C16),MMULT('Covariance Matrix'!C5:N16,C5:C16)) *12</f>
        <v>2.7308015505577751E-2</v>
      </c>
      <c r="F20" s="59" t="s">
        <v>269</v>
      </c>
      <c r="G20" s="66">
        <f t="array" ref="G20">MMULT(TRANSPOSE(G5:G16),MMULT('Covariance Matrix'!C5:N16,G5:G16)) *12</f>
        <v>1.5337717889341282E-2</v>
      </c>
      <c r="I20" s="59" t="s">
        <v>269</v>
      </c>
      <c r="J20" s="66">
        <f t="array" ref="J20">MMULT(TRANSPOSE(J5:J16),MMULT('Covariance Matrix'!C5:N16,J5:J16)) *12</f>
        <v>1.6692217508727764E-2</v>
      </c>
      <c r="K20" s="66">
        <f t="array" ref="K20">MMULT(TRANSPOSE(K5:K16),MMULT('Covariance Matrix'!C5:N16,K5:K16)) *12</f>
        <v>2.0575982260954633E-2</v>
      </c>
      <c r="L20" s="66">
        <f t="array" ref="L20">MMULT(TRANSPOSE(L5:L16),MMULT('Covariance Matrix'!C5:N16,L5:L16)) *12</f>
        <v>2.7012040151793041E-2</v>
      </c>
      <c r="M20" s="66">
        <f t="array" ref="M20">MMULT(TRANSPOSE(M5:M16),MMULT('Covariance Matrix'!C5:N16,M5:M16)) *12</f>
        <v>3.8692101988654498E-2</v>
      </c>
      <c r="N20" s="66">
        <f t="array" ref="N20">MMULT(TRANSPOSE(N5:N16),MMULT('Covariance Matrix'!C5:N16,N5:N16)) *12</f>
        <v>6.5576844810227936E-2</v>
      </c>
    </row>
    <row r="21" spans="1:18" ht="16" customHeight="1" x14ac:dyDescent="0.2">
      <c r="B21" s="59" t="s">
        <v>270</v>
      </c>
      <c r="C21" s="66">
        <f>SQRT(C20)</f>
        <v>0.16525137066172174</v>
      </c>
      <c r="F21" s="59" t="s">
        <v>270</v>
      </c>
      <c r="G21" s="66">
        <f>SQRT(G20)</f>
        <v>0.12384554044995436</v>
      </c>
      <c r="I21" s="59" t="s">
        <v>270</v>
      </c>
      <c r="J21" s="66">
        <f>SQRT(J20)</f>
        <v>0.12919836496151088</v>
      </c>
      <c r="K21" s="66">
        <f>SQRT(K20)</f>
        <v>0.14344330678339312</v>
      </c>
      <c r="L21" s="66">
        <f>SQRT(L20)</f>
        <v>0.16435340018324246</v>
      </c>
      <c r="M21" s="66">
        <f>SQRT(M20)</f>
        <v>0.19670308078079127</v>
      </c>
      <c r="N21" s="66">
        <f>SQRT(N20)</f>
        <v>0.25607976259405574</v>
      </c>
    </row>
    <row r="22" spans="1:18" ht="16" customHeight="1" x14ac:dyDescent="0.2">
      <c r="I22" s="67" t="s">
        <v>271</v>
      </c>
      <c r="J22" s="68">
        <f>G19+2.5%</f>
        <v>0.13008717966454467</v>
      </c>
      <c r="K22" s="68">
        <f>J22+2.5%</f>
        <v>0.15508717966454466</v>
      </c>
      <c r="L22" s="68">
        <f>K22+2.5%</f>
        <v>0.18008717966454466</v>
      </c>
      <c r="M22" s="68">
        <f>L22+2.5%</f>
        <v>0.20508717966454465</v>
      </c>
      <c r="N22" s="70">
        <f>M22+2.5%</f>
        <v>0.23008717966454464</v>
      </c>
    </row>
    <row r="23" spans="1:18" x14ac:dyDescent="0.2">
      <c r="I23" s="34"/>
      <c r="J23" s="34"/>
      <c r="K23" s="34"/>
      <c r="L23" s="34"/>
      <c r="M23" s="34"/>
    </row>
    <row r="24" spans="1:18" ht="32" customHeight="1" x14ac:dyDescent="0.2">
      <c r="A24" s="73" t="s">
        <v>272</v>
      </c>
      <c r="B24" s="135" t="s">
        <v>273</v>
      </c>
      <c r="C24" s="137"/>
      <c r="D24" s="137"/>
      <c r="E24" s="137"/>
      <c r="F24" s="137"/>
      <c r="G24" s="137"/>
      <c r="H24" s="137"/>
      <c r="I24" s="137"/>
      <c r="J24" s="137"/>
      <c r="K24" s="137"/>
      <c r="L24" s="137"/>
      <c r="M24" s="137"/>
      <c r="N24" s="137"/>
      <c r="O24" s="136"/>
    </row>
    <row r="25" spans="1:18" ht="16" customHeight="1" x14ac:dyDescent="0.2">
      <c r="B25" s="71" t="s">
        <v>256</v>
      </c>
      <c r="C25" s="64" t="s">
        <v>261</v>
      </c>
      <c r="D25" s="64" t="s">
        <v>262</v>
      </c>
      <c r="E25" s="64" t="s">
        <v>263</v>
      </c>
      <c r="F25" s="64" t="s">
        <v>264</v>
      </c>
      <c r="G25" s="64" t="s">
        <v>265</v>
      </c>
      <c r="H25" s="64" t="s">
        <v>266</v>
      </c>
    </row>
    <row r="26" spans="1:18" ht="16" customHeight="1" x14ac:dyDescent="0.2">
      <c r="B26" s="65" t="s">
        <v>22</v>
      </c>
      <c r="C26" s="66">
        <v>0</v>
      </c>
      <c r="D26" s="66">
        <v>0</v>
      </c>
      <c r="E26" s="66">
        <v>6.351357832178775E-2</v>
      </c>
      <c r="F26" s="66">
        <v>0.1638206779648434</v>
      </c>
      <c r="G26" s="66">
        <v>0.41953305652042988</v>
      </c>
      <c r="H26" s="66">
        <v>-9.9999999875031292E-9</v>
      </c>
    </row>
    <row r="27" spans="1:18" ht="16" customHeight="1" x14ac:dyDescent="0.2">
      <c r="B27" s="65" t="s">
        <v>23</v>
      </c>
      <c r="C27" s="66">
        <v>0</v>
      </c>
      <c r="D27" s="66">
        <v>0</v>
      </c>
      <c r="E27" s="66">
        <v>0</v>
      </c>
      <c r="F27" s="66">
        <v>0</v>
      </c>
      <c r="G27" s="66">
        <v>0</v>
      </c>
      <c r="H27" s="66">
        <v>0</v>
      </c>
    </row>
    <row r="28" spans="1:18" ht="21" customHeight="1" x14ac:dyDescent="0.2">
      <c r="B28" s="65" t="s">
        <v>24</v>
      </c>
      <c r="C28" s="66">
        <v>0</v>
      </c>
      <c r="D28" s="66">
        <v>0</v>
      </c>
      <c r="E28" s="66">
        <v>0</v>
      </c>
      <c r="F28" s="66">
        <v>0</v>
      </c>
      <c r="G28" s="66">
        <v>0</v>
      </c>
      <c r="H28" s="66">
        <v>0</v>
      </c>
      <c r="O28" s="138" t="s">
        <v>274</v>
      </c>
      <c r="P28" s="119"/>
      <c r="Q28" s="119"/>
      <c r="R28" s="119"/>
    </row>
    <row r="29" spans="1:18" ht="16" customHeight="1" x14ac:dyDescent="0.2">
      <c r="B29" s="65" t="s">
        <v>25</v>
      </c>
      <c r="C29" s="66">
        <v>0.29776651342005889</v>
      </c>
      <c r="D29" s="66">
        <v>0.20870557709391049</v>
      </c>
      <c r="E29" s="66">
        <v>0.1164751767072907</v>
      </c>
      <c r="F29" s="66">
        <v>0</v>
      </c>
      <c r="G29" s="66">
        <v>0</v>
      </c>
      <c r="H29" s="66">
        <v>0</v>
      </c>
      <c r="O29" s="119"/>
      <c r="P29" s="119"/>
      <c r="Q29" s="119"/>
      <c r="R29" s="119"/>
    </row>
    <row r="30" spans="1:18" ht="16" customHeight="1" x14ac:dyDescent="0.2">
      <c r="B30" s="65" t="s">
        <v>26</v>
      </c>
      <c r="C30" s="66">
        <v>7.4164696153373386E-2</v>
      </c>
      <c r="D30" s="66">
        <v>2.763861919750361E-2</v>
      </c>
      <c r="E30" s="66">
        <v>0</v>
      </c>
      <c r="F30" s="66">
        <v>0</v>
      </c>
      <c r="G30" s="66">
        <v>0</v>
      </c>
      <c r="H30" s="66">
        <v>0</v>
      </c>
      <c r="O30" s="119"/>
      <c r="P30" s="119"/>
      <c r="Q30" s="119"/>
      <c r="R30" s="119"/>
    </row>
    <row r="31" spans="1:18" ht="16" customHeight="1" x14ac:dyDescent="0.2">
      <c r="B31" s="65" t="s">
        <v>27</v>
      </c>
      <c r="C31" s="66">
        <v>0.12240148578305091</v>
      </c>
      <c r="D31" s="66">
        <v>0.234475985344719</v>
      </c>
      <c r="E31" s="66">
        <v>0.32930774620839659</v>
      </c>
      <c r="F31" s="66">
        <v>0.42495466222257577</v>
      </c>
      <c r="G31" s="66">
        <v>0.42764660858484038</v>
      </c>
      <c r="H31" s="66">
        <v>1.0000000099999999</v>
      </c>
      <c r="O31" s="119"/>
      <c r="P31" s="119"/>
      <c r="Q31" s="119"/>
      <c r="R31" s="119"/>
    </row>
    <row r="32" spans="1:18" ht="16" customHeight="1" x14ac:dyDescent="0.2">
      <c r="B32" s="65" t="s">
        <v>28</v>
      </c>
      <c r="C32" s="66">
        <v>0.17212290136994671</v>
      </c>
      <c r="D32" s="66">
        <v>6.0909382960508483E-2</v>
      </c>
      <c r="E32" s="66">
        <v>0</v>
      </c>
      <c r="F32" s="66">
        <v>0</v>
      </c>
      <c r="G32" s="66">
        <v>0</v>
      </c>
      <c r="H32" s="66">
        <v>0</v>
      </c>
      <c r="O32" s="119"/>
      <c r="P32" s="119"/>
      <c r="Q32" s="119"/>
      <c r="R32" s="119"/>
    </row>
    <row r="33" spans="1:18" ht="16" customHeight="1" x14ac:dyDescent="0.2">
      <c r="B33" s="65" t="s">
        <v>29</v>
      </c>
      <c r="C33" s="66">
        <v>0</v>
      </c>
      <c r="D33" s="66">
        <v>0</v>
      </c>
      <c r="E33" s="66">
        <v>0</v>
      </c>
      <c r="F33" s="66">
        <v>0</v>
      </c>
      <c r="G33" s="66">
        <v>0</v>
      </c>
      <c r="H33" s="66">
        <v>0</v>
      </c>
      <c r="O33" s="119"/>
      <c r="P33" s="119"/>
      <c r="Q33" s="119"/>
      <c r="R33" s="119"/>
    </row>
    <row r="34" spans="1:18" ht="16" customHeight="1" x14ac:dyDescent="0.2">
      <c r="B34" s="65" t="s">
        <v>30</v>
      </c>
      <c r="C34" s="66">
        <v>0.19524984716884219</v>
      </c>
      <c r="D34" s="66">
        <v>0.21786137120364979</v>
      </c>
      <c r="E34" s="66">
        <v>0.22645300399891169</v>
      </c>
      <c r="F34" s="66">
        <v>0.20985507980347901</v>
      </c>
      <c r="G34" s="66">
        <v>0.1042456070331538</v>
      </c>
      <c r="H34" s="66">
        <v>0</v>
      </c>
      <c r="O34" s="28"/>
      <c r="P34" s="28"/>
      <c r="Q34" s="28"/>
    </row>
    <row r="35" spans="1:18" ht="16" customHeight="1" x14ac:dyDescent="0.2">
      <c r="B35" s="65" t="s">
        <v>31</v>
      </c>
      <c r="C35" s="66">
        <v>4.0468165584286953E-2</v>
      </c>
      <c r="D35" s="66">
        <v>7.2761499213767525E-2</v>
      </c>
      <c r="E35" s="66">
        <v>7.5844637994139791E-2</v>
      </c>
      <c r="F35" s="66">
        <v>5.6791568916815763E-2</v>
      </c>
      <c r="G35" s="66">
        <v>4.6340895923155873E-3</v>
      </c>
      <c r="H35" s="66">
        <v>0</v>
      </c>
      <c r="O35" s="28"/>
      <c r="P35" s="28"/>
      <c r="Q35" s="28"/>
    </row>
    <row r="36" spans="1:18" ht="16" customHeight="1" x14ac:dyDescent="0.2">
      <c r="B36" s="65" t="s">
        <v>32</v>
      </c>
      <c r="C36" s="66">
        <v>7.8867659782507579E-2</v>
      </c>
      <c r="D36" s="66">
        <v>8.6687607197302008E-2</v>
      </c>
      <c r="E36" s="66">
        <v>7.0190041208522846E-2</v>
      </c>
      <c r="F36" s="66">
        <v>2.8804436585451901E-2</v>
      </c>
      <c r="G36" s="66">
        <v>0</v>
      </c>
      <c r="H36" s="66">
        <v>0</v>
      </c>
    </row>
    <row r="37" spans="1:18" ht="16" customHeight="1" x14ac:dyDescent="0.2">
      <c r="B37" s="65" t="s">
        <v>33</v>
      </c>
      <c r="C37" s="66">
        <v>1.8958730737933381E-2</v>
      </c>
      <c r="D37" s="66">
        <v>9.0959957788638968E-2</v>
      </c>
      <c r="E37" s="66">
        <v>0.1182158155609504</v>
      </c>
      <c r="F37" s="66">
        <v>0.11577357450683411</v>
      </c>
      <c r="G37" s="66">
        <v>4.3940638269260382E-2</v>
      </c>
      <c r="H37" s="66">
        <v>0</v>
      </c>
    </row>
    <row r="38" spans="1:18" ht="16" customHeight="1" x14ac:dyDescent="0.2">
      <c r="B38" s="64" t="s">
        <v>275</v>
      </c>
      <c r="C38" s="66">
        <v>0.99999999999999989</v>
      </c>
      <c r="D38" s="66">
        <v>0.99999999999999989</v>
      </c>
      <c r="E38" s="66">
        <v>0.99999999999999989</v>
      </c>
      <c r="F38" s="66">
        <v>1</v>
      </c>
      <c r="G38" s="66">
        <v>1</v>
      </c>
      <c r="H38" s="66">
        <v>1</v>
      </c>
    </row>
    <row r="39" spans="1:18" x14ac:dyDescent="0.2">
      <c r="C39" s="34"/>
      <c r="D39" s="34"/>
      <c r="E39" s="34"/>
      <c r="F39" s="34"/>
      <c r="G39" s="34"/>
      <c r="H39" s="34"/>
    </row>
    <row r="40" spans="1:18" ht="16" customHeight="1" x14ac:dyDescent="0.2">
      <c r="B40" s="59" t="s">
        <v>268</v>
      </c>
      <c r="C40" s="66">
        <v>0.1050871796645447</v>
      </c>
      <c r="D40" s="66">
        <v>0.13008717978351131</v>
      </c>
      <c r="E40" s="66">
        <v>0.15508718068879249</v>
      </c>
      <c r="F40" s="66">
        <v>0.1800871812376906</v>
      </c>
      <c r="G40" s="66">
        <v>0.20508718966454459</v>
      </c>
      <c r="H40" s="66">
        <v>0.22331505841361121</v>
      </c>
    </row>
    <row r="41" spans="1:18" ht="16" customHeight="1" x14ac:dyDescent="0.2">
      <c r="B41" s="59" t="s">
        <v>269</v>
      </c>
      <c r="C41" s="66">
        <v>1.533771788934128E-2</v>
      </c>
      <c r="D41" s="66">
        <v>1.669221750872776E-2</v>
      </c>
      <c r="E41" s="66">
        <v>2.0575982260954629E-2</v>
      </c>
      <c r="F41" s="66">
        <v>2.7012040151793041E-2</v>
      </c>
      <c r="G41" s="66">
        <v>3.8692101988654498E-2</v>
      </c>
      <c r="H41" s="66">
        <v>6.5576844810227936E-2</v>
      </c>
    </row>
    <row r="42" spans="1:18" ht="16" customHeight="1" x14ac:dyDescent="0.2">
      <c r="B42" s="59" t="s">
        <v>270</v>
      </c>
      <c r="C42" s="66">
        <v>0.1238455404499544</v>
      </c>
      <c r="D42" s="66">
        <v>0.12919836496151091</v>
      </c>
      <c r="E42" s="66">
        <v>0.14344330678339309</v>
      </c>
      <c r="F42" s="66">
        <v>0.16435340018324249</v>
      </c>
      <c r="G42" s="66">
        <v>0.1967030807807913</v>
      </c>
      <c r="H42" s="66">
        <v>0.25607976259405568</v>
      </c>
    </row>
    <row r="44" spans="1:18" ht="29" customHeight="1" x14ac:dyDescent="0.2">
      <c r="A44" t="s">
        <v>276</v>
      </c>
      <c r="B44" s="135" t="s">
        <v>277</v>
      </c>
      <c r="C44" s="137"/>
      <c r="D44" s="137"/>
      <c r="E44" s="137"/>
      <c r="F44" s="137"/>
      <c r="G44" s="137"/>
      <c r="H44" s="137"/>
      <c r="I44" s="137"/>
      <c r="J44" s="137"/>
      <c r="K44" s="137"/>
      <c r="L44" s="137"/>
      <c r="M44" s="137"/>
      <c r="N44" s="137"/>
      <c r="O44" s="136"/>
    </row>
    <row r="45" spans="1:18" ht="16" customHeight="1" x14ac:dyDescent="0.2">
      <c r="B45" s="71" t="s">
        <v>256</v>
      </c>
      <c r="C45" s="64" t="s">
        <v>261</v>
      </c>
      <c r="D45" s="64">
        <v>0.05</v>
      </c>
      <c r="E45" s="64">
        <v>0.1</v>
      </c>
      <c r="F45" s="64">
        <v>0.2</v>
      </c>
      <c r="G45" s="64">
        <v>0.3</v>
      </c>
      <c r="H45" s="64">
        <v>0.4</v>
      </c>
    </row>
    <row r="46" spans="1:18" ht="16" customHeight="1" x14ac:dyDescent="0.2">
      <c r="B46" s="65" t="s">
        <v>22</v>
      </c>
      <c r="C46" s="62">
        <v>-9.2487479746624801E-2</v>
      </c>
      <c r="D46" s="62">
        <v>-0.25192648190421751</v>
      </c>
      <c r="E46" s="62">
        <v>-9.2473900682787255E-2</v>
      </c>
      <c r="F46" s="62">
        <v>0.226445272504675</v>
      </c>
      <c r="G46" s="62">
        <v>0.54536408797842983</v>
      </c>
      <c r="H46" s="62">
        <v>0.86428280039351502</v>
      </c>
    </row>
    <row r="47" spans="1:18" ht="16" customHeight="1" x14ac:dyDescent="0.2">
      <c r="B47" s="65" t="s">
        <v>23</v>
      </c>
      <c r="C47" s="62">
        <v>-2.7646529575005099E-2</v>
      </c>
      <c r="D47" s="62">
        <v>7.0297158522393223E-3</v>
      </c>
      <c r="E47" s="62">
        <v>-2.7647582480745451E-2</v>
      </c>
      <c r="F47" s="62">
        <v>-9.700661502194953E-2</v>
      </c>
      <c r="G47" s="62">
        <v>-0.16636288884942041</v>
      </c>
      <c r="H47" s="62">
        <v>-0.23571795928873079</v>
      </c>
    </row>
    <row r="48" spans="1:18" ht="16" customHeight="1" x14ac:dyDescent="0.2">
      <c r="B48" s="65" t="s">
        <v>24</v>
      </c>
      <c r="C48" s="62">
        <v>-2.9182291303012631E-2</v>
      </c>
      <c r="D48" s="62">
        <v>-3.6267750742884769E-2</v>
      </c>
      <c r="E48" s="62">
        <v>-2.9180145456087169E-2</v>
      </c>
      <c r="F48" s="62">
        <v>-1.502072451246605E-2</v>
      </c>
      <c r="G48" s="62">
        <v>-7.9185714014000234E-4</v>
      </c>
      <c r="H48" s="62">
        <v>1.340107552490619E-2</v>
      </c>
    </row>
    <row r="49" spans="2:8" ht="16" customHeight="1" x14ac:dyDescent="0.2">
      <c r="B49" s="65" t="s">
        <v>25</v>
      </c>
      <c r="C49" s="62">
        <v>0.28718771144974009</v>
      </c>
      <c r="D49" s="62">
        <v>0.39676239603482211</v>
      </c>
      <c r="E49" s="62">
        <v>0.28718403315745877</v>
      </c>
      <c r="F49" s="62">
        <v>6.8005332589774134E-2</v>
      </c>
      <c r="G49" s="62">
        <v>-0.1511174222328103</v>
      </c>
      <c r="H49" s="62">
        <v>-0.37026603477767128</v>
      </c>
    </row>
    <row r="50" spans="2:8" ht="16" customHeight="1" x14ac:dyDescent="0.2">
      <c r="B50" s="65" t="s">
        <v>26</v>
      </c>
      <c r="C50" s="62">
        <v>8.1250520117929645E-2</v>
      </c>
      <c r="D50" s="62">
        <v>0.16194807495472421</v>
      </c>
      <c r="E50" s="62">
        <v>8.1245744283787349E-2</v>
      </c>
      <c r="F50" s="62">
        <v>-8.0152092225585336E-2</v>
      </c>
      <c r="G50" s="62">
        <v>-0.24163909158501859</v>
      </c>
      <c r="H50" s="62">
        <v>-0.40308159823013989</v>
      </c>
    </row>
    <row r="51" spans="2:8" ht="16" customHeight="1" x14ac:dyDescent="0.2">
      <c r="B51" s="65" t="s">
        <v>27</v>
      </c>
      <c r="C51" s="62">
        <v>0.1058616360851871</v>
      </c>
      <c r="D51" s="62">
        <v>-4.1809065116392603E-2</v>
      </c>
      <c r="E51" s="62">
        <v>0.1058738663311968</v>
      </c>
      <c r="F51" s="62">
        <v>0.4012381190019782</v>
      </c>
      <c r="G51" s="62">
        <v>0.69654245580169405</v>
      </c>
      <c r="H51" s="62">
        <v>0.99187671353047968</v>
      </c>
    </row>
    <row r="52" spans="2:8" ht="16" customHeight="1" x14ac:dyDescent="0.2">
      <c r="B52" s="65" t="s">
        <v>28</v>
      </c>
      <c r="C52" s="62">
        <v>0.1762136411698022</v>
      </c>
      <c r="D52" s="62">
        <v>0.33472797752054662</v>
      </c>
      <c r="E52" s="62">
        <v>0.17619882579056029</v>
      </c>
      <c r="F52" s="62">
        <v>-0.14084474474756209</v>
      </c>
      <c r="G52" s="62">
        <v>-0.45790694221582212</v>
      </c>
      <c r="H52" s="62">
        <v>-0.77496016416401614</v>
      </c>
    </row>
    <row r="53" spans="2:8" ht="16" customHeight="1" x14ac:dyDescent="0.2">
      <c r="B53" s="65" t="s">
        <v>29</v>
      </c>
      <c r="C53" s="62">
        <v>-0.10688207209246881</v>
      </c>
      <c r="D53" s="62">
        <v>-5.3844184316305582E-2</v>
      </c>
      <c r="E53" s="62">
        <v>-0.106886510279839</v>
      </c>
      <c r="F53" s="62">
        <v>-0.2129645688191471</v>
      </c>
      <c r="G53" s="62">
        <v>-0.31907224300473958</v>
      </c>
      <c r="H53" s="62">
        <v>-0.42516554733943041</v>
      </c>
    </row>
    <row r="54" spans="2:8" ht="16" customHeight="1" x14ac:dyDescent="0.2">
      <c r="B54" s="65" t="s">
        <v>30</v>
      </c>
      <c r="C54" s="62">
        <v>0.18485387738915779</v>
      </c>
      <c r="D54" s="62">
        <v>0.168232034246214</v>
      </c>
      <c r="E54" s="62">
        <v>0.1848526268112762</v>
      </c>
      <c r="F54" s="62">
        <v>0.21809810183807279</v>
      </c>
      <c r="G54" s="62">
        <v>0.25136074758550209</v>
      </c>
      <c r="H54" s="62">
        <v>0.28461533875314171</v>
      </c>
    </row>
    <row r="55" spans="2:8" ht="16" customHeight="1" x14ac:dyDescent="0.2">
      <c r="B55" s="65" t="s">
        <v>31</v>
      </c>
      <c r="C55" s="62">
        <v>0.12956142209574589</v>
      </c>
      <c r="D55" s="62">
        <v>0.1011574572095226</v>
      </c>
      <c r="E55" s="62">
        <v>0.12956466299676739</v>
      </c>
      <c r="F55" s="62">
        <v>0.1863608313628195</v>
      </c>
      <c r="G55" s="62">
        <v>0.24317881176838041</v>
      </c>
      <c r="H55" s="62">
        <v>0.29998869497353831</v>
      </c>
    </row>
    <row r="56" spans="2:8" ht="16" customHeight="1" x14ac:dyDescent="0.2">
      <c r="B56" s="65" t="s">
        <v>32</v>
      </c>
      <c r="C56" s="62">
        <v>0.16432096636496499</v>
      </c>
      <c r="D56" s="62">
        <v>0.15323715777171579</v>
      </c>
      <c r="E56" s="62">
        <v>0.16431887265478901</v>
      </c>
      <c r="F56" s="62">
        <v>0.18648616890914549</v>
      </c>
      <c r="G56" s="62">
        <v>0.20862522049771209</v>
      </c>
      <c r="H56" s="62">
        <v>0.2307752681810134</v>
      </c>
    </row>
    <row r="57" spans="2:8" ht="16" customHeight="1" x14ac:dyDescent="0.2">
      <c r="B57" s="65" t="s">
        <v>33</v>
      </c>
      <c r="C57" s="62">
        <v>0.1269485980445835</v>
      </c>
      <c r="D57" s="62">
        <v>6.0752668490016051E-2</v>
      </c>
      <c r="E57" s="62">
        <v>0.126949506873623</v>
      </c>
      <c r="F57" s="62">
        <v>0.25935491912024522</v>
      </c>
      <c r="G57" s="62">
        <v>0.39181912139623237</v>
      </c>
      <c r="H57" s="62">
        <v>0.52425141244339513</v>
      </c>
    </row>
    <row r="58" spans="2:8" ht="16" customHeight="1" x14ac:dyDescent="0.2">
      <c r="B58" s="64" t="s">
        <v>275</v>
      </c>
      <c r="C58" s="62">
        <f t="shared" ref="C58:H58" si="0">SUM(C46:C57)</f>
        <v>0.99999999999999978</v>
      </c>
      <c r="D58" s="62">
        <f t="shared" si="0"/>
        <v>1.0000000000000002</v>
      </c>
      <c r="E58" s="62">
        <f t="shared" si="0"/>
        <v>1</v>
      </c>
      <c r="F58" s="62">
        <f t="shared" si="0"/>
        <v>1</v>
      </c>
      <c r="G58" s="62">
        <f t="shared" si="0"/>
        <v>0.99999999999999978</v>
      </c>
      <c r="H58" s="62">
        <f t="shared" si="0"/>
        <v>1.0000000000000009</v>
      </c>
    </row>
    <row r="60" spans="2:8" ht="16" customHeight="1" x14ac:dyDescent="0.2">
      <c r="B60" s="59" t="s">
        <v>268</v>
      </c>
      <c r="C60" s="62">
        <f t="array" ref="C60">SUMPRODUCT(C46:C57,TRANSPOSE('Returns-VOL'!$C$195:$N$195))</f>
        <v>9.9995954949592E-2</v>
      </c>
      <c r="D60" s="89">
        <f t="array" ref="D60">SUMPRODUCT(D46:D57,TRANSPOSE('Returns-VOL'!$C$195:$N$195))</f>
        <v>4.9999998366681321E-2</v>
      </c>
      <c r="E60" s="89">
        <f t="array" ref="E60">SUMPRODUCT(E46:E57,TRANSPOSE('Returns-VOL'!$C$195:$N$195))</f>
        <v>0.1000000000001082</v>
      </c>
      <c r="F60" s="89">
        <f t="array" ref="F60">SUMPRODUCT(F46:F57,TRANSPOSE('Returns-VOL'!$C$195:$N$195))</f>
        <v>0.20000000274939114</v>
      </c>
      <c r="G60" s="89">
        <f t="array" ref="G60">SUMPRODUCT(G46:G57,TRANSPOSE('Returns-VOL'!$C$195:$N$195))</f>
        <v>0.30000000601648169</v>
      </c>
      <c r="H60" s="89">
        <f t="array" ref="H60">SUMPRODUCT(H46:H57,TRANSPOSE('Returns-VOL'!$C$195:$N$195))</f>
        <v>0.40000000928341806</v>
      </c>
    </row>
    <row r="61" spans="2:8" ht="16" customHeight="1" x14ac:dyDescent="0.2">
      <c r="B61" s="59" t="s">
        <v>269</v>
      </c>
      <c r="C61" s="89">
        <f t="array" ref="C61">MMULT(TRANSPOSE(C46:C57),MMULT('Covariance Matrix'!C5:N16,C46:C57)) *12</f>
        <v>1.3305019769530187E-2</v>
      </c>
      <c r="D61" s="62">
        <f t="array" ref="D61">MMULT(TRANSPOSE(D46:D57),MMULT('Covariance Matrix'!C5:N16,D46:D57)) *12</f>
        <v>1.6719741208762663E-2</v>
      </c>
      <c r="E61" s="62">
        <f t="array" ref="E61">MMULT(TRANSPOSE(E46:E57),MMULT('Covariance Matrix'!C5:N16,E46:E57)) *12</f>
        <v>1.3305019791788541E-2</v>
      </c>
      <c r="F61" s="62">
        <f t="array" ref="F61">MMULT(TRANSPOSE(F46:F57),MMULT('Covariance Matrix'!$C$5:$N$16,F46:F57)) *12</f>
        <v>2.696712915850049E-2</v>
      </c>
      <c r="G61" s="62">
        <f t="array" ref="G61">MMULT(TRANSPOSE(G46:G57),MMULT('Covariance Matrix'!$C$5:$N$16,G46:G57)) *12</f>
        <v>6.7951307480966866E-2</v>
      </c>
      <c r="H61" s="62">
        <f t="array" ref="H61">MMULT(TRANSPOSE(H46:H57),MMULT('Covariance Matrix'!$C$5:$N$16,H46:H57)) *12</f>
        <v>0.13625755541535833</v>
      </c>
    </row>
    <row r="62" spans="2:8" ht="16" customHeight="1" x14ac:dyDescent="0.2">
      <c r="B62" s="59" t="s">
        <v>270</v>
      </c>
      <c r="C62" s="62">
        <f t="shared" ref="C62:H62" si="1">SQRT(C61)</f>
        <v>0.11534738735459156</v>
      </c>
      <c r="D62" s="62">
        <f t="shared" si="1"/>
        <v>0.12930483830376444</v>
      </c>
      <c r="E62" s="62">
        <f t="shared" si="1"/>
        <v>0.11534738745107555</v>
      </c>
      <c r="F62" s="62">
        <f t="shared" si="1"/>
        <v>0.16421671400469712</v>
      </c>
      <c r="G62" s="62">
        <f t="shared" si="1"/>
        <v>0.26067471584518292</v>
      </c>
      <c r="H62" s="62">
        <f t="shared" si="1"/>
        <v>0.36913081070991394</v>
      </c>
    </row>
  </sheetData>
  <mergeCells count="5">
    <mergeCell ref="F3:G3"/>
    <mergeCell ref="B44:O44"/>
    <mergeCell ref="O28:R33"/>
    <mergeCell ref="B24:O24"/>
    <mergeCell ref="I3:N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2:Q62"/>
  <sheetViews>
    <sheetView showGridLines="0" zoomScale="67" workbookViewId="0">
      <selection activeCell="Q32" sqref="Q32"/>
    </sheetView>
  </sheetViews>
  <sheetFormatPr baseColWidth="10" defaultColWidth="10.83203125" defaultRowHeight="15" x14ac:dyDescent="0.2"/>
  <cols>
    <col min="1" max="1" width="32.5" customWidth="1"/>
    <col min="2" max="2" width="31.83203125" customWidth="1"/>
    <col min="3" max="3" width="25.33203125" customWidth="1"/>
    <col min="4" max="4" width="22.5" customWidth="1"/>
    <col min="5" max="5" width="19" customWidth="1"/>
    <col min="6" max="6" width="23.33203125" customWidth="1"/>
    <col min="7" max="7" width="14" customWidth="1"/>
    <col min="10" max="10" width="22.1640625" customWidth="1"/>
    <col min="11" max="11" width="24.1640625" customWidth="1"/>
    <col min="13" max="13" width="17.6640625" customWidth="1"/>
    <col min="14" max="14" width="23.5" customWidth="1"/>
  </cols>
  <sheetData>
    <row r="2" spans="1:17" ht="33" customHeight="1" x14ac:dyDescent="0.2">
      <c r="B2" s="135" t="s">
        <v>278</v>
      </c>
      <c r="C2" s="137"/>
      <c r="D2" s="137"/>
      <c r="E2" s="137"/>
      <c r="F2" s="137"/>
      <c r="G2" s="137"/>
      <c r="H2" s="137"/>
      <c r="I2" s="137"/>
      <c r="J2" s="137"/>
      <c r="K2" s="137"/>
      <c r="L2" s="137"/>
      <c r="M2" s="137"/>
      <c r="N2" s="137"/>
      <c r="O2" s="137"/>
      <c r="P2" s="137"/>
      <c r="Q2" s="136"/>
    </row>
    <row r="3" spans="1:17" ht="16" customHeight="1" x14ac:dyDescent="0.2">
      <c r="B3" s="64" t="s">
        <v>279</v>
      </c>
    </row>
    <row r="4" spans="1:17" ht="16" customHeight="1" x14ac:dyDescent="0.2">
      <c r="A4" s="60" t="s">
        <v>280</v>
      </c>
      <c r="B4" s="59" t="s">
        <v>281</v>
      </c>
      <c r="C4" s="61">
        <v>2.8E-3</v>
      </c>
      <c r="D4" s="61">
        <v>2.8E-3</v>
      </c>
      <c r="E4" s="61">
        <v>2.8E-3</v>
      </c>
      <c r="F4" s="61">
        <v>2.8E-3</v>
      </c>
      <c r="G4" s="61">
        <v>2.8E-3</v>
      </c>
      <c r="H4" s="61">
        <v>2.8E-3</v>
      </c>
    </row>
    <row r="5" spans="1:17" ht="16" customHeight="1" x14ac:dyDescent="0.2">
      <c r="A5" s="60" t="s">
        <v>282</v>
      </c>
      <c r="B5" s="59" t="s">
        <v>283</v>
      </c>
      <c r="C5" s="61">
        <f t="shared" ref="C5:H5" si="0">C4*12</f>
        <v>3.3599999999999998E-2</v>
      </c>
      <c r="D5" s="61">
        <f t="shared" si="0"/>
        <v>3.3599999999999998E-2</v>
      </c>
      <c r="E5" s="61">
        <f t="shared" si="0"/>
        <v>3.3599999999999998E-2</v>
      </c>
      <c r="F5" s="61">
        <f t="shared" si="0"/>
        <v>3.3599999999999998E-2</v>
      </c>
      <c r="G5" s="61">
        <f t="shared" si="0"/>
        <v>3.3599999999999998E-2</v>
      </c>
      <c r="H5" s="61">
        <f t="shared" si="0"/>
        <v>3.3599999999999998E-2</v>
      </c>
    </row>
    <row r="7" spans="1:17" ht="16" customHeight="1" x14ac:dyDescent="0.2">
      <c r="B7" s="63" t="s">
        <v>256</v>
      </c>
      <c r="C7" s="59" t="s">
        <v>261</v>
      </c>
      <c r="D7" s="59">
        <v>0.05</v>
      </c>
      <c r="E7" s="59">
        <v>0.1</v>
      </c>
      <c r="F7" s="59">
        <v>0.2</v>
      </c>
      <c r="G7" s="59">
        <v>0.3</v>
      </c>
      <c r="H7" s="59">
        <v>0.4</v>
      </c>
    </row>
    <row r="8" spans="1:17" ht="16" customHeight="1" x14ac:dyDescent="0.2">
      <c r="B8" s="65" t="s">
        <v>22</v>
      </c>
      <c r="C8" s="62">
        <v>-3.2959306913611358E-7</v>
      </c>
      <c r="D8" s="62">
        <v>2.888680011604379E-2</v>
      </c>
      <c r="E8" s="62">
        <v>0.1169480380769234</v>
      </c>
      <c r="F8" s="62">
        <v>0.29308653740338492</v>
      </c>
      <c r="G8" s="62">
        <v>0.46923985702541238</v>
      </c>
      <c r="H8" s="62">
        <v>0.64538216852676822</v>
      </c>
    </row>
    <row r="9" spans="1:17" ht="16" customHeight="1" x14ac:dyDescent="0.2">
      <c r="B9" s="65" t="s">
        <v>23</v>
      </c>
      <c r="C9" s="62">
        <v>-6.4920229541197843E-7</v>
      </c>
      <c r="D9" s="62">
        <v>-9.9585728191743592E-3</v>
      </c>
      <c r="E9" s="62">
        <v>-4.0314326474795603E-2</v>
      </c>
      <c r="F9" s="62">
        <v>-0.1010384258186699</v>
      </c>
      <c r="G9" s="62">
        <v>-0.16175937826218231</v>
      </c>
      <c r="H9" s="62">
        <v>-0.222481715663091</v>
      </c>
    </row>
    <row r="10" spans="1:17" ht="16" customHeight="1" x14ac:dyDescent="0.2">
      <c r="B10" s="65" t="s">
        <v>24</v>
      </c>
      <c r="C10" s="62">
        <v>-4.8231121952923027E-7</v>
      </c>
      <c r="D10" s="62">
        <v>-6.437305894077017E-4</v>
      </c>
      <c r="E10" s="62">
        <v>-2.615260647432123E-3</v>
      </c>
      <c r="F10" s="62">
        <v>-6.5534933138670448E-3</v>
      </c>
      <c r="G10" s="62">
        <v>-1.043799928691988E-2</v>
      </c>
      <c r="H10" s="62">
        <v>-1.434187404217969E-2</v>
      </c>
    </row>
    <row r="11" spans="1:17" ht="16" customHeight="1" x14ac:dyDescent="0.2">
      <c r="B11" s="65" t="s">
        <v>25</v>
      </c>
      <c r="C11" s="62">
        <v>-7.0136058819032729E-7</v>
      </c>
      <c r="D11" s="62">
        <v>-2.6376588270445988E-3</v>
      </c>
      <c r="E11" s="62">
        <v>-1.0683908660322721E-2</v>
      </c>
      <c r="F11" s="62">
        <v>-2.675652868342555E-2</v>
      </c>
      <c r="G11" s="62">
        <v>-4.2831105156227192E-2</v>
      </c>
      <c r="H11" s="62">
        <v>-5.890421378524293E-2</v>
      </c>
    </row>
    <row r="12" spans="1:17" ht="16" customHeight="1" x14ac:dyDescent="0.2">
      <c r="B12" s="65" t="s">
        <v>26</v>
      </c>
      <c r="C12" s="62">
        <v>3.9813898707273638E-7</v>
      </c>
      <c r="D12" s="62">
        <v>-1.1973425524831389E-2</v>
      </c>
      <c r="E12" s="62">
        <v>-4.8460807972517977E-2</v>
      </c>
      <c r="F12" s="62">
        <v>-0.12147522250340149</v>
      </c>
      <c r="G12" s="62">
        <v>-0.1945011208019827</v>
      </c>
      <c r="H12" s="62">
        <v>-0.26750894681943088</v>
      </c>
    </row>
    <row r="13" spans="1:17" ht="16" customHeight="1" x14ac:dyDescent="0.2">
      <c r="B13" s="65" t="s">
        <v>27</v>
      </c>
      <c r="C13" s="62">
        <v>-2.2515071353927159E-7</v>
      </c>
      <c r="D13" s="62">
        <v>4.1489954241585483E-2</v>
      </c>
      <c r="E13" s="62">
        <v>0.1679957244124802</v>
      </c>
      <c r="F13" s="62">
        <v>0.42098323784259478</v>
      </c>
      <c r="G13" s="62">
        <v>0.67395006027838644</v>
      </c>
      <c r="H13" s="62">
        <v>0.92693570022657323</v>
      </c>
    </row>
    <row r="14" spans="1:17" ht="16" customHeight="1" x14ac:dyDescent="0.2">
      <c r="B14" s="65" t="s">
        <v>28</v>
      </c>
      <c r="C14" s="62">
        <v>-6.9355524222078906E-8</v>
      </c>
      <c r="D14" s="62">
        <v>-2.2232801388060618E-2</v>
      </c>
      <c r="E14" s="62">
        <v>-9.000700503860698E-2</v>
      </c>
      <c r="F14" s="62">
        <v>-0.22559062314180001</v>
      </c>
      <c r="G14" s="62">
        <v>-0.36114600168352051</v>
      </c>
      <c r="H14" s="62">
        <v>-0.49670702111057602</v>
      </c>
    </row>
    <row r="15" spans="1:17" ht="16" customHeight="1" x14ac:dyDescent="0.2">
      <c r="B15" s="65" t="s">
        <v>29</v>
      </c>
      <c r="C15" s="62">
        <v>-1.3551608791177139E-7</v>
      </c>
      <c r="D15" s="62">
        <v>-2.0204379869688999E-2</v>
      </c>
      <c r="E15" s="62">
        <v>-8.1798500898547385E-2</v>
      </c>
      <c r="F15" s="62">
        <v>-0.2049892191632369</v>
      </c>
      <c r="G15" s="62">
        <v>-0.32819339275708759</v>
      </c>
      <c r="H15" s="62">
        <v>-0.45138959720397409</v>
      </c>
    </row>
    <row r="16" spans="1:17" ht="16" customHeight="1" x14ac:dyDescent="0.2">
      <c r="B16" s="65" t="s">
        <v>30</v>
      </c>
      <c r="C16" s="62">
        <v>-3.9244784656302981E-7</v>
      </c>
      <c r="D16" s="62">
        <v>1.7981625874184781E-2</v>
      </c>
      <c r="E16" s="62">
        <v>7.2797852555016349E-2</v>
      </c>
      <c r="F16" s="62">
        <v>0.18244952613722151</v>
      </c>
      <c r="G16" s="62">
        <v>0.29209322454692449</v>
      </c>
      <c r="H16" s="62">
        <v>0.40172517632292548</v>
      </c>
    </row>
    <row r="17" spans="2:14" ht="16" customHeight="1" x14ac:dyDescent="0.2">
      <c r="B17" s="65" t="s">
        <v>31</v>
      </c>
      <c r="C17" s="62">
        <v>1.3406822093500141E-7</v>
      </c>
      <c r="D17" s="62">
        <v>1.6386350793063841E-2</v>
      </c>
      <c r="E17" s="62">
        <v>6.6344483635980819E-2</v>
      </c>
      <c r="F17" s="62">
        <v>0.1662449252091337</v>
      </c>
      <c r="G17" s="62">
        <v>0.26616012850201759</v>
      </c>
      <c r="H17" s="62">
        <v>0.36606112684255798</v>
      </c>
    </row>
    <row r="18" spans="2:14" ht="16" customHeight="1" x14ac:dyDescent="0.2">
      <c r="B18" s="65" t="s">
        <v>32</v>
      </c>
      <c r="C18" s="62">
        <v>-2.150946684155867E-7</v>
      </c>
      <c r="D18" s="62">
        <v>1.514839147578198E-2</v>
      </c>
      <c r="E18" s="62">
        <v>6.1358840986122883E-2</v>
      </c>
      <c r="F18" s="62">
        <v>0.1536854745625657</v>
      </c>
      <c r="G18" s="62">
        <v>0.246028123576196</v>
      </c>
      <c r="H18" s="62">
        <v>0.33837735731559332</v>
      </c>
    </row>
    <row r="19" spans="2:14" ht="16" customHeight="1" x14ac:dyDescent="0.2">
      <c r="B19" s="65" t="s">
        <v>33</v>
      </c>
      <c r="C19" s="62">
        <v>1.517755801381546E-6</v>
      </c>
      <c r="D19" s="62">
        <v>2.4722728688274541E-2</v>
      </c>
      <c r="E19" s="62">
        <v>0.1000677247283021</v>
      </c>
      <c r="F19" s="62">
        <v>0.25087600372463242</v>
      </c>
      <c r="G19" s="62">
        <v>0.40161755933035831</v>
      </c>
      <c r="H19" s="62">
        <v>0.55237415587920435</v>
      </c>
    </row>
    <row r="20" spans="2:14" ht="16" customHeight="1" x14ac:dyDescent="0.2">
      <c r="B20" s="64" t="s">
        <v>284</v>
      </c>
      <c r="C20" s="62">
        <v>1.0000011500690029</v>
      </c>
      <c r="D20" s="62">
        <v>0.92303471782927327</v>
      </c>
      <c r="E20" s="62">
        <v>0.68836714529739662</v>
      </c>
      <c r="F20" s="62">
        <v>0.21907780774486821</v>
      </c>
      <c r="G20" s="62">
        <v>-0.25021995531137492</v>
      </c>
      <c r="H20" s="62">
        <v>-0.71952231648912834</v>
      </c>
    </row>
    <row r="21" spans="2:14" ht="16" customHeight="1" x14ac:dyDescent="0.2">
      <c r="B21" s="59" t="s">
        <v>275</v>
      </c>
      <c r="C21" s="62">
        <f t="shared" ref="C21:H21" si="1">SUM(C8:C20)</f>
        <v>0.99999999999999944</v>
      </c>
      <c r="D21" s="62">
        <f t="shared" si="1"/>
        <v>1</v>
      </c>
      <c r="E21" s="62">
        <f t="shared" si="1"/>
        <v>0.99999999999999956</v>
      </c>
      <c r="F21" s="62">
        <f t="shared" si="1"/>
        <v>1.0000000000000004</v>
      </c>
      <c r="G21" s="62">
        <f t="shared" si="1"/>
        <v>1</v>
      </c>
      <c r="H21" s="62">
        <f t="shared" si="1"/>
        <v>0.99999999999999967</v>
      </c>
    </row>
    <row r="22" spans="2:14" ht="16" customHeight="1" x14ac:dyDescent="0.2">
      <c r="B22" s="59" t="s">
        <v>268</v>
      </c>
      <c r="C22" s="66">
        <f t="array" ref="C22">SUMPRODUCT(C8:C19,TRANSPOSE('Returns-VOL'!$C$195:$N$195))+C20*C5</f>
        <v>3.359989140365182E-2</v>
      </c>
      <c r="D22" s="66">
        <f t="array" ref="D22">SUMPRODUCT(D8:D19,TRANSPOSE('Returns-VOL'!$C$195:$N$195))+D20*D5</f>
        <v>4.9999999313935034E-2</v>
      </c>
      <c r="E22" s="66">
        <f t="array" ref="E22">SUMPRODUCT(E8:E19,TRANSPOSE('Returns-VOL'!$C$195:$N$195))+E20*E5</f>
        <v>9.9999999436753001E-2</v>
      </c>
      <c r="F22" s="66">
        <f t="array" ref="F22">SUMPRODUCT(F8:F19,TRANSPOSE('Returns-VOL'!$C$195:$N$195))+F20*F5</f>
        <v>0.19999999982289507</v>
      </c>
      <c r="G22" s="66">
        <f t="array" ref="G22">SUMPRODUCT(G8:G19,TRANSPOSE('Returns-VOL'!$C$195:$N$195))+G20*G5</f>
        <v>0.30000000718870373</v>
      </c>
      <c r="H22" s="66">
        <f t="array" ref="H22">SUMPRODUCT(H8:H19,TRANSPOSE('Returns-VOL'!$C$195:$N$195))+H20*H5</f>
        <v>0.40000000073413577</v>
      </c>
    </row>
    <row r="23" spans="2:14" ht="16" customHeight="1" x14ac:dyDescent="0.2">
      <c r="B23" s="59" t="s">
        <v>269</v>
      </c>
      <c r="C23" s="66">
        <f t="array" ref="C23">MMULT(TRANSPOSE(C8:C19),MMULT('Covariance Matrix'!$C$5:$N$16,C8:C19)) *12</f>
        <v>1.2301989880220817E-13</v>
      </c>
      <c r="D23" s="66">
        <f t="array" ref="D23">MMULT(TRANSPOSE(D8:D19),MMULT('Covariance Matrix'!$C$5:$N$16,D8:D19)) *12</f>
        <v>2.5293753581597444E-4</v>
      </c>
      <c r="E23" s="66">
        <f t="array" ref="E23">MMULT(TRANSPOSE(E8:E19),MMULT('Covariance Matrix'!$C$5:$N$16,E8:E19)) *12</f>
        <v>4.1463101093843335E-3</v>
      </c>
      <c r="F23" s="66">
        <f t="array" ref="F23">MMULT(TRANSPOSE(F8:F19),MMULT('Covariance Matrix'!$C$5:$N$16,F8:F19)) *12</f>
        <v>2.6039477610822141E-2</v>
      </c>
      <c r="G23" s="66">
        <f t="array" ref="G23">MMULT(TRANSPOSE(G8:G19),MMULT('Covariance Matrix'!$C$5:$N$16,G8:G19)) *12</f>
        <v>6.6741211894775915E-2</v>
      </c>
      <c r="H23" s="66">
        <f t="array" ref="H23">MMULT(TRANSPOSE(H8:H19),MMULT('Covariance Matrix'!$C$5:$N$16,H8:H19)) *12</f>
        <v>0.12625150265937118</v>
      </c>
    </row>
    <row r="24" spans="2:14" ht="16" customHeight="1" x14ac:dyDescent="0.2">
      <c r="B24" s="59" t="s">
        <v>270</v>
      </c>
      <c r="C24" s="66">
        <f t="shared" ref="C24:H24" si="2">SQRT(C23)</f>
        <v>3.5074192621100801E-7</v>
      </c>
      <c r="D24" s="66">
        <f t="shared" si="2"/>
        <v>1.5904010054573484E-2</v>
      </c>
      <c r="E24" s="66">
        <f t="shared" si="2"/>
        <v>6.4391848159408599E-2</v>
      </c>
      <c r="F24" s="66">
        <f t="shared" si="2"/>
        <v>0.16136752340797123</v>
      </c>
      <c r="G24" s="66">
        <f t="shared" si="2"/>
        <v>0.25834320562920932</v>
      </c>
      <c r="H24" s="66">
        <f t="shared" si="2"/>
        <v>0.35531887461739375</v>
      </c>
    </row>
    <row r="26" spans="2:14" ht="16" customHeight="1" x14ac:dyDescent="0.2">
      <c r="B26" s="59" t="s">
        <v>285</v>
      </c>
    </row>
    <row r="27" spans="2:14" ht="16" customHeight="1" x14ac:dyDescent="0.2">
      <c r="B27" s="63" t="s">
        <v>256</v>
      </c>
      <c r="C27" s="59" t="s">
        <v>261</v>
      </c>
      <c r="D27" s="59">
        <v>0.05</v>
      </c>
      <c r="E27" s="59">
        <v>0.1</v>
      </c>
      <c r="F27" s="59">
        <v>0.2</v>
      </c>
      <c r="G27" s="59">
        <v>0.3</v>
      </c>
      <c r="H27" s="59">
        <v>0.4</v>
      </c>
      <c r="J27" s="59" t="s">
        <v>256</v>
      </c>
      <c r="K27" s="59" t="s">
        <v>286</v>
      </c>
      <c r="M27" s="59" t="s">
        <v>256</v>
      </c>
      <c r="N27" s="59" t="s">
        <v>286</v>
      </c>
    </row>
    <row r="28" spans="2:14" ht="16" customHeight="1" x14ac:dyDescent="0.2">
      <c r="B28" s="65" t="s">
        <v>22</v>
      </c>
      <c r="C28" s="62">
        <f t="shared" ref="C28:H39" si="3">C8/C$40</f>
        <v>0.28658547281967645</v>
      </c>
      <c r="D28" s="62">
        <f t="shared" si="3"/>
        <v>0.37532247399504376</v>
      </c>
      <c r="E28" s="62">
        <f t="shared" si="3"/>
        <v>0.37527505945587508</v>
      </c>
      <c r="F28" s="62">
        <f t="shared" si="3"/>
        <v>0.37530824493156634</v>
      </c>
      <c r="G28" s="62">
        <f t="shared" si="3"/>
        <v>0.37532584169042904</v>
      </c>
      <c r="H28" s="62">
        <f t="shared" si="3"/>
        <v>0.37532642777471553</v>
      </c>
      <c r="J28" s="61" t="s">
        <v>22</v>
      </c>
      <c r="K28" s="62">
        <f t="shared" ref="K28:K39" si="4">AVERAGE(D28:H28)</f>
        <v>0.37531160956952592</v>
      </c>
      <c r="M28" s="61" t="s">
        <v>22</v>
      </c>
      <c r="N28" s="62">
        <v>0.37530819729803361</v>
      </c>
    </row>
    <row r="29" spans="2:14" ht="16" customHeight="1" x14ac:dyDescent="0.2">
      <c r="B29" s="65" t="s">
        <v>23</v>
      </c>
      <c r="C29" s="62">
        <f t="shared" si="3"/>
        <v>0.56448986404330714</v>
      </c>
      <c r="D29" s="62">
        <f t="shared" si="3"/>
        <v>-0.12939045421913675</v>
      </c>
      <c r="E29" s="62">
        <f t="shared" si="3"/>
        <v>-0.12936481460938487</v>
      </c>
      <c r="F29" s="62">
        <f t="shared" si="3"/>
        <v>-0.12938347356590424</v>
      </c>
      <c r="G29" s="62">
        <f t="shared" si="3"/>
        <v>-0.12938473552191476</v>
      </c>
      <c r="H29" s="62">
        <f t="shared" si="3"/>
        <v>-0.12938576808781863</v>
      </c>
      <c r="J29" s="61" t="s">
        <v>23</v>
      </c>
      <c r="K29" s="62">
        <f t="shared" si="4"/>
        <v>-0.12938184920083187</v>
      </c>
      <c r="M29" s="61" t="s">
        <v>23</v>
      </c>
      <c r="N29" s="62">
        <v>-0.1294067468295898</v>
      </c>
    </row>
    <row r="30" spans="2:14" ht="16" customHeight="1" x14ac:dyDescent="0.2">
      <c r="B30" s="65" t="s">
        <v>24</v>
      </c>
      <c r="C30" s="62">
        <f t="shared" si="3"/>
        <v>0.41937589663918712</v>
      </c>
      <c r="D30" s="62">
        <f t="shared" si="3"/>
        <v>-8.3639086514327183E-3</v>
      </c>
      <c r="E30" s="62">
        <f t="shared" si="3"/>
        <v>-8.3921210744223838E-3</v>
      </c>
      <c r="F30" s="62">
        <f t="shared" si="3"/>
        <v>-8.3919926707960377E-3</v>
      </c>
      <c r="G30" s="62">
        <f t="shared" si="3"/>
        <v>-8.3489303162820119E-3</v>
      </c>
      <c r="H30" s="62">
        <f t="shared" si="3"/>
        <v>-8.3406152421810504E-3</v>
      </c>
      <c r="J30" s="61" t="s">
        <v>24</v>
      </c>
      <c r="K30" s="62">
        <f t="shared" si="4"/>
        <v>-8.3675135910228401E-3</v>
      </c>
      <c r="M30" s="61" t="s">
        <v>24</v>
      </c>
      <c r="N30" s="62">
        <v>-8.3513706214999178E-3</v>
      </c>
    </row>
    <row r="31" spans="2:14" ht="16" customHeight="1" x14ac:dyDescent="0.2">
      <c r="B31" s="65" t="s">
        <v>25</v>
      </c>
      <c r="C31" s="62">
        <f t="shared" si="3"/>
        <v>0.60984217996587642</v>
      </c>
      <c r="D31" s="62">
        <f t="shared" si="3"/>
        <v>-3.4270761473902789E-2</v>
      </c>
      <c r="E31" s="62">
        <f t="shared" si="3"/>
        <v>-3.4283640184596627E-2</v>
      </c>
      <c r="F31" s="62">
        <f t="shared" si="3"/>
        <v>-3.4262733149071557E-2</v>
      </c>
      <c r="G31" s="62">
        <f t="shared" si="3"/>
        <v>-3.4258855791147444E-2</v>
      </c>
      <c r="H31" s="62">
        <f t="shared" si="3"/>
        <v>-3.4256149641321253E-2</v>
      </c>
      <c r="J31" s="61" t="s">
        <v>25</v>
      </c>
      <c r="K31" s="62">
        <f t="shared" si="4"/>
        <v>-3.4266428048007933E-2</v>
      </c>
      <c r="M31" s="61" t="s">
        <v>25</v>
      </c>
      <c r="N31" s="62">
        <v>-3.4294441434396597E-2</v>
      </c>
    </row>
    <row r="32" spans="2:14" ht="16" customHeight="1" x14ac:dyDescent="0.2">
      <c r="B32" s="65" t="s">
        <v>26</v>
      </c>
      <c r="C32" s="62">
        <f t="shared" si="3"/>
        <v>-0.34618704257724076</v>
      </c>
      <c r="D32" s="62">
        <f t="shared" si="3"/>
        <v>-0.15556917596003314</v>
      </c>
      <c r="E32" s="62">
        <f t="shared" si="3"/>
        <v>-0.15550609392185247</v>
      </c>
      <c r="F32" s="62">
        <f t="shared" si="3"/>
        <v>-0.15555355412887892</v>
      </c>
      <c r="G32" s="62">
        <f t="shared" si="3"/>
        <v>-0.15557352126373716</v>
      </c>
      <c r="H32" s="62">
        <f t="shared" si="3"/>
        <v>-0.1555716632777544</v>
      </c>
      <c r="J32" s="61" t="s">
        <v>26</v>
      </c>
      <c r="K32" s="62">
        <f t="shared" si="4"/>
        <v>-0.15555480171045122</v>
      </c>
      <c r="M32" s="61" t="s">
        <v>26</v>
      </c>
      <c r="N32" s="62">
        <v>-0.1555559364557505</v>
      </c>
    </row>
    <row r="33" spans="1:14" ht="16" customHeight="1" x14ac:dyDescent="0.2">
      <c r="B33" s="65" t="s">
        <v>27</v>
      </c>
      <c r="C33" s="62">
        <f t="shared" si="3"/>
        <v>0.1957714822840905</v>
      </c>
      <c r="D33" s="62">
        <f t="shared" si="3"/>
        <v>0.53907363257047769</v>
      </c>
      <c r="E33" s="62">
        <f t="shared" si="3"/>
        <v>0.53908219841839744</v>
      </c>
      <c r="F33" s="62">
        <f t="shared" si="3"/>
        <v>0.53908474111471638</v>
      </c>
      <c r="G33" s="62">
        <f t="shared" si="3"/>
        <v>0.53906519202097924</v>
      </c>
      <c r="H33" s="62">
        <f t="shared" si="3"/>
        <v>0.5390658157430398</v>
      </c>
      <c r="J33" s="61" t="s">
        <v>27</v>
      </c>
      <c r="K33" s="62">
        <f t="shared" si="4"/>
        <v>0.53907431597352207</v>
      </c>
      <c r="M33" s="61" t="s">
        <v>27</v>
      </c>
      <c r="N33" s="62">
        <v>0.53904180699643778</v>
      </c>
    </row>
    <row r="34" spans="1:14" ht="16" customHeight="1" x14ac:dyDescent="0.2">
      <c r="B34" s="65" t="s">
        <v>28</v>
      </c>
      <c r="C34" s="62">
        <f t="shared" si="3"/>
        <v>6.0305532983257616E-2</v>
      </c>
      <c r="D34" s="62">
        <f t="shared" si="3"/>
        <v>-0.28886792539450634</v>
      </c>
      <c r="E34" s="62">
        <f t="shared" si="3"/>
        <v>-0.28882386333912818</v>
      </c>
      <c r="F34" s="62">
        <f t="shared" si="3"/>
        <v>-0.28887720874002015</v>
      </c>
      <c r="G34" s="62">
        <f t="shared" si="3"/>
        <v>-0.2888659712630926</v>
      </c>
      <c r="H34" s="62">
        <f t="shared" si="3"/>
        <v>-0.28886337580354199</v>
      </c>
      <c r="J34" s="61" t="s">
        <v>28</v>
      </c>
      <c r="K34" s="62">
        <f t="shared" si="4"/>
        <v>-0.28885966890805786</v>
      </c>
      <c r="M34" s="61" t="s">
        <v>28</v>
      </c>
      <c r="N34" s="62">
        <v>-0.28882057439871811</v>
      </c>
    </row>
    <row r="35" spans="1:14" ht="16" customHeight="1" x14ac:dyDescent="0.2">
      <c r="B35" s="65" t="s">
        <v>29</v>
      </c>
      <c r="C35" s="62">
        <f t="shared" si="3"/>
        <v>0.11783300610859984</v>
      </c>
      <c r="D35" s="62">
        <f t="shared" si="3"/>
        <v>-0.26251290581734021</v>
      </c>
      <c r="E35" s="62">
        <f t="shared" si="3"/>
        <v>-0.26248355930445533</v>
      </c>
      <c r="F35" s="62">
        <f t="shared" si="3"/>
        <v>-0.26249634239651065</v>
      </c>
      <c r="G35" s="62">
        <f t="shared" si="3"/>
        <v>-0.26250852209069808</v>
      </c>
      <c r="H35" s="62">
        <f t="shared" si="3"/>
        <v>-0.26250871702881334</v>
      </c>
      <c r="J35" s="61" t="s">
        <v>29</v>
      </c>
      <c r="K35" s="62">
        <f t="shared" si="4"/>
        <v>-0.26250200932756351</v>
      </c>
      <c r="M35" s="61" t="s">
        <v>29</v>
      </c>
      <c r="N35" s="62">
        <v>-0.26250664413750963</v>
      </c>
    </row>
    <row r="36" spans="1:14" ht="16" customHeight="1" x14ac:dyDescent="0.2">
      <c r="B36" s="65" t="s">
        <v>30</v>
      </c>
      <c r="C36" s="62">
        <f t="shared" si="3"/>
        <v>0.34123852166892055</v>
      </c>
      <c r="D36" s="62">
        <f t="shared" si="3"/>
        <v>0.23363294939005602</v>
      </c>
      <c r="E36" s="62">
        <f t="shared" si="3"/>
        <v>0.23360134034804739</v>
      </c>
      <c r="F36" s="62">
        <f t="shared" si="3"/>
        <v>0.23363342461858747</v>
      </c>
      <c r="G36" s="62">
        <f t="shared" si="3"/>
        <v>0.23363346849969044</v>
      </c>
      <c r="H36" s="62">
        <f t="shared" si="3"/>
        <v>0.23362603234086346</v>
      </c>
      <c r="J36" s="61" t="s">
        <v>30</v>
      </c>
      <c r="K36" s="62">
        <f t="shared" si="4"/>
        <v>0.23362544303944896</v>
      </c>
      <c r="M36" s="61" t="s">
        <v>30</v>
      </c>
      <c r="N36" s="62">
        <v>0.2336173505951982</v>
      </c>
    </row>
    <row r="37" spans="1:14" ht="16" customHeight="1" x14ac:dyDescent="0.2">
      <c r="B37" s="65" t="s">
        <v>31</v>
      </c>
      <c r="C37" s="62">
        <f t="shared" si="3"/>
        <v>-0.1165740668863486</v>
      </c>
      <c r="D37" s="62">
        <f t="shared" si="3"/>
        <v>0.21290574569343018</v>
      </c>
      <c r="E37" s="62">
        <f t="shared" si="3"/>
        <v>0.21289309722909222</v>
      </c>
      <c r="F37" s="62">
        <f t="shared" si="3"/>
        <v>0.21288282860684848</v>
      </c>
      <c r="G37" s="62">
        <f t="shared" si="3"/>
        <v>0.21289064165971402</v>
      </c>
      <c r="H37" s="62">
        <f t="shared" si="3"/>
        <v>0.2128853596910398</v>
      </c>
      <c r="J37" s="61" t="s">
        <v>31</v>
      </c>
      <c r="K37" s="62">
        <f t="shared" si="4"/>
        <v>0.21289153457602494</v>
      </c>
      <c r="M37" s="61" t="s">
        <v>31</v>
      </c>
      <c r="N37" s="62">
        <v>0.21292691029103319</v>
      </c>
    </row>
    <row r="38" spans="1:14" ht="16" customHeight="1" x14ac:dyDescent="0.2">
      <c r="B38" s="65" t="s">
        <v>32</v>
      </c>
      <c r="C38" s="62">
        <f t="shared" si="3"/>
        <v>0.18702761987818209</v>
      </c>
      <c r="D38" s="62">
        <f t="shared" si="3"/>
        <v>0.19682109970284209</v>
      </c>
      <c r="E38" s="62">
        <f t="shared" si="3"/>
        <v>0.19689464721131145</v>
      </c>
      <c r="F38" s="62">
        <f t="shared" si="3"/>
        <v>0.1967999835153304</v>
      </c>
      <c r="G38" s="62">
        <f t="shared" si="3"/>
        <v>0.19678787123096367</v>
      </c>
      <c r="H38" s="62">
        <f t="shared" si="3"/>
        <v>0.19678567359712007</v>
      </c>
      <c r="J38" s="61" t="s">
        <v>32</v>
      </c>
      <c r="K38" s="62">
        <f t="shared" si="4"/>
        <v>0.19681785505151353</v>
      </c>
      <c r="M38" s="61" t="s">
        <v>32</v>
      </c>
      <c r="N38" s="62">
        <v>0.1968714516079145</v>
      </c>
    </row>
    <row r="39" spans="1:14" ht="16" customHeight="1" x14ac:dyDescent="0.2">
      <c r="B39" s="65" t="s">
        <v>33</v>
      </c>
      <c r="C39" s="62">
        <f t="shared" si="3"/>
        <v>-1.3197084668795236</v>
      </c>
      <c r="D39" s="62">
        <f t="shared" si="3"/>
        <v>0.32121923016450238</v>
      </c>
      <c r="E39" s="62">
        <f t="shared" si="3"/>
        <v>0.32110774977111639</v>
      </c>
      <c r="F39" s="62">
        <f t="shared" si="3"/>
        <v>0.32125608186413229</v>
      </c>
      <c r="G39" s="62">
        <f t="shared" si="3"/>
        <v>0.32123752114509563</v>
      </c>
      <c r="H39" s="62">
        <f t="shared" si="3"/>
        <v>0.321236979934652</v>
      </c>
      <c r="J39" s="61" t="s">
        <v>33</v>
      </c>
      <c r="K39" s="62">
        <f t="shared" si="4"/>
        <v>0.32121151257589975</v>
      </c>
      <c r="M39" s="61" t="s">
        <v>33</v>
      </c>
      <c r="N39" s="62">
        <v>0.32116999708884669</v>
      </c>
    </row>
    <row r="40" spans="1:14" ht="16" customHeight="1" x14ac:dyDescent="0.2">
      <c r="A40" s="60" t="s">
        <v>287</v>
      </c>
      <c r="B40" s="64" t="s">
        <v>288</v>
      </c>
      <c r="C40" s="62">
        <f t="shared" ref="C40:H40" si="5">C21-C20</f>
        <v>-1.1500690034749184E-6</v>
      </c>
      <c r="D40" s="62">
        <f t="shared" si="5"/>
        <v>7.6965282170726734E-2</v>
      </c>
      <c r="E40" s="62">
        <f t="shared" si="5"/>
        <v>0.31163285470260293</v>
      </c>
      <c r="F40" s="62">
        <f t="shared" si="5"/>
        <v>0.78092219225513226</v>
      </c>
      <c r="G40" s="62">
        <f t="shared" si="5"/>
        <v>1.2502199553113749</v>
      </c>
      <c r="H40" s="62">
        <f t="shared" si="5"/>
        <v>1.719522316489128</v>
      </c>
      <c r="J40" s="59" t="s">
        <v>267</v>
      </c>
      <c r="K40" s="61">
        <f>SUM(K28:K39)</f>
        <v>0.99999999999999989</v>
      </c>
      <c r="M40" s="59" t="s">
        <v>267</v>
      </c>
      <c r="N40" s="61">
        <f>SUM(N28:N39)</f>
        <v>0.99999999999999956</v>
      </c>
    </row>
    <row r="41" spans="1:14" ht="16" customHeight="1" x14ac:dyDescent="0.2">
      <c r="A41" s="60" t="s">
        <v>289</v>
      </c>
      <c r="B41" s="59" t="s">
        <v>290</v>
      </c>
      <c r="C41" s="61">
        <f t="shared" ref="C41:H41" si="6">SUM(C28:C39)</f>
        <v>1.0000000000479854</v>
      </c>
      <c r="D41" s="61">
        <f t="shared" si="6"/>
        <v>1.0000000000000002</v>
      </c>
      <c r="E41" s="61">
        <f t="shared" si="6"/>
        <v>1.0000000000000002</v>
      </c>
      <c r="F41" s="61">
        <f t="shared" si="6"/>
        <v>0.99999999999999978</v>
      </c>
      <c r="G41" s="61">
        <f t="shared" si="6"/>
        <v>1</v>
      </c>
      <c r="H41" s="61">
        <f t="shared" si="6"/>
        <v>1</v>
      </c>
    </row>
    <row r="42" spans="1:14" ht="16" customHeight="1" x14ac:dyDescent="0.2">
      <c r="J42" s="59" t="s">
        <v>268</v>
      </c>
      <c r="K42" s="66">
        <f t="array" ref="K42">SUMPRODUCT(TRANSPOSE(K28:K39),'Returns-VOL'!C195:N195)</f>
        <v>0.24668013473930198</v>
      </c>
      <c r="M42" s="59" t="s">
        <v>268</v>
      </c>
      <c r="N42" s="66">
        <f t="array" ref="N42">SUMPRODUCT(TRANSPOSE(N28:N39),'Returns-VOL'!C195:N195)</f>
        <v>0.24667612322555557</v>
      </c>
    </row>
    <row r="43" spans="1:14" ht="16" customHeight="1" x14ac:dyDescent="0.2">
      <c r="J43" s="59" t="s">
        <v>291</v>
      </c>
      <c r="K43" s="66">
        <f t="array" ref="K43">MMULT(TRANSPOSE(K28:K39),MMULT('Covariance Matrix'!C5:N16,K28:K39)) *12</f>
        <v>4.2698394839832253E-2</v>
      </c>
      <c r="M43" s="59" t="s">
        <v>291</v>
      </c>
      <c r="N43" s="66">
        <f t="array" ref="N43">MMULT(TRANSPOSE(N28:N39),MMULT('Covariance Matrix'!C5:N16,N28:N39)) *12</f>
        <v>4.2696787334177588E-2</v>
      </c>
    </row>
    <row r="44" spans="1:14" ht="16" customHeight="1" x14ac:dyDescent="0.2">
      <c r="J44" s="59" t="s">
        <v>270</v>
      </c>
      <c r="K44" s="66">
        <f>SQRT(K43)</f>
        <v>0.20663589920396758</v>
      </c>
      <c r="M44" s="59" t="s">
        <v>270</v>
      </c>
      <c r="N44" s="66">
        <f>SQRT(N43)</f>
        <v>0.20663200946169397</v>
      </c>
    </row>
    <row r="45" spans="1:14" ht="16" customHeight="1" x14ac:dyDescent="0.2">
      <c r="M45" s="59" t="s">
        <v>292</v>
      </c>
      <c r="N45" s="61">
        <f>(N42-N46)/N44</f>
        <v>1.0311864254751695</v>
      </c>
    </row>
    <row r="46" spans="1:14" ht="24" customHeight="1" x14ac:dyDescent="0.2">
      <c r="B46" s="135" t="s">
        <v>293</v>
      </c>
      <c r="C46" s="137"/>
      <c r="D46" s="137"/>
      <c r="E46" s="137"/>
      <c r="F46" s="136"/>
      <c r="M46" s="90" t="s">
        <v>294</v>
      </c>
      <c r="N46" s="66">
        <f>C5</f>
        <v>3.3599999999999998E-2</v>
      </c>
    </row>
    <row r="47" spans="1:14" ht="16" customHeight="1" x14ac:dyDescent="0.2">
      <c r="C47" s="64" t="s">
        <v>295</v>
      </c>
      <c r="D47" s="64" t="s">
        <v>286</v>
      </c>
    </row>
    <row r="48" spans="1:14" ht="16" customHeight="1" x14ac:dyDescent="0.2">
      <c r="B48" s="59" t="s">
        <v>268</v>
      </c>
      <c r="C48" s="66">
        <f>'Efficient Frontier'!C19</f>
        <v>0.12885892867803608</v>
      </c>
      <c r="D48" s="66">
        <f>K42</f>
        <v>0.24668013473930198</v>
      </c>
    </row>
    <row r="49" spans="2:6" ht="16" customHeight="1" x14ac:dyDescent="0.2">
      <c r="B49" s="59" t="s">
        <v>291</v>
      </c>
      <c r="C49" s="68">
        <f>'Efficient Frontier'!C20</f>
        <v>2.7308015505577751E-2</v>
      </c>
      <c r="D49" s="66">
        <f>K43</f>
        <v>4.2698394839832253E-2</v>
      </c>
    </row>
    <row r="50" spans="2:6" ht="16" customHeight="1" x14ac:dyDescent="0.2">
      <c r="B50" s="59" t="s">
        <v>270</v>
      </c>
      <c r="C50" s="68">
        <f>SQRT(C49)</f>
        <v>0.16525137066172174</v>
      </c>
      <c r="D50" s="66">
        <f>K44</f>
        <v>0.20663589920396758</v>
      </c>
    </row>
    <row r="51" spans="2:6" ht="16" customHeight="1" x14ac:dyDescent="0.2">
      <c r="B51" s="59" t="s">
        <v>296</v>
      </c>
      <c r="C51" s="66">
        <f>C5</f>
        <v>3.3599999999999998E-2</v>
      </c>
      <c r="D51" s="66">
        <f>D5</f>
        <v>3.3599999999999998E-2</v>
      </c>
    </row>
    <row r="52" spans="2:6" ht="16" customHeight="1" x14ac:dyDescent="0.2">
      <c r="B52" s="59" t="s">
        <v>292</v>
      </c>
      <c r="C52" s="62">
        <f>(C48-C51)/C50</f>
        <v>0.57644864485291403</v>
      </c>
      <c r="D52" s="62">
        <f>(D48-D51)/D50</f>
        <v>1.0311864277221907</v>
      </c>
    </row>
    <row r="54" spans="2:6" ht="24" customHeight="1" x14ac:dyDescent="0.2">
      <c r="B54" s="135" t="s">
        <v>297</v>
      </c>
      <c r="C54" s="137"/>
      <c r="D54" s="137"/>
      <c r="E54" s="137"/>
      <c r="F54" s="136"/>
    </row>
    <row r="55" spans="2:6" ht="16" customHeight="1" x14ac:dyDescent="0.2">
      <c r="B55" s="64" t="s">
        <v>256</v>
      </c>
      <c r="C55" s="64" t="s">
        <v>298</v>
      </c>
      <c r="D55" s="64" t="s">
        <v>299</v>
      </c>
      <c r="E55" s="64" t="s">
        <v>300</v>
      </c>
      <c r="F55" s="64" t="s">
        <v>301</v>
      </c>
    </row>
    <row r="56" spans="2:6" ht="16" customHeight="1" x14ac:dyDescent="0.2">
      <c r="B56" s="59" t="s">
        <v>302</v>
      </c>
      <c r="C56" s="66">
        <f>C50/D50</f>
        <v>0.79972246496531707</v>
      </c>
      <c r="D56" s="66">
        <f>K42</f>
        <v>0.24668013473930198</v>
      </c>
      <c r="E56" s="66">
        <f>D49</f>
        <v>4.2698394839832253E-2</v>
      </c>
      <c r="F56" s="66">
        <f>D50</f>
        <v>0.20663589920396758</v>
      </c>
    </row>
    <row r="57" spans="2:6" ht="16" customHeight="1" x14ac:dyDescent="0.2">
      <c r="B57" s="59" t="s">
        <v>303</v>
      </c>
      <c r="C57" s="66">
        <f>1-C56</f>
        <v>0.20027753503468293</v>
      </c>
      <c r="D57" s="66">
        <f>C5</f>
        <v>3.3599999999999998E-2</v>
      </c>
      <c r="E57" s="61">
        <v>0</v>
      </c>
      <c r="F57" s="61">
        <v>0</v>
      </c>
    </row>
    <row r="58" spans="2:6" ht="16" customHeight="1" x14ac:dyDescent="0.2">
      <c r="B58" s="59" t="s">
        <v>304</v>
      </c>
      <c r="C58" s="66">
        <f>SUM(C56:C57)</f>
        <v>1</v>
      </c>
    </row>
    <row r="60" spans="2:6" ht="16" customHeight="1" x14ac:dyDescent="0.2">
      <c r="B60" s="59" t="s">
        <v>305</v>
      </c>
      <c r="C60" s="66">
        <f>D56*C56+D57*C57</f>
        <v>0.20400497058885647</v>
      </c>
    </row>
    <row r="61" spans="2:6" ht="16" customHeight="1" x14ac:dyDescent="0.2">
      <c r="B61" s="59" t="s">
        <v>306</v>
      </c>
      <c r="C61" s="68">
        <f>C56^2 * E56</f>
        <v>2.7308015505577755E-2</v>
      </c>
    </row>
    <row r="62" spans="2:6" ht="16" customHeight="1" x14ac:dyDescent="0.2">
      <c r="B62" s="59" t="s">
        <v>307</v>
      </c>
      <c r="C62" s="68">
        <f>SQRT(C61)</f>
        <v>0.16525137066172177</v>
      </c>
    </row>
  </sheetData>
  <mergeCells count="3">
    <mergeCell ref="B54:F54"/>
    <mergeCell ref="B2:Q2"/>
    <mergeCell ref="B46:F4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9" tint="-0.249977111117893"/>
  </sheetPr>
  <dimension ref="B1:AT188"/>
  <sheetViews>
    <sheetView showGridLines="0" zoomScale="113" zoomScaleNormal="100" workbookViewId="0">
      <selection activeCell="G13" sqref="G13"/>
    </sheetView>
  </sheetViews>
  <sheetFormatPr baseColWidth="10" defaultColWidth="10.83203125" defaultRowHeight="15" x14ac:dyDescent="0.2"/>
  <cols>
    <col min="19" max="19" width="20.1640625" bestFit="1" customWidth="1"/>
    <col min="34" max="34" width="16.6640625" bestFit="1" customWidth="1"/>
    <col min="35" max="35" width="18.83203125" bestFit="1" customWidth="1"/>
    <col min="36" max="36" width="18" bestFit="1" customWidth="1"/>
    <col min="37" max="37" width="10.83203125" bestFit="1" customWidth="1"/>
    <col min="45" max="45" width="14.83203125" bestFit="1" customWidth="1"/>
  </cols>
  <sheetData>
    <row r="1" spans="2:46" ht="16" customHeight="1" thickBot="1" x14ac:dyDescent="0.25"/>
    <row r="2" spans="2:46" ht="25" customHeight="1" thickBot="1" x14ac:dyDescent="0.35">
      <c r="B2" s="143" t="s">
        <v>0</v>
      </c>
      <c r="C2" s="137"/>
      <c r="D2" s="137"/>
      <c r="E2" s="137"/>
      <c r="F2" s="137"/>
      <c r="G2" s="137"/>
      <c r="H2" s="137"/>
      <c r="I2" s="137"/>
      <c r="J2" s="137"/>
      <c r="K2" s="137"/>
      <c r="L2" s="137"/>
      <c r="M2" s="137"/>
      <c r="N2" s="137"/>
      <c r="O2" s="137"/>
      <c r="P2" s="136"/>
      <c r="R2" s="143" t="s">
        <v>1</v>
      </c>
      <c r="S2" s="137"/>
      <c r="T2" s="137"/>
      <c r="U2" s="137"/>
      <c r="V2" s="137"/>
      <c r="W2" s="137"/>
      <c r="X2" s="137"/>
      <c r="Y2" s="137"/>
      <c r="Z2" s="137"/>
      <c r="AA2" s="137"/>
      <c r="AB2" s="137"/>
      <c r="AC2" s="137"/>
      <c r="AD2" s="137"/>
      <c r="AE2" s="137"/>
      <c r="AF2" s="136"/>
      <c r="AI2" s="140" t="s">
        <v>2</v>
      </c>
      <c r="AJ2" s="141"/>
      <c r="AK2" s="141"/>
      <c r="AL2" s="141"/>
      <c r="AM2" s="141"/>
      <c r="AN2" s="141"/>
      <c r="AO2" s="141"/>
      <c r="AP2" s="141"/>
      <c r="AQ2" s="141"/>
      <c r="AR2" s="141"/>
      <c r="AS2" s="141"/>
      <c r="AT2" s="142"/>
    </row>
    <row r="3" spans="2:46" x14ac:dyDescent="0.2">
      <c r="B3" s="65"/>
      <c r="C3" s="143" t="s">
        <v>3</v>
      </c>
      <c r="D3" s="137"/>
      <c r="E3" s="137"/>
      <c r="F3" s="137"/>
      <c r="G3" s="137"/>
      <c r="H3" s="137"/>
      <c r="I3" s="137"/>
      <c r="J3" s="137"/>
      <c r="K3" s="137"/>
      <c r="L3" s="137"/>
      <c r="M3" s="137"/>
      <c r="N3" s="136"/>
      <c r="O3" s="65"/>
      <c r="P3" s="65"/>
      <c r="R3" s="96"/>
      <c r="S3" s="144" t="s">
        <v>3</v>
      </c>
      <c r="T3" s="116"/>
      <c r="U3" s="116"/>
      <c r="V3" s="116"/>
      <c r="W3" s="116"/>
      <c r="X3" s="116"/>
      <c r="Y3" s="116"/>
      <c r="Z3" s="116"/>
      <c r="AA3" s="116"/>
      <c r="AB3" s="116"/>
      <c r="AC3" s="116"/>
      <c r="AD3" s="117"/>
      <c r="AE3" s="96"/>
      <c r="AI3" s="139" t="s">
        <v>4</v>
      </c>
      <c r="AJ3" s="116"/>
      <c r="AK3" s="116"/>
      <c r="AL3" s="116"/>
      <c r="AM3" s="116"/>
      <c r="AN3" s="116"/>
      <c r="AO3" s="116"/>
      <c r="AP3" s="116"/>
      <c r="AQ3" s="116"/>
      <c r="AR3" s="116"/>
      <c r="AS3" s="116"/>
      <c r="AT3" s="116"/>
    </row>
    <row r="4" spans="2:46" ht="15" customHeight="1" x14ac:dyDescent="0.2">
      <c r="B4" s="42" t="s">
        <v>5</v>
      </c>
      <c r="C4" s="45">
        <v>1</v>
      </c>
      <c r="D4" s="45">
        <v>2</v>
      </c>
      <c r="E4" s="45">
        <v>3</v>
      </c>
      <c r="F4" s="45">
        <v>4</v>
      </c>
      <c r="G4" s="45">
        <v>5</v>
      </c>
      <c r="H4" s="45">
        <v>6</v>
      </c>
      <c r="I4" s="45">
        <v>7</v>
      </c>
      <c r="J4" s="45">
        <v>8</v>
      </c>
      <c r="K4" s="45">
        <v>9</v>
      </c>
      <c r="L4" s="45">
        <v>10</v>
      </c>
      <c r="M4" s="45">
        <v>11</v>
      </c>
      <c r="N4" s="45">
        <v>12</v>
      </c>
      <c r="O4" s="145" t="s">
        <v>6</v>
      </c>
      <c r="P4" s="147" t="s">
        <v>7</v>
      </c>
      <c r="R4" s="42" t="s">
        <v>5</v>
      </c>
      <c r="S4" s="45">
        <v>1</v>
      </c>
      <c r="T4" s="45">
        <v>2</v>
      </c>
      <c r="U4" s="45">
        <v>3</v>
      </c>
      <c r="V4" s="45">
        <v>4</v>
      </c>
      <c r="W4" s="45">
        <v>5</v>
      </c>
      <c r="X4" s="45">
        <v>6</v>
      </c>
      <c r="Y4" s="45">
        <v>7</v>
      </c>
      <c r="Z4" s="45">
        <v>8</v>
      </c>
      <c r="AA4" s="45">
        <v>9</v>
      </c>
      <c r="AB4" s="45">
        <v>10</v>
      </c>
      <c r="AC4" s="45">
        <v>11</v>
      </c>
      <c r="AD4" s="45">
        <v>12</v>
      </c>
      <c r="AE4" s="145" t="s">
        <v>6</v>
      </c>
      <c r="AH4" s="42" t="s">
        <v>5</v>
      </c>
      <c r="AI4" s="45">
        <v>1</v>
      </c>
      <c r="AJ4" s="45">
        <v>2</v>
      </c>
      <c r="AK4" s="45">
        <v>3</v>
      </c>
      <c r="AL4" s="45">
        <v>4</v>
      </c>
      <c r="AM4" s="45">
        <v>5</v>
      </c>
      <c r="AN4" s="45">
        <v>6</v>
      </c>
      <c r="AO4" s="45">
        <v>7</v>
      </c>
      <c r="AP4" s="45">
        <v>8</v>
      </c>
      <c r="AQ4" s="45">
        <v>9</v>
      </c>
      <c r="AR4" s="45">
        <v>10</v>
      </c>
      <c r="AS4" s="45">
        <v>11</v>
      </c>
      <c r="AT4" s="45">
        <v>12</v>
      </c>
    </row>
    <row r="5" spans="2:46" x14ac:dyDescent="0.2">
      <c r="B5" s="43" t="s">
        <v>8</v>
      </c>
      <c r="C5" s="48" t="s">
        <v>9</v>
      </c>
      <c r="D5" s="47" t="s">
        <v>10</v>
      </c>
      <c r="E5" s="47" t="s">
        <v>11</v>
      </c>
      <c r="F5" s="47" t="s">
        <v>12</v>
      </c>
      <c r="G5" s="47" t="s">
        <v>13</v>
      </c>
      <c r="H5" s="47" t="s">
        <v>14</v>
      </c>
      <c r="I5" s="47" t="s">
        <v>15</v>
      </c>
      <c r="J5" s="47" t="s">
        <v>16</v>
      </c>
      <c r="K5" s="47" t="s">
        <v>17</v>
      </c>
      <c r="L5" s="47" t="s">
        <v>18</v>
      </c>
      <c r="M5" s="47" t="s">
        <v>19</v>
      </c>
      <c r="N5" s="47" t="s">
        <v>20</v>
      </c>
      <c r="O5" s="146"/>
      <c r="P5" s="146"/>
      <c r="R5" s="43" t="s">
        <v>8</v>
      </c>
      <c r="S5" s="48" t="s">
        <v>9</v>
      </c>
      <c r="T5" s="47" t="s">
        <v>10</v>
      </c>
      <c r="U5" s="47" t="s">
        <v>11</v>
      </c>
      <c r="V5" s="47" t="s">
        <v>12</v>
      </c>
      <c r="W5" s="47" t="s">
        <v>13</v>
      </c>
      <c r="X5" s="47" t="s">
        <v>14</v>
      </c>
      <c r="Y5" s="47" t="s">
        <v>15</v>
      </c>
      <c r="Z5" s="47" t="s">
        <v>16</v>
      </c>
      <c r="AA5" s="47" t="s">
        <v>17</v>
      </c>
      <c r="AB5" s="47" t="s">
        <v>18</v>
      </c>
      <c r="AC5" s="47" t="s">
        <v>19</v>
      </c>
      <c r="AD5" s="47" t="s">
        <v>20</v>
      </c>
      <c r="AE5" s="146"/>
      <c r="AH5" s="43" t="s">
        <v>8</v>
      </c>
      <c r="AI5" s="48" t="s">
        <v>9</v>
      </c>
      <c r="AJ5" s="47" t="s">
        <v>10</v>
      </c>
      <c r="AK5" s="47" t="s">
        <v>11</v>
      </c>
      <c r="AL5" s="47" t="s">
        <v>12</v>
      </c>
      <c r="AM5" s="47" t="s">
        <v>13</v>
      </c>
      <c r="AN5" s="47" t="s">
        <v>14</v>
      </c>
      <c r="AO5" s="47" t="s">
        <v>15</v>
      </c>
      <c r="AP5" s="47" t="s">
        <v>16</v>
      </c>
      <c r="AQ5" s="47" t="s">
        <v>17</v>
      </c>
      <c r="AR5" s="47" t="s">
        <v>18</v>
      </c>
      <c r="AS5" s="47" t="s">
        <v>19</v>
      </c>
      <c r="AT5" s="47" t="s">
        <v>20</v>
      </c>
    </row>
    <row r="6" spans="2:46" x14ac:dyDescent="0.2">
      <c r="B6" s="44" t="s">
        <v>21</v>
      </c>
      <c r="C6" s="46" t="s">
        <v>22</v>
      </c>
      <c r="D6" s="46" t="s">
        <v>23</v>
      </c>
      <c r="E6" s="46" t="s">
        <v>24</v>
      </c>
      <c r="F6" s="46" t="s">
        <v>25</v>
      </c>
      <c r="G6" s="46" t="s">
        <v>26</v>
      </c>
      <c r="H6" s="46" t="s">
        <v>27</v>
      </c>
      <c r="I6" s="46" t="s">
        <v>28</v>
      </c>
      <c r="J6" s="46" t="s">
        <v>29</v>
      </c>
      <c r="K6" s="46" t="s">
        <v>30</v>
      </c>
      <c r="L6" s="46" t="s">
        <v>31</v>
      </c>
      <c r="M6" s="46" t="s">
        <v>32</v>
      </c>
      <c r="N6" s="46" t="s">
        <v>33</v>
      </c>
      <c r="O6" s="121"/>
      <c r="P6" s="121"/>
      <c r="R6" s="44" t="s">
        <v>21</v>
      </c>
      <c r="S6" s="46" t="s">
        <v>22</v>
      </c>
      <c r="T6" s="46" t="s">
        <v>23</v>
      </c>
      <c r="U6" s="46" t="s">
        <v>24</v>
      </c>
      <c r="V6" s="46" t="s">
        <v>25</v>
      </c>
      <c r="W6" s="46" t="s">
        <v>26</v>
      </c>
      <c r="X6" s="46" t="s">
        <v>27</v>
      </c>
      <c r="Y6" s="46" t="s">
        <v>28</v>
      </c>
      <c r="Z6" s="46" t="s">
        <v>29</v>
      </c>
      <c r="AA6" s="46" t="s">
        <v>30</v>
      </c>
      <c r="AB6" s="46" t="s">
        <v>31</v>
      </c>
      <c r="AC6" s="46" t="s">
        <v>32</v>
      </c>
      <c r="AD6" s="46" t="s">
        <v>33</v>
      </c>
      <c r="AE6" s="121"/>
      <c r="AH6" s="44" t="s">
        <v>21</v>
      </c>
      <c r="AI6" s="46" t="s">
        <v>22</v>
      </c>
      <c r="AJ6" s="46" t="s">
        <v>23</v>
      </c>
      <c r="AK6" s="46" t="s">
        <v>24</v>
      </c>
      <c r="AL6" s="46" t="s">
        <v>25</v>
      </c>
      <c r="AM6" s="46" t="s">
        <v>26</v>
      </c>
      <c r="AN6" s="46" t="s">
        <v>27</v>
      </c>
      <c r="AO6" s="46" t="s">
        <v>28</v>
      </c>
      <c r="AP6" s="46" t="s">
        <v>29</v>
      </c>
      <c r="AQ6" s="46" t="s">
        <v>30</v>
      </c>
      <c r="AR6" s="46" t="s">
        <v>31</v>
      </c>
      <c r="AS6" s="46" t="s">
        <v>32</v>
      </c>
      <c r="AT6" s="46" t="s">
        <v>33</v>
      </c>
    </row>
    <row r="7" spans="2:46" ht="16" customHeight="1" x14ac:dyDescent="0.2">
      <c r="B7" s="91">
        <v>40451</v>
      </c>
      <c r="C7" s="66">
        <f>AIRBUS!D4</f>
        <v>5.3555971306760222E-2</v>
      </c>
      <c r="D7" s="66">
        <f>BNP!D4</f>
        <v>5.6714487270693427E-2</v>
      </c>
      <c r="E7" s="66">
        <f>CAPGEMINI!D4</f>
        <v>0.10311741846834083</v>
      </c>
      <c r="F7" s="66">
        <f>DANONE!D4</f>
        <v>3.4665943323180064E-2</v>
      </c>
      <c r="G7" s="66">
        <f>ENGIE!D4</f>
        <v>7.4688219627718669E-2</v>
      </c>
      <c r="H7" s="66">
        <f>'HERMES INTL'!D4</f>
        <v>0.17132819811551889</v>
      </c>
      <c r="I7" s="66">
        <f>'PERNOD RICARD'!D4</f>
        <v>-7.1321713142540981E-3</v>
      </c>
      <c r="J7" s="66">
        <f>RENAULT!D4</f>
        <v>0.17732390094757144</v>
      </c>
      <c r="K7" s="66">
        <f>SANOFI!D4</f>
        <v>7.9633172630904886E-2</v>
      </c>
      <c r="L7" s="66">
        <f>'SCHNEIDER ELECTRIC'!D4</f>
        <v>0.11136330368954504</v>
      </c>
      <c r="M7" s="66">
        <f>TOTALENERGIES!D4</f>
        <v>2.5359166649043825E-2</v>
      </c>
      <c r="N7" s="66">
        <f>VINCI!D4</f>
        <v>6.1949368577682476E-2</v>
      </c>
      <c r="O7" s="94">
        <f>MARKET!D4</f>
        <v>6.4280546800000005E-2</v>
      </c>
      <c r="P7" s="95">
        <f>INTERBANK!D3</f>
        <v>7.3416666666666671E-4</v>
      </c>
      <c r="R7" s="91">
        <v>40451</v>
      </c>
      <c r="S7" s="66">
        <f t="shared" ref="S7:S24" si="0">C7-$P7</f>
        <v>5.2821804640093555E-2</v>
      </c>
      <c r="T7" s="66">
        <f t="shared" ref="T7:T24" si="1">D7-$P7</f>
        <v>5.5980320604026759E-2</v>
      </c>
      <c r="U7" s="66">
        <f t="shared" ref="U7:U24" si="2">E7-$P7</f>
        <v>0.10238325180167417</v>
      </c>
      <c r="V7" s="66">
        <f t="shared" ref="V7:V24" si="3">F7-$P7</f>
        <v>3.3931776656513396E-2</v>
      </c>
      <c r="W7" s="66">
        <f t="shared" ref="W7:W24" si="4">G7-$P7</f>
        <v>7.3954052961052008E-2</v>
      </c>
      <c r="X7" s="66">
        <f t="shared" ref="X7:X24" si="5">H7-$P7</f>
        <v>0.17059403144885221</v>
      </c>
      <c r="Y7" s="66">
        <f t="shared" ref="Y7:Y24" si="6">I7-$P7</f>
        <v>-7.866337980920764E-3</v>
      </c>
      <c r="Z7" s="66">
        <f t="shared" ref="Z7:Z24" si="7">J7-$P7</f>
        <v>0.17658973428090477</v>
      </c>
      <c r="AA7" s="66">
        <f t="shared" ref="AA7:AA24" si="8">K7-$P7</f>
        <v>7.8899005964238225E-2</v>
      </c>
      <c r="AB7" s="66">
        <f t="shared" ref="AB7:AB24" si="9">L7-$P7</f>
        <v>0.11062913702287838</v>
      </c>
      <c r="AC7" s="66">
        <f t="shared" ref="AC7:AC24" si="10">M7-$P7</f>
        <v>2.4624999982377157E-2</v>
      </c>
      <c r="AD7" s="66">
        <f t="shared" ref="AD7:AD24" si="11">N7-$P7</f>
        <v>6.1215201911015808E-2</v>
      </c>
      <c r="AE7" s="94">
        <f t="shared" ref="AE7:AE24" si="12">O7-$P7</f>
        <v>6.3546380133333344E-2</v>
      </c>
      <c r="AH7" s="84" t="s">
        <v>34</v>
      </c>
      <c r="AI7" s="62">
        <f t="shared" ref="AI7:AT7" si="13">SLOPE(S7:S188,$AE$7:$AE$188)</f>
        <v>1.408683395541803</v>
      </c>
      <c r="AJ7" s="62">
        <f t="shared" si="13"/>
        <v>1.5976817870464119</v>
      </c>
      <c r="AK7" s="62">
        <f t="shared" si="13"/>
        <v>1.1615333030177823</v>
      </c>
      <c r="AL7" s="62">
        <f t="shared" si="13"/>
        <v>0.50628937487433345</v>
      </c>
      <c r="AM7" s="62">
        <f t="shared" si="13"/>
        <v>0.80315576465632044</v>
      </c>
      <c r="AN7" s="62">
        <f t="shared" si="13"/>
        <v>0.62646802327560247</v>
      </c>
      <c r="AO7" s="62">
        <f t="shared" si="13"/>
        <v>0.59148467092984525</v>
      </c>
      <c r="AP7" s="62">
        <f t="shared" si="13"/>
        <v>1.7069944289916237</v>
      </c>
      <c r="AQ7" s="62">
        <f t="shared" si="13"/>
        <v>0.59274314367503544</v>
      </c>
      <c r="AR7" s="62">
        <f t="shared" si="13"/>
        <v>1.0217942722938897</v>
      </c>
      <c r="AS7" s="62">
        <f t="shared" si="13"/>
        <v>0.94928953935449933</v>
      </c>
      <c r="AT7" s="62">
        <f t="shared" si="13"/>
        <v>0.97065436339490185</v>
      </c>
    </row>
    <row r="8" spans="2:46" ht="16" customHeight="1" x14ac:dyDescent="0.2">
      <c r="B8" s="91">
        <v>40482</v>
      </c>
      <c r="C8" s="66">
        <f>AIRBUS!D5</f>
        <v>3.2249369886116423E-2</v>
      </c>
      <c r="D8" s="66">
        <f>BNP!D5</f>
        <v>7.2837100402801686E-3</v>
      </c>
      <c r="E8" s="66">
        <f>CAPGEMINI!D5</f>
        <v>-3.9400482623412267E-3</v>
      </c>
      <c r="F8" s="66">
        <f>DANONE!D5</f>
        <v>3.646680162839596E-2</v>
      </c>
      <c r="G8" s="66">
        <f>ENGIE!D5</f>
        <v>9.2155460205188569E-2</v>
      </c>
      <c r="H8" s="66">
        <f>'HERMES INTL'!D5</f>
        <v>-8.9850307178739208E-2</v>
      </c>
      <c r="I8" s="66">
        <f>'PERNOD RICARD'!D5</f>
        <v>4.0162883172908462E-2</v>
      </c>
      <c r="J8" s="66">
        <f>RENAULT!D5</f>
        <v>5.7755857122280131E-2</v>
      </c>
      <c r="K8" s="66">
        <f>SANOFI!D5</f>
        <v>2.670064088694063E-2</v>
      </c>
      <c r="L8" s="66">
        <f>'SCHNEIDER ELECTRIC'!D5</f>
        <v>9.6656394725314204E-2</v>
      </c>
      <c r="M8" s="66">
        <f>TOTALENERGIES!D5</f>
        <v>3.2800275625824722E-2</v>
      </c>
      <c r="N8" s="66">
        <f>VINCI!D5</f>
        <v>4.3785886750765293E-2</v>
      </c>
      <c r="O8" s="66">
        <f>MARKET!D5</f>
        <v>3.1847735699999997E-2</v>
      </c>
      <c r="P8" s="92">
        <f>INTERBANK!D4</f>
        <v>8.3166666666666664E-4</v>
      </c>
      <c r="R8" s="91">
        <v>40482</v>
      </c>
      <c r="S8" s="66">
        <f t="shared" si="0"/>
        <v>3.1417703219449755E-2</v>
      </c>
      <c r="T8" s="66">
        <f t="shared" si="1"/>
        <v>6.4520433736135023E-3</v>
      </c>
      <c r="U8" s="66">
        <f t="shared" si="2"/>
        <v>-4.771714929007893E-3</v>
      </c>
      <c r="V8" s="66">
        <f t="shared" si="3"/>
        <v>3.5635134961729292E-2</v>
      </c>
      <c r="W8" s="66">
        <f t="shared" si="4"/>
        <v>9.1323793538521908E-2</v>
      </c>
      <c r="X8" s="66">
        <f t="shared" si="5"/>
        <v>-9.0681973845405869E-2</v>
      </c>
      <c r="Y8" s="66">
        <f t="shared" si="6"/>
        <v>3.9331216506241794E-2</v>
      </c>
      <c r="Z8" s="66">
        <f t="shared" si="7"/>
        <v>5.6924190455613463E-2</v>
      </c>
      <c r="AA8" s="66">
        <f t="shared" si="8"/>
        <v>2.5868974220273962E-2</v>
      </c>
      <c r="AB8" s="66">
        <f t="shared" si="9"/>
        <v>9.5824728058647543E-2</v>
      </c>
      <c r="AC8" s="66">
        <f t="shared" si="10"/>
        <v>3.1968608959158054E-2</v>
      </c>
      <c r="AD8" s="66">
        <f t="shared" si="11"/>
        <v>4.2954220084098625E-2</v>
      </c>
      <c r="AE8" s="66">
        <f t="shared" si="12"/>
        <v>3.1016069033333329E-2</v>
      </c>
      <c r="AH8" s="20"/>
    </row>
    <row r="9" spans="2:46" ht="17" customHeight="1" thickBot="1" x14ac:dyDescent="0.25">
      <c r="B9" s="91">
        <v>40512</v>
      </c>
      <c r="C9" s="66">
        <f>AIRBUS!D6</f>
        <v>-8.6047324972625627E-2</v>
      </c>
      <c r="D9" s="66">
        <f>BNP!D6</f>
        <v>-0.13225481807965223</v>
      </c>
      <c r="E9" s="66">
        <f>CAPGEMINI!D6</f>
        <v>-0.11362716943822053</v>
      </c>
      <c r="F9" s="66">
        <f>DANONE!D6</f>
        <v>-7.696354397518289E-3</v>
      </c>
      <c r="G9" s="66">
        <f>ENGIE!D6</f>
        <v>-0.10913528700493846</v>
      </c>
      <c r="H9" s="66">
        <f>'HERMES INTL'!D6</f>
        <v>-4.2309471306659061E-2</v>
      </c>
      <c r="I9" s="66">
        <f>'PERNOD RICARD'!D6</f>
        <v>-1.4440146757042789E-2</v>
      </c>
      <c r="J9" s="66">
        <f>RENAULT!D6</f>
        <v>1.139646247738226E-2</v>
      </c>
      <c r="K9" s="66">
        <f>SANOFI!D6</f>
        <v>-7.17417231286583E-2</v>
      </c>
      <c r="L9" s="66">
        <f>'SCHNEIDER ELECTRIC'!D6</f>
        <v>6.0293873175166109E-2</v>
      </c>
      <c r="M9" s="66">
        <f>TOTALENERGIES!D6</f>
        <v>-4.4307802566365885E-2</v>
      </c>
      <c r="N9" s="66">
        <f>VINCI!D6</f>
        <v>-2.8139597405940568E-2</v>
      </c>
      <c r="O9" s="66">
        <f>MARKET!D6</f>
        <v>-5.8187050599999998E-2</v>
      </c>
      <c r="P9" s="92">
        <f>INTERBANK!D5</f>
        <v>8.6833333333333337E-4</v>
      </c>
      <c r="R9" s="91">
        <v>40512</v>
      </c>
      <c r="S9" s="66">
        <f t="shared" si="0"/>
        <v>-8.6915658305958959E-2</v>
      </c>
      <c r="T9" s="66">
        <f t="shared" si="1"/>
        <v>-0.13312315141298556</v>
      </c>
      <c r="U9" s="66">
        <f t="shared" si="2"/>
        <v>-0.11449550277155386</v>
      </c>
      <c r="V9" s="66">
        <f t="shared" si="3"/>
        <v>-8.5646877308516219E-3</v>
      </c>
      <c r="W9" s="66">
        <f t="shared" si="4"/>
        <v>-0.1100036203382718</v>
      </c>
      <c r="X9" s="66">
        <f t="shared" si="5"/>
        <v>-4.3177804639992393E-2</v>
      </c>
      <c r="Y9" s="66">
        <f t="shared" si="6"/>
        <v>-1.5308480090376123E-2</v>
      </c>
      <c r="Z9" s="66">
        <f t="shared" si="7"/>
        <v>1.0528129144048926E-2</v>
      </c>
      <c r="AA9" s="66">
        <f t="shared" si="8"/>
        <v>-7.2610056461991632E-2</v>
      </c>
      <c r="AB9" s="66">
        <f t="shared" si="9"/>
        <v>5.9425539841832777E-2</v>
      </c>
      <c r="AC9" s="66">
        <f t="shared" si="10"/>
        <v>-4.5176135899699217E-2</v>
      </c>
      <c r="AD9" s="66">
        <f t="shared" si="11"/>
        <v>-2.90079307392739E-2</v>
      </c>
      <c r="AE9" s="66">
        <f t="shared" si="12"/>
        <v>-5.905538393333333E-2</v>
      </c>
    </row>
    <row r="10" spans="2:46" ht="25" customHeight="1" thickBot="1" x14ac:dyDescent="0.35">
      <c r="B10" s="91">
        <v>40543</v>
      </c>
      <c r="C10" s="66">
        <f>AIRBUS!D7</f>
        <v>1.0428939996455255E-2</v>
      </c>
      <c r="D10" s="66">
        <f>BNP!D7</f>
        <v>4.4078880202459383E-2</v>
      </c>
      <c r="E10" s="66">
        <f>CAPGEMINI!D7</f>
        <v>7.5100104736098711E-2</v>
      </c>
      <c r="F10" s="66">
        <f>DANONE!D7</f>
        <v>4.1994358259575128E-2</v>
      </c>
      <c r="G10" s="66">
        <f>ENGIE!D7</f>
        <v>8.1987222426953665E-2</v>
      </c>
      <c r="H10" s="66">
        <f>'HERMES INTL'!D7</f>
        <v>7.3630665095190992E-2</v>
      </c>
      <c r="I10" s="66">
        <f>'PERNOD RICARD'!D7</f>
        <v>0.13365278573141876</v>
      </c>
      <c r="J10" s="66">
        <f>RENAULT!D7</f>
        <v>7.7265943421792049E-2</v>
      </c>
      <c r="K10" s="66">
        <f>SANOFI!D7</f>
        <v>2.7265178356712928E-2</v>
      </c>
      <c r="L10" s="66">
        <f>'SCHNEIDER ELECTRIC'!D7</f>
        <v>3.5598561564820885E-2</v>
      </c>
      <c r="M10" s="66">
        <f>TOTALENERGIES!D7</f>
        <v>9.3091074053869113E-2</v>
      </c>
      <c r="N10" s="66">
        <f>VINCI!D7</f>
        <v>9.0616435792286953E-2</v>
      </c>
      <c r="O10" s="66">
        <f>MARKET!D7</f>
        <v>5.3827259600000003E-2</v>
      </c>
      <c r="P10" s="92">
        <f>INTERBANK!D6</f>
        <v>8.516666666666667E-4</v>
      </c>
      <c r="R10" s="91">
        <v>40543</v>
      </c>
      <c r="S10" s="66">
        <f t="shared" si="0"/>
        <v>9.5772733297885878E-3</v>
      </c>
      <c r="T10" s="66">
        <f t="shared" si="1"/>
        <v>4.3227213535792716E-2</v>
      </c>
      <c r="U10" s="66">
        <f t="shared" si="2"/>
        <v>7.4248438069432043E-2</v>
      </c>
      <c r="V10" s="66">
        <f t="shared" si="3"/>
        <v>4.1142691592908461E-2</v>
      </c>
      <c r="W10" s="66">
        <f t="shared" si="4"/>
        <v>8.1135555760286998E-2</v>
      </c>
      <c r="X10" s="66">
        <f t="shared" si="5"/>
        <v>7.2778998428524325E-2</v>
      </c>
      <c r="Y10" s="66">
        <f t="shared" si="6"/>
        <v>0.13280111906475209</v>
      </c>
      <c r="Z10" s="66">
        <f t="shared" si="7"/>
        <v>7.6414276755125382E-2</v>
      </c>
      <c r="AA10" s="66">
        <f t="shared" si="8"/>
        <v>2.641351169004626E-2</v>
      </c>
      <c r="AB10" s="66">
        <f t="shared" si="9"/>
        <v>3.4746894898154218E-2</v>
      </c>
      <c r="AC10" s="66">
        <f t="shared" si="10"/>
        <v>9.2239407387202446E-2</v>
      </c>
      <c r="AD10" s="66">
        <f t="shared" si="11"/>
        <v>8.9764769125620286E-2</v>
      </c>
      <c r="AE10" s="66">
        <f t="shared" si="12"/>
        <v>5.2975592933333336E-2</v>
      </c>
      <c r="AI10" s="140" t="s">
        <v>35</v>
      </c>
      <c r="AJ10" s="141"/>
      <c r="AK10" s="141"/>
      <c r="AL10" s="141"/>
      <c r="AM10" s="141"/>
      <c r="AN10" s="141"/>
      <c r="AO10" s="141"/>
      <c r="AP10" s="141"/>
      <c r="AQ10" s="141"/>
      <c r="AR10" s="141"/>
      <c r="AS10" s="141"/>
      <c r="AT10" s="142"/>
    </row>
    <row r="11" spans="2:46" ht="16" customHeight="1" x14ac:dyDescent="0.2">
      <c r="B11" s="91">
        <v>40574</v>
      </c>
      <c r="C11" s="66">
        <f>AIRBUS!D8</f>
        <v>0.20699549484094942</v>
      </c>
      <c r="D11" s="66">
        <f>BNP!D8</f>
        <v>0.14681807813520584</v>
      </c>
      <c r="E11" s="66">
        <f>CAPGEMINI!D8</f>
        <v>5.3678612017126037E-2</v>
      </c>
      <c r="F11" s="66">
        <f>DANONE!D8</f>
        <v>-6.4440635444343378E-2</v>
      </c>
      <c r="G11" s="66">
        <f>ENGIE!D8</f>
        <v>7.9143148287542653E-2</v>
      </c>
      <c r="H11" s="66">
        <f>'HERMES INTL'!D8</f>
        <v>-5.9649482440594447E-2</v>
      </c>
      <c r="I11" s="66">
        <f>'PERNOD RICARD'!D8</f>
        <v>-1.0375156202841844E-2</v>
      </c>
      <c r="J11" s="66">
        <f>RENAULT!D8</f>
        <v>9.850578513172005E-2</v>
      </c>
      <c r="K11" s="66">
        <f>SANOFI!D8</f>
        <v>4.2319496065881229E-2</v>
      </c>
      <c r="L11" s="66">
        <f>'SCHNEIDER ELECTRIC'!D8</f>
        <v>1.6964610046627113E-2</v>
      </c>
      <c r="M11" s="66">
        <f>TOTALENERGIES!D8</f>
        <v>7.730134207708908E-2</v>
      </c>
      <c r="N11" s="66">
        <f>VINCI!D8</f>
        <v>5.3048637106515584E-2</v>
      </c>
      <c r="O11" s="66">
        <f>MARKET!D8</f>
        <v>5.2754684699999999E-2</v>
      </c>
      <c r="P11" s="92">
        <f>INTERBANK!D7</f>
        <v>8.4749999999999995E-4</v>
      </c>
      <c r="R11" s="91">
        <v>40574</v>
      </c>
      <c r="S11" s="66">
        <f t="shared" si="0"/>
        <v>0.20614799484094942</v>
      </c>
      <c r="T11" s="66">
        <f t="shared" si="1"/>
        <v>0.14597057813520584</v>
      </c>
      <c r="U11" s="66">
        <f t="shared" si="2"/>
        <v>5.2831112017126036E-2</v>
      </c>
      <c r="V11" s="66">
        <f t="shared" si="3"/>
        <v>-6.5288135444343379E-2</v>
      </c>
      <c r="W11" s="66">
        <f t="shared" si="4"/>
        <v>7.8295648287542652E-2</v>
      </c>
      <c r="X11" s="66">
        <f t="shared" si="5"/>
        <v>-6.0496982440594448E-2</v>
      </c>
      <c r="Y11" s="66">
        <f t="shared" si="6"/>
        <v>-1.1222656202841843E-2</v>
      </c>
      <c r="Z11" s="66">
        <f t="shared" si="7"/>
        <v>9.7658285131720049E-2</v>
      </c>
      <c r="AA11" s="66">
        <f t="shared" si="8"/>
        <v>4.1471996065881228E-2</v>
      </c>
      <c r="AB11" s="66">
        <f t="shared" si="9"/>
        <v>1.6117110046627112E-2</v>
      </c>
      <c r="AC11" s="66">
        <f t="shared" si="10"/>
        <v>7.6453842077089079E-2</v>
      </c>
      <c r="AD11" s="66">
        <f t="shared" si="11"/>
        <v>5.2201137106515583E-2</v>
      </c>
      <c r="AE11" s="66">
        <f t="shared" si="12"/>
        <v>5.1907184699999998E-2</v>
      </c>
      <c r="AI11" s="139" t="s">
        <v>36</v>
      </c>
      <c r="AJ11" s="116"/>
      <c r="AK11" s="116"/>
      <c r="AL11" s="116"/>
      <c r="AM11" s="116"/>
      <c r="AN11" s="116"/>
      <c r="AO11" s="116"/>
      <c r="AP11" s="116"/>
      <c r="AQ11" s="116"/>
      <c r="AR11" s="116"/>
      <c r="AS11" s="116"/>
      <c r="AT11" s="116"/>
    </row>
    <row r="12" spans="2:46" ht="16" customHeight="1" x14ac:dyDescent="0.2">
      <c r="B12" s="91">
        <v>40602</v>
      </c>
      <c r="C12" s="66">
        <f>AIRBUS!D9</f>
        <v>-4.2756727614037589E-3</v>
      </c>
      <c r="D12" s="66">
        <f>BNP!D9</f>
        <v>3.6263543660819741E-2</v>
      </c>
      <c r="E12" s="66">
        <f>CAPGEMINI!D9</f>
        <v>0.15038712634117757</v>
      </c>
      <c r="F12" s="66">
        <f>DANONE!D9</f>
        <v>3.2734789827122912E-2</v>
      </c>
      <c r="G12" s="66">
        <f>ENGIE!D9</f>
        <v>1.3805211108738599E-2</v>
      </c>
      <c r="H12" s="66">
        <f>'HERMES INTL'!D9</f>
        <v>7.0217169098397897E-2</v>
      </c>
      <c r="I12" s="66">
        <f>'PERNOD RICARD'!D9</f>
        <v>-4.0499993288568993E-2</v>
      </c>
      <c r="J12" s="66">
        <f>RENAULT!D9</f>
        <v>-7.0524269517882918E-2</v>
      </c>
      <c r="K12" s="66">
        <f>SANOFI!D9</f>
        <v>2.5062265694819766E-3</v>
      </c>
      <c r="L12" s="66">
        <f>'SCHNEIDER ELECTRIC'!D9</f>
        <v>5.2677653182907666E-2</v>
      </c>
      <c r="M12" s="66">
        <f>TOTALENERGIES!D9</f>
        <v>3.9681634092753618E-2</v>
      </c>
      <c r="N12" s="66">
        <f>VINCI!D9</f>
        <v>3.1571616789875794E-2</v>
      </c>
      <c r="O12" s="66">
        <f>MARKET!D9</f>
        <v>2.6176531699999998E-2</v>
      </c>
      <c r="P12" s="92">
        <f>INTERBANK!D8</f>
        <v>9.0583333333333325E-4</v>
      </c>
      <c r="R12" s="91">
        <v>40602</v>
      </c>
      <c r="S12" s="66">
        <f t="shared" si="0"/>
        <v>-5.1815060947370921E-3</v>
      </c>
      <c r="T12" s="66">
        <f t="shared" si="1"/>
        <v>3.5357710327486407E-2</v>
      </c>
      <c r="U12" s="66">
        <f t="shared" si="2"/>
        <v>0.14948129300784424</v>
      </c>
      <c r="V12" s="66">
        <f t="shared" si="3"/>
        <v>3.1828956493789577E-2</v>
      </c>
      <c r="W12" s="66">
        <f t="shared" si="4"/>
        <v>1.2899377775405266E-2</v>
      </c>
      <c r="X12" s="66">
        <f t="shared" si="5"/>
        <v>6.9311335765064569E-2</v>
      </c>
      <c r="Y12" s="66">
        <f t="shared" si="6"/>
        <v>-4.1405826621902328E-2</v>
      </c>
      <c r="Z12" s="66">
        <f t="shared" si="7"/>
        <v>-7.1430102851216246E-2</v>
      </c>
      <c r="AA12" s="66">
        <f t="shared" si="8"/>
        <v>1.6003932361486435E-3</v>
      </c>
      <c r="AB12" s="66">
        <f t="shared" si="9"/>
        <v>5.1771819849574331E-2</v>
      </c>
      <c r="AC12" s="66">
        <f t="shared" si="10"/>
        <v>3.8775800759420283E-2</v>
      </c>
      <c r="AD12" s="66">
        <f t="shared" si="11"/>
        <v>3.0665783456542459E-2</v>
      </c>
      <c r="AE12" s="66">
        <f t="shared" si="12"/>
        <v>2.5270698366666663E-2</v>
      </c>
      <c r="AH12" s="42" t="s">
        <v>5</v>
      </c>
      <c r="AI12" s="45">
        <v>1</v>
      </c>
      <c r="AJ12" s="45">
        <v>2</v>
      </c>
      <c r="AK12" s="45">
        <v>3</v>
      </c>
      <c r="AL12" s="45">
        <v>4</v>
      </c>
      <c r="AM12" s="45">
        <v>5</v>
      </c>
      <c r="AN12" s="45">
        <v>6</v>
      </c>
      <c r="AO12" s="45">
        <v>7</v>
      </c>
      <c r="AP12" s="45">
        <v>8</v>
      </c>
      <c r="AQ12" s="45">
        <v>9</v>
      </c>
      <c r="AR12" s="45">
        <v>10</v>
      </c>
      <c r="AS12" s="45">
        <v>11</v>
      </c>
      <c r="AT12" s="45">
        <v>12</v>
      </c>
    </row>
    <row r="13" spans="2:46" ht="16" customHeight="1" x14ac:dyDescent="0.2">
      <c r="B13" s="91">
        <v>40633</v>
      </c>
      <c r="C13" s="66">
        <f>AIRBUS!D10</f>
        <v>-2.0038141319407329E-2</v>
      </c>
      <c r="D13" s="66">
        <f>BNP!D10</f>
        <v>-8.7840156738998712E-2</v>
      </c>
      <c r="E13" s="66">
        <f>CAPGEMINI!D10</f>
        <v>-3.2002740430320718E-2</v>
      </c>
      <c r="F13" s="66">
        <f>DANONE!D10</f>
        <v>1.4637946353779884E-2</v>
      </c>
      <c r="G13" s="66">
        <f>ENGIE!D10</f>
        <v>-2.1276670043466485E-2</v>
      </c>
      <c r="H13" s="66">
        <f>'HERMES INTL'!D10</f>
        <v>-1.275277411194276E-2</v>
      </c>
      <c r="I13" s="66">
        <f>'PERNOD RICARD'!D10</f>
        <v>-1.362054861550502E-2</v>
      </c>
      <c r="J13" s="66">
        <f>RENAULT!D10</f>
        <v>-0.12169308792471414</v>
      </c>
      <c r="K13" s="66">
        <f>SANOFI!D10</f>
        <v>-1.0500098246934771E-2</v>
      </c>
      <c r="L13" s="66">
        <f>'SCHNEIDER ELECTRIC'!D10</f>
        <v>5.8380608898524096E-3</v>
      </c>
      <c r="M13" s="66">
        <f>TOTALENERGIES!D10</f>
        <v>-3.2763226346857625E-2</v>
      </c>
      <c r="N13" s="66">
        <f>VINCI!D10</f>
        <v>1.0889674345785826E-2</v>
      </c>
      <c r="O13" s="66">
        <f>MARKET!D10</f>
        <v>-2.9479281100000001E-2</v>
      </c>
      <c r="P13" s="92">
        <f>INTERBANK!D9</f>
        <v>9.7999999999999997E-4</v>
      </c>
      <c r="R13" s="91">
        <v>40633</v>
      </c>
      <c r="S13" s="66">
        <f t="shared" si="0"/>
        <v>-2.1018141319407331E-2</v>
      </c>
      <c r="T13" s="66">
        <f t="shared" si="1"/>
        <v>-8.8820156738998707E-2</v>
      </c>
      <c r="U13" s="66">
        <f t="shared" si="2"/>
        <v>-3.298274043032072E-2</v>
      </c>
      <c r="V13" s="66">
        <f t="shared" si="3"/>
        <v>1.3657946353779885E-2</v>
      </c>
      <c r="W13" s="66">
        <f t="shared" si="4"/>
        <v>-2.2256670043466487E-2</v>
      </c>
      <c r="X13" s="66">
        <f t="shared" si="5"/>
        <v>-1.373277411194276E-2</v>
      </c>
      <c r="Y13" s="66">
        <f t="shared" si="6"/>
        <v>-1.460054861550502E-2</v>
      </c>
      <c r="Z13" s="66">
        <f t="shared" si="7"/>
        <v>-0.12267308792471414</v>
      </c>
      <c r="AA13" s="66">
        <f t="shared" si="8"/>
        <v>-1.1480098246934771E-2</v>
      </c>
      <c r="AB13" s="66">
        <f t="shared" si="9"/>
        <v>4.8580608898524096E-3</v>
      </c>
      <c r="AC13" s="66">
        <f t="shared" si="10"/>
        <v>-3.3743226346857627E-2</v>
      </c>
      <c r="AD13" s="66">
        <f t="shared" si="11"/>
        <v>9.9096743457858256E-3</v>
      </c>
      <c r="AE13" s="66">
        <f t="shared" si="12"/>
        <v>-3.0459281099999999E-2</v>
      </c>
      <c r="AH13" s="43" t="s">
        <v>8</v>
      </c>
      <c r="AI13" s="48" t="s">
        <v>9</v>
      </c>
      <c r="AJ13" s="47" t="s">
        <v>10</v>
      </c>
      <c r="AK13" s="47" t="s">
        <v>11</v>
      </c>
      <c r="AL13" s="47" t="s">
        <v>12</v>
      </c>
      <c r="AM13" s="47" t="s">
        <v>13</v>
      </c>
      <c r="AN13" s="47" t="s">
        <v>14</v>
      </c>
      <c r="AO13" s="47" t="s">
        <v>15</v>
      </c>
      <c r="AP13" s="47" t="s">
        <v>16</v>
      </c>
      <c r="AQ13" s="47" t="s">
        <v>17</v>
      </c>
      <c r="AR13" s="47" t="s">
        <v>18</v>
      </c>
      <c r="AS13" s="47" t="s">
        <v>19</v>
      </c>
      <c r="AT13" s="47" t="s">
        <v>20</v>
      </c>
    </row>
    <row r="14" spans="2:46" ht="16" customHeight="1" x14ac:dyDescent="0.2">
      <c r="B14" s="91">
        <v>40663</v>
      </c>
      <c r="C14" s="66">
        <f>AIRBUS!D11</f>
        <v>1.7039937421768559E-2</v>
      </c>
      <c r="D14" s="66">
        <f>BNP!D11</f>
        <v>3.5264510643983359E-2</v>
      </c>
      <c r="E14" s="66">
        <f>CAPGEMINI!D11</f>
        <v>-1.7079181055604212E-3</v>
      </c>
      <c r="F14" s="66">
        <f>DANONE!D11</f>
        <v>7.2892995280724127E-2</v>
      </c>
      <c r="G14" s="66">
        <f>ENGIE!D11</f>
        <v>-3.9130235442378966E-2</v>
      </c>
      <c r="H14" s="66">
        <f>'HERMES INTL'!D11</f>
        <v>2.2624543543883404E-2</v>
      </c>
      <c r="I14" s="66">
        <f>'PERNOD RICARD'!D11</f>
        <v>2.9742273509908889E-2</v>
      </c>
      <c r="J14" s="66">
        <f>RENAULT!D11</f>
        <v>5.460145426187539E-2</v>
      </c>
      <c r="K14" s="66">
        <f>SANOFI!D11</f>
        <v>7.9333133687481294E-2</v>
      </c>
      <c r="L14" s="66">
        <f>'SCHNEIDER ELECTRIC'!D11</f>
        <v>-1.0779279198713663E-2</v>
      </c>
      <c r="M14" s="66">
        <f>TOTALENERGIES!D11</f>
        <v>6.169679172035483E-3</v>
      </c>
      <c r="N14" s="66">
        <f>VINCI!D11</f>
        <v>2.2791259892318939E-2</v>
      </c>
      <c r="O14" s="66">
        <f>MARKET!D11</f>
        <v>2.9514835699999999E-2</v>
      </c>
      <c r="P14" s="92">
        <f>INTERBANK!D10</f>
        <v>1.1008333333333332E-3</v>
      </c>
      <c r="R14" s="91">
        <v>40663</v>
      </c>
      <c r="S14" s="66">
        <f t="shared" si="0"/>
        <v>1.5939104088435227E-2</v>
      </c>
      <c r="T14" s="66">
        <f t="shared" si="1"/>
        <v>3.4163677310650023E-2</v>
      </c>
      <c r="U14" s="66">
        <f t="shared" si="2"/>
        <v>-2.8087514388937546E-3</v>
      </c>
      <c r="V14" s="66">
        <f t="shared" si="3"/>
        <v>7.1792161947390798E-2</v>
      </c>
      <c r="W14" s="66">
        <f t="shared" si="4"/>
        <v>-4.0231068775712302E-2</v>
      </c>
      <c r="X14" s="66">
        <f t="shared" si="5"/>
        <v>2.1523710210550072E-2</v>
      </c>
      <c r="Y14" s="66">
        <f t="shared" si="6"/>
        <v>2.8641440176575557E-2</v>
      </c>
      <c r="Z14" s="66">
        <f t="shared" si="7"/>
        <v>5.3500620928542054E-2</v>
      </c>
      <c r="AA14" s="66">
        <f t="shared" si="8"/>
        <v>7.8232300354147966E-2</v>
      </c>
      <c r="AB14" s="66">
        <f t="shared" si="9"/>
        <v>-1.1880112532046997E-2</v>
      </c>
      <c r="AC14" s="66">
        <f t="shared" si="10"/>
        <v>5.06884583870215E-3</v>
      </c>
      <c r="AD14" s="66">
        <f t="shared" si="11"/>
        <v>2.1690426558985607E-2</v>
      </c>
      <c r="AE14" s="66">
        <f t="shared" si="12"/>
        <v>2.8414002366666666E-2</v>
      </c>
      <c r="AH14" s="44" t="s">
        <v>21</v>
      </c>
      <c r="AI14" s="46" t="s">
        <v>22</v>
      </c>
      <c r="AJ14" s="46" t="s">
        <v>23</v>
      </c>
      <c r="AK14" s="46" t="s">
        <v>24</v>
      </c>
      <c r="AL14" s="46" t="s">
        <v>25</v>
      </c>
      <c r="AM14" s="46" t="s">
        <v>26</v>
      </c>
      <c r="AN14" s="46" t="s">
        <v>27</v>
      </c>
      <c r="AO14" s="46" t="s">
        <v>28</v>
      </c>
      <c r="AP14" s="46" t="s">
        <v>29</v>
      </c>
      <c r="AQ14" s="46" t="s">
        <v>30</v>
      </c>
      <c r="AR14" s="46" t="s">
        <v>31</v>
      </c>
      <c r="AS14" s="46" t="s">
        <v>32</v>
      </c>
      <c r="AT14" s="46" t="s">
        <v>33</v>
      </c>
    </row>
    <row r="15" spans="2:46" ht="16" customHeight="1" x14ac:dyDescent="0.2">
      <c r="B15" s="91">
        <v>40694</v>
      </c>
      <c r="C15" s="66">
        <f>AIRBUS!D12</f>
        <v>9.5260997245574019E-2</v>
      </c>
      <c r="D15" s="66">
        <f>BNP!D12</f>
        <v>1.4785728649600439E-2</v>
      </c>
      <c r="E15" s="66">
        <f>CAPGEMINI!D12</f>
        <v>-3.0306845873596625E-2</v>
      </c>
      <c r="F15" s="66">
        <f>DANONE!D12</f>
        <v>3.0229410522661863E-2</v>
      </c>
      <c r="G15" s="66">
        <f>ENGIE!D12</f>
        <v>-7.4751227951254925E-2</v>
      </c>
      <c r="H15" s="66">
        <f>'HERMES INTL'!D12</f>
        <v>0.13084707610470347</v>
      </c>
      <c r="I15" s="66">
        <f>'PERNOD RICARD'!D12</f>
        <v>3.3745924759741044E-2</v>
      </c>
      <c r="J15" s="66">
        <f>RENAULT!D12</f>
        <v>-4.180857800191122E-2</v>
      </c>
      <c r="K15" s="66">
        <f>SANOFI!D12</f>
        <v>3.033689199300604E-2</v>
      </c>
      <c r="L15" s="66">
        <f>'SCHNEIDER ELECTRIC'!D12</f>
        <v>-1.3357298202991641E-2</v>
      </c>
      <c r="M15" s="66">
        <f>TOTALENERGIES!D12</f>
        <v>-7.3808658801393354E-2</v>
      </c>
      <c r="N15" s="66">
        <f>VINCI!D12</f>
        <v>-5.8756440607066586E-3</v>
      </c>
      <c r="O15" s="66">
        <f>MARKET!D12</f>
        <v>-2.4344273199999999E-2</v>
      </c>
      <c r="P15" s="92">
        <f>INTERBANK!D11</f>
        <v>1.1875E-3</v>
      </c>
      <c r="R15" s="91">
        <v>40694</v>
      </c>
      <c r="S15" s="66">
        <f t="shared" si="0"/>
        <v>9.4073497245574025E-2</v>
      </c>
      <c r="T15" s="66">
        <f t="shared" si="1"/>
        <v>1.359822864960044E-2</v>
      </c>
      <c r="U15" s="66">
        <f t="shared" si="2"/>
        <v>-3.1494345873596626E-2</v>
      </c>
      <c r="V15" s="66">
        <f t="shared" si="3"/>
        <v>2.9041910522661862E-2</v>
      </c>
      <c r="W15" s="66">
        <f t="shared" si="4"/>
        <v>-7.593872795125492E-2</v>
      </c>
      <c r="X15" s="66">
        <f t="shared" si="5"/>
        <v>0.12965957610470347</v>
      </c>
      <c r="Y15" s="66">
        <f t="shared" si="6"/>
        <v>3.2558424759741043E-2</v>
      </c>
      <c r="Z15" s="66">
        <f t="shared" si="7"/>
        <v>-4.2996078001911221E-2</v>
      </c>
      <c r="AA15" s="66">
        <f t="shared" si="8"/>
        <v>2.9149391993006039E-2</v>
      </c>
      <c r="AB15" s="66">
        <f t="shared" si="9"/>
        <v>-1.454479820299164E-2</v>
      </c>
      <c r="AC15" s="66">
        <f t="shared" si="10"/>
        <v>-7.4996158801393348E-2</v>
      </c>
      <c r="AD15" s="66">
        <f t="shared" si="11"/>
        <v>-7.0631440607066588E-3</v>
      </c>
      <c r="AE15" s="66">
        <f t="shared" si="12"/>
        <v>-2.55317732E-2</v>
      </c>
      <c r="AH15" s="84" t="s">
        <v>37</v>
      </c>
      <c r="AI15" s="66">
        <f t="shared" ref="AI15:AT15" si="14">INTERCEPT(S7:S188,$AE$7:$AE$188)</f>
        <v>1.086930908324182E-2</v>
      </c>
      <c r="AJ15" s="66">
        <f t="shared" si="14"/>
        <v>2.3834100596280688E-3</v>
      </c>
      <c r="AK15" s="66">
        <f t="shared" si="14"/>
        <v>5.5035071510840328E-3</v>
      </c>
      <c r="AL15" s="66">
        <f t="shared" si="14"/>
        <v>3.3736568958282983E-3</v>
      </c>
      <c r="AM15" s="66">
        <f t="shared" si="14"/>
        <v>2.0524165183013242E-3</v>
      </c>
      <c r="AN15" s="66">
        <f t="shared" si="14"/>
        <v>1.4994417758783503E-2</v>
      </c>
      <c r="AO15" s="66">
        <f t="shared" si="14"/>
        <v>2.3792025356154213E-3</v>
      </c>
      <c r="AP15" s="66">
        <f t="shared" si="14"/>
        <v>-5.6639623099469238E-4</v>
      </c>
      <c r="AQ15" s="66">
        <f t="shared" si="14"/>
        <v>4.8460002801478108E-3</v>
      </c>
      <c r="AR15" s="66">
        <f t="shared" si="14"/>
        <v>7.8150404627259154E-3</v>
      </c>
      <c r="AS15" s="66">
        <f t="shared" si="14"/>
        <v>3.7759044285879031E-3</v>
      </c>
      <c r="AT15" s="66">
        <f t="shared" si="14"/>
        <v>6.19397295940454E-3</v>
      </c>
    </row>
    <row r="16" spans="2:46" ht="16" customHeight="1" x14ac:dyDescent="0.2">
      <c r="B16" s="91">
        <v>40724</v>
      </c>
      <c r="C16" s="66">
        <f>AIRBUS!D13</f>
        <v>8.7410586818618061E-3</v>
      </c>
      <c r="D16" s="66">
        <f>BNP!D13</f>
        <v>2.1206231968364603E-2</v>
      </c>
      <c r="E16" s="66">
        <f>CAPGEMINI!D13</f>
        <v>1.8273656238634368E-2</v>
      </c>
      <c r="F16" s="66">
        <f>DANONE!D13</f>
        <v>3.6992818315605004E-2</v>
      </c>
      <c r="G16" s="66">
        <f>ENGIE!D13</f>
        <v>1.1653184642281511E-2</v>
      </c>
      <c r="H16" s="66">
        <f>'HERMES INTL'!D13</f>
        <v>0.139742996498123</v>
      </c>
      <c r="I16" s="66">
        <f>'PERNOD RICARD'!D13</f>
        <v>-3.1076324161329539E-2</v>
      </c>
      <c r="J16" s="66">
        <f>RENAULT!D13</f>
        <v>4.4838939207466524E-2</v>
      </c>
      <c r="K16" s="66">
        <f>SANOFI!D13</f>
        <v>5.4759663079832648E-2</v>
      </c>
      <c r="L16" s="66">
        <f>'SCHNEIDER ELECTRIC'!D13</f>
        <v>5.23548357223099E-3</v>
      </c>
      <c r="M16" s="66">
        <f>TOTALENERGIES!D13</f>
        <v>2.4695868974051037E-2</v>
      </c>
      <c r="N16" s="66">
        <f>VINCI!D13</f>
        <v>-1.4832211614416422E-2</v>
      </c>
      <c r="O16" s="66">
        <f>MARKET!D13</f>
        <v>-6.1717871999999998E-3</v>
      </c>
      <c r="P16" s="92">
        <f>INTERBANK!D12</f>
        <v>1.2408333333333334E-3</v>
      </c>
      <c r="R16" s="91">
        <v>40724</v>
      </c>
      <c r="S16" s="66">
        <f t="shared" si="0"/>
        <v>7.5002253485284727E-3</v>
      </c>
      <c r="T16" s="66">
        <f t="shared" si="1"/>
        <v>1.9965398635031269E-2</v>
      </c>
      <c r="U16" s="66">
        <f t="shared" si="2"/>
        <v>1.7032822905301035E-2</v>
      </c>
      <c r="V16" s="66">
        <f t="shared" si="3"/>
        <v>3.5751984982271667E-2</v>
      </c>
      <c r="W16" s="66">
        <f t="shared" si="4"/>
        <v>1.0412351308948178E-2</v>
      </c>
      <c r="X16" s="66">
        <f t="shared" si="5"/>
        <v>0.13850216316478967</v>
      </c>
      <c r="Y16" s="66">
        <f t="shared" si="6"/>
        <v>-3.2317157494662872E-2</v>
      </c>
      <c r="Z16" s="66">
        <f t="shared" si="7"/>
        <v>4.3598105874133194E-2</v>
      </c>
      <c r="AA16" s="66">
        <f t="shared" si="8"/>
        <v>5.3518829746499311E-2</v>
      </c>
      <c r="AB16" s="66">
        <f t="shared" si="9"/>
        <v>3.9946502388976566E-3</v>
      </c>
      <c r="AC16" s="66">
        <f t="shared" si="10"/>
        <v>2.3455035640717704E-2</v>
      </c>
      <c r="AD16" s="66">
        <f t="shared" si="11"/>
        <v>-1.6073044947749755E-2</v>
      </c>
      <c r="AE16" s="66">
        <f t="shared" si="12"/>
        <v>-7.4126205333333332E-3</v>
      </c>
    </row>
    <row r="17" spans="2:46" ht="17" customHeight="1" thickBot="1" x14ac:dyDescent="0.25">
      <c r="B17" s="91">
        <v>40755</v>
      </c>
      <c r="C17" s="66">
        <f>AIRBUS!D14</f>
        <v>5.8706629834482826E-2</v>
      </c>
      <c r="D17" s="66">
        <f>BNP!D14</f>
        <v>-0.14587646639214089</v>
      </c>
      <c r="E17" s="66">
        <f>CAPGEMINI!D14</f>
        <v>-0.12660918227327836</v>
      </c>
      <c r="F17" s="66">
        <f>DANONE!D14</f>
        <v>-3.2069898614767028E-2</v>
      </c>
      <c r="G17" s="66">
        <f>ENGIE!D14</f>
        <v>-9.5304113150669195E-2</v>
      </c>
      <c r="H17" s="66">
        <f>'HERMES INTL'!D14</f>
        <v>0.18423530540135855</v>
      </c>
      <c r="I17" s="66">
        <f>'PERNOD RICARD'!D14</f>
        <v>1.6918712515477236E-2</v>
      </c>
      <c r="J17" s="66">
        <f>RENAULT!D14</f>
        <v>-8.8540952982406232E-2</v>
      </c>
      <c r="K17" s="66">
        <f>SANOFI!D14</f>
        <v>-2.0743067700219393E-2</v>
      </c>
      <c r="L17" s="66">
        <f>'SCHNEIDER ELECTRIC'!D14</f>
        <v>-0.12196159369617199</v>
      </c>
      <c r="M17" s="66">
        <f>TOTALENERGIES!D14</f>
        <v>-5.2657904566006025E-2</v>
      </c>
      <c r="N17" s="66">
        <f>VINCI!D14</f>
        <v>-5.7606156222963105E-2</v>
      </c>
      <c r="O17" s="66">
        <f>MARKET!D14</f>
        <v>-7.7705581699999998E-2</v>
      </c>
      <c r="P17" s="92">
        <f>INTERBANK!D13</f>
        <v>1.3316666666666668E-3</v>
      </c>
      <c r="R17" s="91">
        <v>40755</v>
      </c>
      <c r="S17" s="66">
        <f t="shared" si="0"/>
        <v>5.7374963167816158E-2</v>
      </c>
      <c r="T17" s="66">
        <f t="shared" si="1"/>
        <v>-0.14720813305880756</v>
      </c>
      <c r="U17" s="66">
        <f t="shared" si="2"/>
        <v>-0.12794084893994503</v>
      </c>
      <c r="V17" s="66">
        <f t="shared" si="3"/>
        <v>-3.3401565281433697E-2</v>
      </c>
      <c r="W17" s="66">
        <f t="shared" si="4"/>
        <v>-9.6635779817335857E-2</v>
      </c>
      <c r="X17" s="66">
        <f t="shared" si="5"/>
        <v>0.18290363873469187</v>
      </c>
      <c r="Y17" s="66">
        <f t="shared" si="6"/>
        <v>1.5587045848810569E-2</v>
      </c>
      <c r="Z17" s="66">
        <f t="shared" si="7"/>
        <v>-8.9872619649072893E-2</v>
      </c>
      <c r="AA17" s="66">
        <f t="shared" si="8"/>
        <v>-2.2074734366886062E-2</v>
      </c>
      <c r="AB17" s="66">
        <f t="shared" si="9"/>
        <v>-0.12329326036283865</v>
      </c>
      <c r="AC17" s="66">
        <f t="shared" si="10"/>
        <v>-5.3989571232672694E-2</v>
      </c>
      <c r="AD17" s="66">
        <f t="shared" si="11"/>
        <v>-5.8937822889629773E-2</v>
      </c>
      <c r="AE17" s="66">
        <f t="shared" si="12"/>
        <v>-7.903724836666666E-2</v>
      </c>
    </row>
    <row r="18" spans="2:46" ht="25" customHeight="1" thickBot="1" x14ac:dyDescent="0.35">
      <c r="B18" s="91">
        <v>40786</v>
      </c>
      <c r="C18" s="66">
        <f>AIRBUS!D15</f>
        <v>-8.5123904248879861E-2</v>
      </c>
      <c r="D18" s="66">
        <f>BNP!D15</f>
        <v>-0.21104147358646011</v>
      </c>
      <c r="E18" s="66">
        <f>CAPGEMINI!D15</f>
        <v>-0.17469094041918048</v>
      </c>
      <c r="F18" s="66">
        <f>DANONE!D15</f>
        <v>-5.6225079373646639E-2</v>
      </c>
      <c r="G18" s="66">
        <f>ENGIE!D15</f>
        <v>-3.7669700780264444E-2</v>
      </c>
      <c r="H18" s="66">
        <f>'HERMES INTL'!D15</f>
        <v>0.12188542146385616</v>
      </c>
      <c r="I18" s="66">
        <f>'PERNOD RICARD'!D15</f>
        <v>-8.6772939780910427E-2</v>
      </c>
      <c r="J18" s="66">
        <f>RENAULT!D15</f>
        <v>-0.23856151358769809</v>
      </c>
      <c r="K18" s="66">
        <f>SANOFI!D15</f>
        <v>-7.7730613308052407E-2</v>
      </c>
      <c r="L18" s="66">
        <f>'SCHNEIDER ELECTRIC'!D15</f>
        <v>-8.2056649339746601E-2</v>
      </c>
      <c r="M18" s="66">
        <f>TOTALENERGIES!D15</f>
        <v>-0.10124419150150926</v>
      </c>
      <c r="N18" s="66">
        <f>VINCI!D15</f>
        <v>-0.1077246070443704</v>
      </c>
      <c r="O18" s="66">
        <f>MARKET!D15</f>
        <v>-0.11326873379999999</v>
      </c>
      <c r="P18" s="92">
        <f>INTERBANK!D14</f>
        <v>1.2933333333333334E-3</v>
      </c>
      <c r="R18" s="91">
        <v>40786</v>
      </c>
      <c r="S18" s="66">
        <f t="shared" si="0"/>
        <v>-8.6417237582213188E-2</v>
      </c>
      <c r="T18" s="66">
        <f t="shared" si="1"/>
        <v>-0.21233480691979345</v>
      </c>
      <c r="U18" s="66">
        <f t="shared" si="2"/>
        <v>-0.17598427375251383</v>
      </c>
      <c r="V18" s="66">
        <f t="shared" si="3"/>
        <v>-5.7518412706979972E-2</v>
      </c>
      <c r="W18" s="66">
        <f t="shared" si="4"/>
        <v>-3.8963034113597778E-2</v>
      </c>
      <c r="X18" s="66">
        <f t="shared" si="5"/>
        <v>0.12059208813052283</v>
      </c>
      <c r="Y18" s="66">
        <f t="shared" si="6"/>
        <v>-8.8066273114243754E-2</v>
      </c>
      <c r="Z18" s="66">
        <f t="shared" si="7"/>
        <v>-0.23985484692103143</v>
      </c>
      <c r="AA18" s="66">
        <f t="shared" si="8"/>
        <v>-7.9023946641385734E-2</v>
      </c>
      <c r="AB18" s="66">
        <f t="shared" si="9"/>
        <v>-8.3349982673079928E-2</v>
      </c>
      <c r="AC18" s="66">
        <f t="shared" si="10"/>
        <v>-0.10253752483484259</v>
      </c>
      <c r="AD18" s="66">
        <f t="shared" si="11"/>
        <v>-0.10901794037770372</v>
      </c>
      <c r="AE18" s="66">
        <f t="shared" si="12"/>
        <v>-0.11456206713333332</v>
      </c>
      <c r="AI18" s="140" t="s">
        <v>38</v>
      </c>
      <c r="AJ18" s="141"/>
      <c r="AK18" s="141"/>
      <c r="AL18" s="141"/>
      <c r="AM18" s="141"/>
      <c r="AN18" s="141"/>
      <c r="AO18" s="141"/>
      <c r="AP18" s="141"/>
      <c r="AQ18" s="141"/>
      <c r="AR18" s="141"/>
      <c r="AS18" s="141"/>
      <c r="AT18" s="142"/>
    </row>
    <row r="19" spans="2:46" ht="16" customHeight="1" x14ac:dyDescent="0.2">
      <c r="B19" s="91">
        <v>40816</v>
      </c>
      <c r="C19" s="66">
        <f>AIRBUS!D16</f>
        <v>-4.223126791440316E-2</v>
      </c>
      <c r="D19" s="66">
        <f>BNP!D16</f>
        <v>-0.16225268690216066</v>
      </c>
      <c r="E19" s="66">
        <f>CAPGEMINI!D16</f>
        <v>-0.1150862684977903</v>
      </c>
      <c r="F19" s="66">
        <f>DANONE!D16</f>
        <v>-1.7021106355960009E-2</v>
      </c>
      <c r="G19" s="66">
        <f>ENGIE!D16</f>
        <v>2.1392875572561688E-2</v>
      </c>
      <c r="H19" s="66">
        <f>'HERMES INTL'!D16</f>
        <v>-0.16398299598278729</v>
      </c>
      <c r="I19" s="66">
        <f>'PERNOD RICARD'!D16</f>
        <v>-5.87201791233724E-2</v>
      </c>
      <c r="J19" s="66">
        <f>RENAULT!D16</f>
        <v>-0.11647597483199058</v>
      </c>
      <c r="K19" s="66">
        <f>SANOFI!D16</f>
        <v>-1.4379829775804901E-2</v>
      </c>
      <c r="L19" s="66">
        <f>'SCHNEIDER ELECTRIC'!D16</f>
        <v>-0.12611717655878343</v>
      </c>
      <c r="M19" s="66">
        <f>TOTALENERGIES!D16</f>
        <v>-2.1203980353563901E-2</v>
      </c>
      <c r="N19" s="66">
        <f>VINCI!D16</f>
        <v>-0.10330539507961006</v>
      </c>
      <c r="O19" s="66">
        <f>MARKET!D16</f>
        <v>-8.4378353899999994E-2</v>
      </c>
      <c r="P19" s="92">
        <f>INTERBANK!D15</f>
        <v>1.2800000000000001E-3</v>
      </c>
      <c r="R19" s="91">
        <v>40816</v>
      </c>
      <c r="S19" s="66">
        <f t="shared" si="0"/>
        <v>-4.3511267914403164E-2</v>
      </c>
      <c r="T19" s="66">
        <f t="shared" si="1"/>
        <v>-0.16353268690216066</v>
      </c>
      <c r="U19" s="66">
        <f t="shared" si="2"/>
        <v>-0.1163662684977903</v>
      </c>
      <c r="V19" s="66">
        <f t="shared" si="3"/>
        <v>-1.8301106355960009E-2</v>
      </c>
      <c r="W19" s="66">
        <f t="shared" si="4"/>
        <v>2.0112875572561688E-2</v>
      </c>
      <c r="X19" s="66">
        <f t="shared" si="5"/>
        <v>-0.16526299598278729</v>
      </c>
      <c r="Y19" s="66">
        <f t="shared" si="6"/>
        <v>-6.0000179123372403E-2</v>
      </c>
      <c r="Z19" s="66">
        <f t="shared" si="7"/>
        <v>-0.11775597483199059</v>
      </c>
      <c r="AA19" s="66">
        <f t="shared" si="8"/>
        <v>-1.5659829775804903E-2</v>
      </c>
      <c r="AB19" s="66">
        <f t="shared" si="9"/>
        <v>-0.12739717655878344</v>
      </c>
      <c r="AC19" s="66">
        <f t="shared" si="10"/>
        <v>-2.2483980353563901E-2</v>
      </c>
      <c r="AD19" s="66">
        <f t="shared" si="11"/>
        <v>-0.10458539507961007</v>
      </c>
      <c r="AE19" s="66">
        <f t="shared" si="12"/>
        <v>-8.5658353899999998E-2</v>
      </c>
      <c r="AI19" s="139"/>
      <c r="AJ19" s="116"/>
      <c r="AK19" s="116"/>
      <c r="AL19" s="116"/>
      <c r="AM19" s="116"/>
      <c r="AN19" s="116"/>
      <c r="AO19" s="116"/>
      <c r="AP19" s="116"/>
      <c r="AQ19" s="116"/>
      <c r="AR19" s="116"/>
      <c r="AS19" s="116"/>
      <c r="AT19" s="116"/>
    </row>
    <row r="20" spans="2:46" ht="16" customHeight="1" x14ac:dyDescent="0.2">
      <c r="B20" s="91">
        <v>40847</v>
      </c>
      <c r="C20" s="66">
        <f>AIRBUS!D17</f>
        <v>7.7814136791320449E-3</v>
      </c>
      <c r="D20" s="66">
        <f>BNP!D17</f>
        <v>9.3178209904458312E-2</v>
      </c>
      <c r="E20" s="66">
        <f>CAPGEMINI!D17</f>
        <v>0.1041624996736681</v>
      </c>
      <c r="F20" s="66">
        <f>DANONE!D17</f>
        <v>8.8744559695426703E-2</v>
      </c>
      <c r="G20" s="66">
        <f>ENGIE!D17</f>
        <v>-8.5784503979778867E-2</v>
      </c>
      <c r="H20" s="66">
        <f>'HERMES INTL'!D17</f>
        <v>8.8554153538014574E-2</v>
      </c>
      <c r="I20" s="66">
        <f>'PERNOD RICARD'!D17</f>
        <v>0.14737375764814736</v>
      </c>
      <c r="J20" s="66">
        <f>RENAULT!D17</f>
        <v>0.21439967746856078</v>
      </c>
      <c r="K20" s="66">
        <f>SANOFI!D17</f>
        <v>5.2887461308698092E-2</v>
      </c>
      <c r="L20" s="66">
        <f>'SCHNEIDER ELECTRIC'!D17</f>
        <v>5.1269230537655683E-2</v>
      </c>
      <c r="M20" s="66">
        <f>TOTALENERGIES!D17</f>
        <v>0.15785094804321589</v>
      </c>
      <c r="N20" s="66">
        <f>VINCI!D17</f>
        <v>0.101172376455736</v>
      </c>
      <c r="O20" s="66">
        <f>MARKET!D17</f>
        <v>8.74861267E-2</v>
      </c>
      <c r="P20" s="92">
        <f>INTERBANK!D16</f>
        <v>1.3133333333333335E-3</v>
      </c>
      <c r="R20" s="91">
        <v>40847</v>
      </c>
      <c r="S20" s="66">
        <f t="shared" si="0"/>
        <v>6.4680803457987119E-3</v>
      </c>
      <c r="T20" s="66">
        <f t="shared" si="1"/>
        <v>9.1864876571124979E-2</v>
      </c>
      <c r="U20" s="66">
        <f t="shared" si="2"/>
        <v>0.10284916634033477</v>
      </c>
      <c r="V20" s="66">
        <f t="shared" si="3"/>
        <v>8.743122636209337E-2</v>
      </c>
      <c r="W20" s="66">
        <f t="shared" si="4"/>
        <v>-8.70978373131122E-2</v>
      </c>
      <c r="X20" s="66">
        <f t="shared" si="5"/>
        <v>8.7240820204681241E-2</v>
      </c>
      <c r="Y20" s="66">
        <f t="shared" si="6"/>
        <v>0.14606042431481403</v>
      </c>
      <c r="Z20" s="66">
        <f t="shared" si="7"/>
        <v>0.21308634413522745</v>
      </c>
      <c r="AA20" s="66">
        <f t="shared" si="8"/>
        <v>5.1574127975364759E-2</v>
      </c>
      <c r="AB20" s="66">
        <f t="shared" si="9"/>
        <v>4.995589720432235E-2</v>
      </c>
      <c r="AC20" s="66">
        <f t="shared" si="10"/>
        <v>0.15653761470988256</v>
      </c>
      <c r="AD20" s="66">
        <f t="shared" si="11"/>
        <v>9.9859043122402666E-2</v>
      </c>
      <c r="AE20" s="66">
        <f t="shared" si="12"/>
        <v>8.6172793366666667E-2</v>
      </c>
      <c r="AI20" s="42" t="s">
        <v>5</v>
      </c>
      <c r="AJ20" s="43" t="s">
        <v>8</v>
      </c>
      <c r="AK20" s="44" t="s">
        <v>21</v>
      </c>
      <c r="AL20" s="84" t="s">
        <v>39</v>
      </c>
      <c r="AM20" s="84" t="s">
        <v>37</v>
      </c>
    </row>
    <row r="21" spans="2:46" ht="16" customHeight="1" x14ac:dyDescent="0.2">
      <c r="B21" s="91">
        <v>40877</v>
      </c>
      <c r="C21" s="66">
        <f>AIRBUS!D18</f>
        <v>3.8605447214683668E-2</v>
      </c>
      <c r="D21" s="66">
        <f>BNP!D18</f>
        <v>-0.10289195532667639</v>
      </c>
      <c r="E21" s="66">
        <f>CAPGEMINI!D18</f>
        <v>1.3528215681914025E-2</v>
      </c>
      <c r="F21" s="66">
        <f>DANONE!D18</f>
        <v>-2.495054668403493E-2</v>
      </c>
      <c r="G21" s="66">
        <f>ENGIE!D18</f>
        <v>1.3161089041125519E-2</v>
      </c>
      <c r="H21" s="66">
        <f>'HERMES INTL'!D18</f>
        <v>-4.0065074087489723E-2</v>
      </c>
      <c r="I21" s="66">
        <f>'PERNOD RICARD'!D18</f>
        <v>3.7629718793865743E-2</v>
      </c>
      <c r="J21" s="66">
        <f>RENAULT!D18</f>
        <v>-8.8520337454299131E-2</v>
      </c>
      <c r="K21" s="66">
        <f>SANOFI!D18</f>
        <v>2.5017843441385366E-3</v>
      </c>
      <c r="L21" s="66">
        <f>'SCHNEIDER ELECTRIC'!D18</f>
        <v>-1.5240248454203126E-2</v>
      </c>
      <c r="M21" s="66">
        <f>TOTALENERGIES!D18</f>
        <v>1.3751275426696593E-2</v>
      </c>
      <c r="N21" s="66">
        <f>VINCI!D18</f>
        <v>-7.2689096608854767E-2</v>
      </c>
      <c r="O21" s="66">
        <f>MARKET!D18</f>
        <v>-2.72045393E-2</v>
      </c>
      <c r="P21" s="92">
        <f>INTERBANK!D17</f>
        <v>1.2375000000000001E-3</v>
      </c>
      <c r="R21" s="91">
        <v>40877</v>
      </c>
      <c r="S21" s="66">
        <f t="shared" si="0"/>
        <v>3.7367947214683665E-2</v>
      </c>
      <c r="T21" s="66">
        <f t="shared" si="1"/>
        <v>-0.10412945532667639</v>
      </c>
      <c r="U21" s="66">
        <f t="shared" si="2"/>
        <v>1.2290715681914024E-2</v>
      </c>
      <c r="V21" s="66">
        <f t="shared" si="3"/>
        <v>-2.6188046684034929E-2</v>
      </c>
      <c r="W21" s="66">
        <f t="shared" si="4"/>
        <v>1.1923589041125518E-2</v>
      </c>
      <c r="X21" s="66">
        <f t="shared" si="5"/>
        <v>-4.1302574087489725E-2</v>
      </c>
      <c r="Y21" s="66">
        <f t="shared" si="6"/>
        <v>3.6392218793865741E-2</v>
      </c>
      <c r="Z21" s="66">
        <f t="shared" si="7"/>
        <v>-8.9757837454299133E-2</v>
      </c>
      <c r="AA21" s="66">
        <f t="shared" si="8"/>
        <v>1.2642843441385365E-3</v>
      </c>
      <c r="AB21" s="66">
        <f t="shared" si="9"/>
        <v>-1.6477748454203127E-2</v>
      </c>
      <c r="AC21" s="66">
        <f t="shared" si="10"/>
        <v>1.2513775426696593E-2</v>
      </c>
      <c r="AD21" s="66">
        <f t="shared" si="11"/>
        <v>-7.3926596608854769E-2</v>
      </c>
      <c r="AE21" s="66">
        <f t="shared" si="12"/>
        <v>-2.8442039299999999E-2</v>
      </c>
      <c r="AI21" s="45">
        <v>1</v>
      </c>
      <c r="AJ21" s="86" t="s">
        <v>9</v>
      </c>
      <c r="AK21" s="46" t="s">
        <v>22</v>
      </c>
      <c r="AL21" s="93">
        <v>17.600000000000001</v>
      </c>
      <c r="AM21" s="66">
        <v>1.0869309083643501E-2</v>
      </c>
    </row>
    <row r="22" spans="2:46" ht="16" customHeight="1" x14ac:dyDescent="0.2">
      <c r="B22" s="91">
        <v>40908</v>
      </c>
      <c r="C22" s="66">
        <f>AIRBUS!D19</f>
        <v>8.8082885681902159E-2</v>
      </c>
      <c r="D22" s="66">
        <f>BNP!D19</f>
        <v>2.9860865768425136E-2</v>
      </c>
      <c r="E22" s="66">
        <f>CAPGEMINI!D19</f>
        <v>-0.14059448744585912</v>
      </c>
      <c r="F22" s="66">
        <f>DANONE!D19</f>
        <v>-9.6847550604393963E-3</v>
      </c>
      <c r="G22" s="66">
        <f>ENGIE!D19</f>
        <v>5.9940654105257785E-2</v>
      </c>
      <c r="H22" s="66">
        <f>'HERMES INTL'!D19</f>
        <v>-2.3940408150763249E-2</v>
      </c>
      <c r="I22" s="66">
        <f>'PERNOD RICARD'!D19</f>
        <v>3.4960334083162674E-2</v>
      </c>
      <c r="J22" s="66">
        <f>RENAULT!D19</f>
        <v>-3.4234094832341883E-2</v>
      </c>
      <c r="K22" s="66">
        <f>SANOFI!D19</f>
        <v>8.9460486982788134E-2</v>
      </c>
      <c r="L22" s="66">
        <f>'SCHNEIDER ELECTRIC'!D19</f>
        <v>-3.1428516421288015E-2</v>
      </c>
      <c r="M22" s="66">
        <f>TOTALENERGIES!D19</f>
        <v>3.0389896583440334E-2</v>
      </c>
      <c r="N22" s="66">
        <f>VINCI!D19</f>
        <v>1.9785529106762078E-2</v>
      </c>
      <c r="O22" s="66">
        <f>MARKET!D19</f>
        <v>1.6451873999999999E-3</v>
      </c>
      <c r="P22" s="92">
        <f>INTERBANK!D18</f>
        <v>1.1883333333333333E-3</v>
      </c>
      <c r="R22" s="91">
        <v>40908</v>
      </c>
      <c r="S22" s="66">
        <f t="shared" si="0"/>
        <v>8.6894552348568826E-2</v>
      </c>
      <c r="T22" s="66">
        <f t="shared" si="1"/>
        <v>2.8672532435091803E-2</v>
      </c>
      <c r="U22" s="66">
        <f t="shared" si="2"/>
        <v>-0.14178282077919246</v>
      </c>
      <c r="V22" s="66">
        <f t="shared" si="3"/>
        <v>-1.0873088393772729E-2</v>
      </c>
      <c r="W22" s="66">
        <f t="shared" si="4"/>
        <v>5.8752320771924452E-2</v>
      </c>
      <c r="X22" s="66">
        <f t="shared" si="5"/>
        <v>-2.5128741484096582E-2</v>
      </c>
      <c r="Y22" s="66">
        <f t="shared" si="6"/>
        <v>3.3772000749829341E-2</v>
      </c>
      <c r="Z22" s="66">
        <f t="shared" si="7"/>
        <v>-3.5422428165675215E-2</v>
      </c>
      <c r="AA22" s="66">
        <f t="shared" si="8"/>
        <v>8.8272153649454801E-2</v>
      </c>
      <c r="AB22" s="66">
        <f t="shared" si="9"/>
        <v>-3.2616849754621348E-2</v>
      </c>
      <c r="AC22" s="66">
        <f t="shared" si="10"/>
        <v>2.9201563250107001E-2</v>
      </c>
      <c r="AD22" s="66">
        <f t="shared" si="11"/>
        <v>1.8597195773428745E-2</v>
      </c>
      <c r="AE22" s="66">
        <f t="shared" si="12"/>
        <v>4.5685406666666657E-4</v>
      </c>
      <c r="AI22" s="45">
        <v>2</v>
      </c>
      <c r="AJ22" s="87" t="s">
        <v>10</v>
      </c>
      <c r="AK22" s="46" t="s">
        <v>23</v>
      </c>
      <c r="AL22" s="93">
        <v>12.3</v>
      </c>
      <c r="AM22" s="66">
        <v>2.383410060619946E-3</v>
      </c>
    </row>
    <row r="23" spans="2:46" ht="16" customHeight="1" x14ac:dyDescent="0.2">
      <c r="B23" s="91">
        <v>40939</v>
      </c>
      <c r="C23" s="66">
        <f>AIRBUS!D20</f>
        <v>6.3353959238977575E-2</v>
      </c>
      <c r="D23" s="66">
        <f>BNP!D20</f>
        <v>6.6556878985566531E-2</v>
      </c>
      <c r="E23" s="66">
        <f>CAPGEMINI!D20</f>
        <v>0.1559329419539493</v>
      </c>
      <c r="F23" s="66">
        <f>DANONE!D20</f>
        <v>-2.8515626994663989E-2</v>
      </c>
      <c r="G23" s="66">
        <f>ENGIE!D20</f>
        <v>-1.7518987318764223E-2</v>
      </c>
      <c r="H23" s="66">
        <f>'HERMES INTL'!D20</f>
        <v>0.15346205078019967</v>
      </c>
      <c r="I23" s="66">
        <f>'PERNOD RICARD'!D20</f>
        <v>2.4141598646216723E-2</v>
      </c>
      <c r="J23" s="66">
        <f>RENAULT!D20</f>
        <v>0.21511187602874701</v>
      </c>
      <c r="K23" s="66">
        <f>SANOFI!D20</f>
        <v>-4.9338056435239228E-3</v>
      </c>
      <c r="L23" s="66">
        <f>'SCHNEIDER ELECTRIC'!D20</f>
        <v>0.16715831832013375</v>
      </c>
      <c r="M23" s="66">
        <f>TOTALENERGIES!D20</f>
        <v>3.8980300908307404E-2</v>
      </c>
      <c r="N23" s="66">
        <f>VINCI!D20</f>
        <v>6.8119576144857086E-2</v>
      </c>
      <c r="O23" s="66">
        <f>MARKET!D20</f>
        <v>4.39076994E-2</v>
      </c>
      <c r="P23" s="92">
        <f>INTERBANK!D19</f>
        <v>1.0183333333333333E-3</v>
      </c>
      <c r="R23" s="91">
        <v>40939</v>
      </c>
      <c r="S23" s="66">
        <f t="shared" si="0"/>
        <v>6.2335625905644239E-2</v>
      </c>
      <c r="T23" s="66">
        <f t="shared" si="1"/>
        <v>6.5538545652233202E-2</v>
      </c>
      <c r="U23" s="66">
        <f t="shared" si="2"/>
        <v>0.15491460862061596</v>
      </c>
      <c r="V23" s="66">
        <f t="shared" si="3"/>
        <v>-2.9533960327997322E-2</v>
      </c>
      <c r="W23" s="66">
        <f t="shared" si="4"/>
        <v>-1.8537320652097556E-2</v>
      </c>
      <c r="X23" s="66">
        <f t="shared" si="5"/>
        <v>0.15244371744686633</v>
      </c>
      <c r="Y23" s="66">
        <f t="shared" si="6"/>
        <v>2.312326531288339E-2</v>
      </c>
      <c r="Z23" s="66">
        <f t="shared" si="7"/>
        <v>0.21409354269541367</v>
      </c>
      <c r="AA23" s="66">
        <f t="shared" si="8"/>
        <v>-5.9521389768572557E-3</v>
      </c>
      <c r="AB23" s="66">
        <f t="shared" si="9"/>
        <v>0.16613998498680041</v>
      </c>
      <c r="AC23" s="66">
        <f t="shared" si="10"/>
        <v>3.7961967574974068E-2</v>
      </c>
      <c r="AD23" s="66">
        <f t="shared" si="11"/>
        <v>6.7101242811523756E-2</v>
      </c>
      <c r="AE23" s="66">
        <f t="shared" si="12"/>
        <v>4.2889366066666663E-2</v>
      </c>
      <c r="AI23" s="45">
        <v>3</v>
      </c>
      <c r="AJ23" s="87" t="s">
        <v>11</v>
      </c>
      <c r="AK23" s="46" t="s">
        <v>24</v>
      </c>
      <c r="AL23" s="93">
        <v>6.7</v>
      </c>
      <c r="AM23" s="66">
        <v>5.5035071515828309E-3</v>
      </c>
    </row>
    <row r="24" spans="2:46" ht="16" customHeight="1" x14ac:dyDescent="0.2">
      <c r="B24" s="91">
        <v>40968</v>
      </c>
      <c r="C24" s="66">
        <f>AIRBUS!D21</f>
        <v>6.1721238818070324E-2</v>
      </c>
      <c r="D24" s="66">
        <f>BNP!D21</f>
        <v>0.13175751713740066</v>
      </c>
      <c r="E24" s="66">
        <f>CAPGEMINI!D21</f>
        <v>0.18488010064456487</v>
      </c>
      <c r="F24" s="66">
        <f>DANONE!D21</f>
        <v>7.6189603646056134E-2</v>
      </c>
      <c r="G24" s="66">
        <f>ENGIE!D21</f>
        <v>-6.1686692184383198E-2</v>
      </c>
      <c r="H24" s="66">
        <f>'HERMES INTL'!D21</f>
        <v>5.4008219353531631E-2</v>
      </c>
      <c r="I24" s="66">
        <f>'PERNOD RICARD'!D21</f>
        <v>5.8182779461664738E-2</v>
      </c>
      <c r="J24" s="66">
        <f>RENAULT!D21</f>
        <v>0.22032871819087924</v>
      </c>
      <c r="K24" s="66">
        <f>SANOFI!D21</f>
        <v>-1.700032775589071E-2</v>
      </c>
      <c r="L24" s="66">
        <f>'SCHNEIDER ELECTRIC'!D21</f>
        <v>7.4346898974979078E-2</v>
      </c>
      <c r="M24" s="66">
        <f>TOTALENERGIES!D21</f>
        <v>3.9227873157385074E-2</v>
      </c>
      <c r="N24" s="66">
        <f>VINCI!D21</f>
        <v>0.10222780798463892</v>
      </c>
      <c r="O24" s="66">
        <f>MARKET!D21</f>
        <v>4.6656834100000003E-2</v>
      </c>
      <c r="P24" s="92">
        <f>INTERBANK!D20</f>
        <v>8.7333333333333338E-4</v>
      </c>
      <c r="R24" s="91">
        <v>40968</v>
      </c>
      <c r="S24" s="66">
        <f t="shared" si="0"/>
        <v>6.0847905484736994E-2</v>
      </c>
      <c r="T24" s="66">
        <f t="shared" si="1"/>
        <v>0.13088418380406733</v>
      </c>
      <c r="U24" s="66">
        <f t="shared" si="2"/>
        <v>0.18400676731123153</v>
      </c>
      <c r="V24" s="66">
        <f t="shared" si="3"/>
        <v>7.5316270312722797E-2</v>
      </c>
      <c r="W24" s="66">
        <f t="shared" si="4"/>
        <v>-6.2560025517716528E-2</v>
      </c>
      <c r="X24" s="66">
        <f t="shared" si="5"/>
        <v>5.3134886020198301E-2</v>
      </c>
      <c r="Y24" s="66">
        <f t="shared" si="6"/>
        <v>5.7309446128331408E-2</v>
      </c>
      <c r="Z24" s="66">
        <f t="shared" si="7"/>
        <v>0.2194553848575459</v>
      </c>
      <c r="AA24" s="66">
        <f t="shared" si="8"/>
        <v>-1.7873661089224044E-2</v>
      </c>
      <c r="AB24" s="66">
        <f t="shared" si="9"/>
        <v>7.3473565641645741E-2</v>
      </c>
      <c r="AC24" s="66">
        <f t="shared" si="10"/>
        <v>3.8354539824051744E-2</v>
      </c>
      <c r="AD24" s="66">
        <f t="shared" si="11"/>
        <v>0.10135447465130558</v>
      </c>
      <c r="AE24" s="66">
        <f t="shared" si="12"/>
        <v>4.5783500766666672E-2</v>
      </c>
      <c r="AI24" s="45">
        <v>4</v>
      </c>
      <c r="AJ24" s="87" t="s">
        <v>12</v>
      </c>
      <c r="AK24" s="46" t="s">
        <v>25</v>
      </c>
      <c r="AL24" s="93">
        <v>12.5</v>
      </c>
      <c r="AM24" s="66">
        <v>3.3736568960174322E-3</v>
      </c>
    </row>
    <row r="25" spans="2:46" ht="16" customHeight="1" x14ac:dyDescent="0.2">
      <c r="B25" s="91"/>
      <c r="C25" s="66"/>
      <c r="D25" s="66"/>
      <c r="E25" s="66"/>
      <c r="F25" s="66"/>
      <c r="G25" s="66"/>
      <c r="H25" s="66"/>
      <c r="I25" s="66"/>
      <c r="J25" s="66"/>
      <c r="K25" s="66"/>
      <c r="L25" s="66"/>
      <c r="M25" s="66"/>
      <c r="N25" s="66"/>
      <c r="O25" s="66"/>
      <c r="P25" s="92"/>
      <c r="R25" s="91"/>
      <c r="S25" s="66"/>
      <c r="T25" s="66"/>
      <c r="U25" s="66"/>
      <c r="V25" s="66"/>
      <c r="W25" s="66"/>
      <c r="X25" s="66"/>
      <c r="Y25" s="66"/>
      <c r="Z25" s="66"/>
      <c r="AA25" s="66"/>
      <c r="AB25" s="66"/>
      <c r="AC25" s="66"/>
      <c r="AD25" s="66"/>
      <c r="AE25" s="66"/>
      <c r="AH25" s="85"/>
      <c r="AI25" s="45">
        <v>5</v>
      </c>
      <c r="AJ25" s="87" t="s">
        <v>13</v>
      </c>
      <c r="AK25" s="46" t="s">
        <v>26</v>
      </c>
      <c r="AL25" s="93">
        <v>22.8</v>
      </c>
      <c r="AM25" s="66">
        <v>2.0524165192532841E-3</v>
      </c>
      <c r="AN25" s="85"/>
      <c r="AO25" s="85"/>
      <c r="AP25" s="85"/>
      <c r="AR25" s="85"/>
      <c r="AS25" s="85"/>
      <c r="AT25" s="85"/>
    </row>
    <row r="26" spans="2:46" ht="16" customHeight="1" x14ac:dyDescent="0.2">
      <c r="B26" s="91"/>
      <c r="C26" s="66"/>
      <c r="D26" s="66"/>
      <c r="E26" s="66"/>
      <c r="F26" s="66"/>
      <c r="G26" s="66"/>
      <c r="H26" s="66"/>
      <c r="I26" s="66"/>
      <c r="J26" s="66"/>
      <c r="K26" s="66"/>
      <c r="L26" s="66"/>
      <c r="M26" s="66"/>
      <c r="N26" s="66"/>
      <c r="O26" s="66"/>
      <c r="P26" s="92"/>
      <c r="R26" s="91"/>
      <c r="S26" s="66"/>
      <c r="T26" s="66"/>
      <c r="U26" s="66"/>
      <c r="V26" s="66"/>
      <c r="W26" s="66"/>
      <c r="X26" s="66"/>
      <c r="Y26" s="66"/>
      <c r="Z26" s="66"/>
      <c r="AA26" s="66"/>
      <c r="AB26" s="66"/>
      <c r="AC26" s="66"/>
      <c r="AD26" s="66"/>
      <c r="AE26" s="66"/>
      <c r="AH26" s="85"/>
      <c r="AI26" s="45">
        <v>6</v>
      </c>
      <c r="AJ26" s="87" t="s">
        <v>14</v>
      </c>
      <c r="AK26" s="46" t="s">
        <v>27</v>
      </c>
      <c r="AL26" s="93">
        <v>12.4</v>
      </c>
      <c r="AM26" s="66">
        <v>1.499441775905217E-2</v>
      </c>
      <c r="AN26" s="85"/>
      <c r="AO26" s="85"/>
      <c r="AP26" s="85"/>
      <c r="AR26" s="85"/>
      <c r="AS26" s="85"/>
      <c r="AT26" s="85"/>
    </row>
    <row r="27" spans="2:46" ht="16" customHeight="1" x14ac:dyDescent="0.2">
      <c r="B27" s="91">
        <v>40999</v>
      </c>
      <c r="C27" s="66">
        <f>AIRBUS!D22</f>
        <v>0.12616904041236501</v>
      </c>
      <c r="D27" s="66">
        <f>BNP!D22</f>
        <v>-2.8933762898208353E-2</v>
      </c>
      <c r="E27" s="66">
        <f>CAPGEMINI!D22</f>
        <v>1.4817000682417108E-2</v>
      </c>
      <c r="F27" s="66">
        <f>DANONE!D22</f>
        <v>2.9932967381457575E-2</v>
      </c>
      <c r="G27" s="66">
        <f>ENGIE!D22</f>
        <v>-5.1360875274091208E-3</v>
      </c>
      <c r="H27" s="66">
        <f>'HERMES INTL'!D22</f>
        <v>-9.2998133988291362E-2</v>
      </c>
      <c r="I27" s="66">
        <f>'PERNOD RICARD'!D22</f>
        <v>9.5283172343125395E-3</v>
      </c>
      <c r="J27" s="66">
        <f>RENAULT!D22</f>
        <v>-5.4102416698298128E-3</v>
      </c>
      <c r="K27" s="66">
        <f>SANOFI!D22</f>
        <v>4.9000562697792377E-2</v>
      </c>
      <c r="L27" s="66">
        <f>'SCHNEIDER ELECTRIC'!D22</f>
        <v>-3.9600112945031241E-2</v>
      </c>
      <c r="M27" s="66">
        <f>TOTALENERGIES!D22</f>
        <v>-8.9306908730326345E-2</v>
      </c>
      <c r="N27" s="66">
        <f>VINCI!D22</f>
        <v>3.8382817776313869E-4</v>
      </c>
      <c r="O27" s="66">
        <f>MARKET!D22</f>
        <v>-8.2955271999999997E-3</v>
      </c>
      <c r="P27" s="92">
        <f>INTERBANK!D21</f>
        <v>7.1500000000000003E-4</v>
      </c>
      <c r="R27" s="91">
        <v>40999</v>
      </c>
      <c r="S27" s="66">
        <f t="shared" ref="S27:S58" si="15">C27-$P27</f>
        <v>0.12545404041236502</v>
      </c>
      <c r="T27" s="66">
        <f t="shared" ref="T27:T58" si="16">D27-$P27</f>
        <v>-2.9648762898208354E-2</v>
      </c>
      <c r="U27" s="66">
        <f t="shared" ref="U27:U58" si="17">E27-$P27</f>
        <v>1.4102000682417107E-2</v>
      </c>
      <c r="V27" s="66">
        <f t="shared" ref="V27:V58" si="18">F27-$P27</f>
        <v>2.9217967381457575E-2</v>
      </c>
      <c r="W27" s="66">
        <f t="shared" ref="W27:W58" si="19">G27-$P27</f>
        <v>-5.8510875274091212E-3</v>
      </c>
      <c r="X27" s="66">
        <f t="shared" ref="X27:X58" si="20">H27-$P27</f>
        <v>-9.3713133988291356E-2</v>
      </c>
      <c r="Y27" s="66">
        <f t="shared" ref="Y27:Y58" si="21">I27-$P27</f>
        <v>8.8133172343125392E-3</v>
      </c>
      <c r="Z27" s="66">
        <f t="shared" ref="Z27:Z58" si="22">J27-$P27</f>
        <v>-6.1252416698298132E-3</v>
      </c>
      <c r="AA27" s="66">
        <f t="shared" ref="AA27:AA58" si="23">K27-$P27</f>
        <v>4.8285562697792377E-2</v>
      </c>
      <c r="AB27" s="66">
        <f t="shared" ref="AB27:AB58" si="24">L27-$P27</f>
        <v>-4.0315112945031241E-2</v>
      </c>
      <c r="AC27" s="66">
        <f t="shared" ref="AC27:AC58" si="25">M27-$P27</f>
        <v>-9.0021908730326339E-2</v>
      </c>
      <c r="AD27" s="66">
        <f t="shared" ref="AD27:AD58" si="26">N27-$P27</f>
        <v>-3.3117182223686134E-4</v>
      </c>
      <c r="AE27" s="66">
        <f t="shared" ref="AE27:AE58" si="27">O27-$P27</f>
        <v>-9.0105272E-3</v>
      </c>
      <c r="AI27" s="45">
        <v>7</v>
      </c>
      <c r="AJ27" s="87" t="s">
        <v>15</v>
      </c>
      <c r="AK27" s="46" t="s">
        <v>28</v>
      </c>
      <c r="AL27" s="93">
        <v>17.399999999999999</v>
      </c>
      <c r="AM27" s="66">
        <v>2.3792025360106499E-3</v>
      </c>
    </row>
    <row r="28" spans="2:46" ht="16" customHeight="1" x14ac:dyDescent="0.2">
      <c r="B28" s="91">
        <v>41029</v>
      </c>
      <c r="C28" s="66">
        <f>AIRBUS!D23</f>
        <v>-2.865965400967543E-2</v>
      </c>
      <c r="D28" s="66">
        <f>BNP!D23</f>
        <v>-0.1468729021369945</v>
      </c>
      <c r="E28" s="66">
        <f>CAPGEMINI!D23</f>
        <v>-0.12127539344147747</v>
      </c>
      <c r="F28" s="66">
        <f>DANONE!D23</f>
        <v>1.6252253627309241E-2</v>
      </c>
      <c r="G28" s="66">
        <f>ENGIE!D23</f>
        <v>-0.10222009893791931</v>
      </c>
      <c r="H28" s="66">
        <f>'HERMES INTL'!D23</f>
        <v>5.7787622469594319E-2</v>
      </c>
      <c r="I28" s="66">
        <f>'PERNOD RICARD'!D23</f>
        <v>1.2770607810600067E-4</v>
      </c>
      <c r="J28" s="66">
        <f>RENAULT!D23</f>
        <v>-0.13156218364275424</v>
      </c>
      <c r="K28" s="66">
        <f>SANOFI!D23</f>
        <v>-9.7890616202031336E-3</v>
      </c>
      <c r="L28" s="66">
        <f>'SCHNEIDER ELECTRIC'!D23</f>
        <v>-5.26635554457731E-2</v>
      </c>
      <c r="M28" s="66">
        <f>TOTALENERGIES!D23</f>
        <v>-4.3933347480584826E-2</v>
      </c>
      <c r="N28" s="66">
        <f>VINCI!D23</f>
        <v>-0.10485935462318478</v>
      </c>
      <c r="O28" s="66">
        <f>MARKET!D23</f>
        <v>-6.1630174000000003E-2</v>
      </c>
      <c r="P28" s="92">
        <f>INTERBANK!D22</f>
        <v>6.2E-4</v>
      </c>
      <c r="R28" s="91">
        <v>41029</v>
      </c>
      <c r="S28" s="66">
        <f t="shared" si="15"/>
        <v>-2.9279654009675429E-2</v>
      </c>
      <c r="T28" s="66">
        <f t="shared" si="16"/>
        <v>-0.14749290213699451</v>
      </c>
      <c r="U28" s="66">
        <f t="shared" si="17"/>
        <v>-0.12189539344147747</v>
      </c>
      <c r="V28" s="66">
        <f t="shared" si="18"/>
        <v>1.5632253627309241E-2</v>
      </c>
      <c r="W28" s="66">
        <f t="shared" si="19"/>
        <v>-0.1028400989379193</v>
      </c>
      <c r="X28" s="66">
        <f t="shared" si="20"/>
        <v>5.7167622469594316E-2</v>
      </c>
      <c r="Y28" s="66">
        <f t="shared" si="21"/>
        <v>-4.9229392189399927E-4</v>
      </c>
      <c r="Z28" s="66">
        <f t="shared" si="22"/>
        <v>-0.13218218364275425</v>
      </c>
      <c r="AA28" s="66">
        <f t="shared" si="23"/>
        <v>-1.0409061620203134E-2</v>
      </c>
      <c r="AB28" s="66">
        <f t="shared" si="24"/>
        <v>-5.3283555445773102E-2</v>
      </c>
      <c r="AC28" s="66">
        <f t="shared" si="25"/>
        <v>-4.4553347480584829E-2</v>
      </c>
      <c r="AD28" s="66">
        <f t="shared" si="26"/>
        <v>-0.10547935462318478</v>
      </c>
      <c r="AE28" s="66">
        <f t="shared" si="27"/>
        <v>-6.2250174000000005E-2</v>
      </c>
      <c r="AI28" s="45">
        <v>8</v>
      </c>
      <c r="AJ28" s="87" t="s">
        <v>16</v>
      </c>
      <c r="AK28" s="46" t="s">
        <v>29</v>
      </c>
      <c r="AL28" s="93">
        <v>18.899999999999999</v>
      </c>
      <c r="AM28" s="66">
        <v>-5.663962301545155E-4</v>
      </c>
    </row>
    <row r="29" spans="2:46" ht="16" customHeight="1" x14ac:dyDescent="0.2">
      <c r="B29" s="91">
        <v>41060</v>
      </c>
      <c r="C29" s="66">
        <f>AIRBUS!D24</f>
        <v>-9.2372413957913166E-2</v>
      </c>
      <c r="D29" s="66">
        <f>BNP!D24</f>
        <v>-0.15238874930660345</v>
      </c>
      <c r="E29" s="66">
        <f>CAPGEMINI!D24</f>
        <v>-7.5957950071477154E-2</v>
      </c>
      <c r="F29" s="66">
        <f>DANONE!D24</f>
        <v>-2.3706526324059566E-2</v>
      </c>
      <c r="G29" s="66">
        <f>ENGIE!D24</f>
        <v>-4.6367859619341062E-2</v>
      </c>
      <c r="H29" s="66">
        <f>'HERMES INTL'!D24</f>
        <v>-2.1141298209798213E-2</v>
      </c>
      <c r="I29" s="66">
        <f>'PERNOD RICARD'!D24</f>
        <v>7.5243104312366421E-3</v>
      </c>
      <c r="J29" s="66">
        <f>RENAULT!D24</f>
        <v>-1.2818749274506939E-2</v>
      </c>
      <c r="K29" s="66">
        <f>SANOFI!D24</f>
        <v>-4.613256429186139E-2</v>
      </c>
      <c r="L29" s="66">
        <f>'SCHNEIDER ELECTRIC'!D24</f>
        <v>-7.1967344234440372E-2</v>
      </c>
      <c r="M29" s="66">
        <f>TOTALENERGIES!D24</f>
        <v>-3.6179860843457139E-2</v>
      </c>
      <c r="N29" s="66">
        <f>VINCI!D24</f>
        <v>-7.6999657989997541E-2</v>
      </c>
      <c r="O29" s="66">
        <f>MARKET!D24</f>
        <v>-6.0940623800000003E-2</v>
      </c>
      <c r="P29" s="92">
        <f>INTERBANK!D23</f>
        <v>5.7083333333333335E-4</v>
      </c>
      <c r="R29" s="91">
        <v>41060</v>
      </c>
      <c r="S29" s="66">
        <f t="shared" si="15"/>
        <v>-9.2943247291246506E-2</v>
      </c>
      <c r="T29" s="66">
        <f t="shared" si="16"/>
        <v>-0.15295958263993678</v>
      </c>
      <c r="U29" s="66">
        <f t="shared" si="17"/>
        <v>-7.6528783404810494E-2</v>
      </c>
      <c r="V29" s="66">
        <f t="shared" si="18"/>
        <v>-2.4277359657392899E-2</v>
      </c>
      <c r="W29" s="66">
        <f t="shared" si="19"/>
        <v>-4.6938692952674395E-2</v>
      </c>
      <c r="X29" s="66">
        <f t="shared" si="20"/>
        <v>-2.1712131543131546E-2</v>
      </c>
      <c r="Y29" s="66">
        <f t="shared" si="21"/>
        <v>6.9534770979033083E-3</v>
      </c>
      <c r="Z29" s="66">
        <f t="shared" si="22"/>
        <v>-1.3389582607840272E-2</v>
      </c>
      <c r="AA29" s="66">
        <f t="shared" si="23"/>
        <v>-4.6703397625194723E-2</v>
      </c>
      <c r="AB29" s="66">
        <f t="shared" si="24"/>
        <v>-7.2538177567773712E-2</v>
      </c>
      <c r="AC29" s="66">
        <f t="shared" si="25"/>
        <v>-3.6750694176790472E-2</v>
      </c>
      <c r="AD29" s="66">
        <f t="shared" si="26"/>
        <v>-7.7570491323330881E-2</v>
      </c>
      <c r="AE29" s="66">
        <f t="shared" si="27"/>
        <v>-6.1511457133333336E-2</v>
      </c>
      <c r="AI29" s="45">
        <v>9</v>
      </c>
      <c r="AJ29" s="87" t="s">
        <v>17</v>
      </c>
      <c r="AK29" s="46" t="s">
        <v>30</v>
      </c>
      <c r="AL29" s="61">
        <v>13.2</v>
      </c>
      <c r="AM29" s="66">
        <v>4.8460002799073348E-3</v>
      </c>
    </row>
    <row r="30" spans="2:46" ht="16" customHeight="1" x14ac:dyDescent="0.2">
      <c r="B30" s="91">
        <v>41090</v>
      </c>
      <c r="C30" s="66">
        <f>AIRBUS!D25</f>
        <v>3.2138983169456979E-2</v>
      </c>
      <c r="D30" s="66">
        <f>BNP!D25</f>
        <v>0.23563554483696339</v>
      </c>
      <c r="E30" s="66">
        <f>CAPGEMINI!D25</f>
        <v>6.4220153282639691E-2</v>
      </c>
      <c r="F30" s="66">
        <f>DANONE!D25</f>
        <v>-3.0776240318754842E-2</v>
      </c>
      <c r="G30" s="66">
        <f>ENGIE!D25</f>
        <v>0.17402190117309474</v>
      </c>
      <c r="H30" s="66">
        <f>'HERMES INTL'!D25</f>
        <v>-5.4638941430761361E-2</v>
      </c>
      <c r="I30" s="66">
        <f>'PERNOD RICARD'!D25</f>
        <v>6.6582551114333796E-2</v>
      </c>
      <c r="J30" s="66">
        <f>RENAULT!D25</f>
        <v>-3.6681200224710268E-2</v>
      </c>
      <c r="K30" s="66">
        <f>SANOFI!D25</f>
        <v>0.13838854295882128</v>
      </c>
      <c r="L30" s="66">
        <f>'SCHNEIDER ELECTRIC'!D25</f>
        <v>5.4994283631240801E-2</v>
      </c>
      <c r="M30" s="66">
        <f>TOTALENERGIES!D25</f>
        <v>2.1141931544002224E-2</v>
      </c>
      <c r="N30" s="66">
        <f>VINCI!D25</f>
        <v>0.18266743980292388</v>
      </c>
      <c r="O30" s="66">
        <f>MARKET!D25</f>
        <v>5.95423588E-2</v>
      </c>
      <c r="P30" s="92">
        <f>INTERBANK!D24</f>
        <v>5.4916666666666666E-4</v>
      </c>
      <c r="R30" s="91">
        <v>41090</v>
      </c>
      <c r="S30" s="66">
        <f t="shared" si="15"/>
        <v>3.1589816502790309E-2</v>
      </c>
      <c r="T30" s="66">
        <f t="shared" si="16"/>
        <v>0.23508637817029673</v>
      </c>
      <c r="U30" s="66">
        <f t="shared" si="17"/>
        <v>6.3670986615973021E-2</v>
      </c>
      <c r="V30" s="66">
        <f t="shared" si="18"/>
        <v>-3.1325406985421508E-2</v>
      </c>
      <c r="W30" s="66">
        <f t="shared" si="19"/>
        <v>0.17347273450642808</v>
      </c>
      <c r="X30" s="66">
        <f t="shared" si="20"/>
        <v>-5.5188108097428031E-2</v>
      </c>
      <c r="Y30" s="66">
        <f t="shared" si="21"/>
        <v>6.6033384447667126E-2</v>
      </c>
      <c r="Z30" s="66">
        <f t="shared" si="22"/>
        <v>-3.7230366891376938E-2</v>
      </c>
      <c r="AA30" s="66">
        <f t="shared" si="23"/>
        <v>0.13783937629215462</v>
      </c>
      <c r="AB30" s="66">
        <f t="shared" si="24"/>
        <v>5.4445116964574131E-2</v>
      </c>
      <c r="AC30" s="66">
        <f t="shared" si="25"/>
        <v>2.0592764877335558E-2</v>
      </c>
      <c r="AD30" s="66">
        <f t="shared" si="26"/>
        <v>0.18211827313625722</v>
      </c>
      <c r="AE30" s="66">
        <f t="shared" si="27"/>
        <v>5.899319213333333E-2</v>
      </c>
      <c r="AI30" s="45">
        <v>10</v>
      </c>
      <c r="AJ30" s="87" t="s">
        <v>18</v>
      </c>
      <c r="AK30" s="46" t="s">
        <v>31</v>
      </c>
      <c r="AL30" s="93">
        <v>7.1</v>
      </c>
      <c r="AM30" s="66">
        <v>7.8150404630950299E-3</v>
      </c>
    </row>
    <row r="31" spans="2:46" ht="16" customHeight="1" x14ac:dyDescent="0.2">
      <c r="B31" s="91">
        <v>41121</v>
      </c>
      <c r="C31" s="66">
        <f>AIRBUS!D26</f>
        <v>6.5581073744296503E-2</v>
      </c>
      <c r="D31" s="66">
        <f>BNP!D26</f>
        <v>-5.4391372055017373E-3</v>
      </c>
      <c r="E31" s="66">
        <f>CAPGEMINI!D26</f>
        <v>6.5967025767690923E-2</v>
      </c>
      <c r="F31" s="66">
        <f>DANONE!D26</f>
        <v>9.4868606372340309E-3</v>
      </c>
      <c r="G31" s="66">
        <f>ENGIE!D26</f>
        <v>-3.0392048553832676E-2</v>
      </c>
      <c r="H31" s="66">
        <f>'HERMES INTL'!D26</f>
        <v>-8.5036235370040944E-2</v>
      </c>
      <c r="I31" s="66">
        <f>'PERNOD RICARD'!D26</f>
        <v>3.857078172164654E-2</v>
      </c>
      <c r="J31" s="66">
        <f>RENAULT!D26</f>
        <v>0.1319973473605173</v>
      </c>
      <c r="K31" s="66">
        <f>SANOFI!D26</f>
        <v>0.11265484979808632</v>
      </c>
      <c r="L31" s="66">
        <f>'SCHNEIDER ELECTRIC'!D26</f>
        <v>5.259531781792106E-2</v>
      </c>
      <c r="M31" s="66">
        <f>TOTALENERGIES!D26</f>
        <v>7.6616269956985283E-2</v>
      </c>
      <c r="N31" s="66">
        <f>VINCI!D26</f>
        <v>-6.0758554780317463E-2</v>
      </c>
      <c r="O31" s="66">
        <f>MARKET!D26</f>
        <v>2.97217439E-2</v>
      </c>
      <c r="P31" s="92">
        <f>INTERBANK!D25</f>
        <v>4.1416666666666669E-4</v>
      </c>
      <c r="R31" s="91">
        <v>41121</v>
      </c>
      <c r="S31" s="66">
        <f t="shared" si="15"/>
        <v>6.5166907077629843E-2</v>
      </c>
      <c r="T31" s="66">
        <f t="shared" si="16"/>
        <v>-5.8533038721684041E-3</v>
      </c>
      <c r="U31" s="66">
        <f t="shared" si="17"/>
        <v>6.5552859101024263E-2</v>
      </c>
      <c r="V31" s="66">
        <f t="shared" si="18"/>
        <v>9.0726939705673641E-3</v>
      </c>
      <c r="W31" s="66">
        <f t="shared" si="19"/>
        <v>-3.0806215220499342E-2</v>
      </c>
      <c r="X31" s="66">
        <f t="shared" si="20"/>
        <v>-8.5450402036707604E-2</v>
      </c>
      <c r="Y31" s="66">
        <f t="shared" si="21"/>
        <v>3.8156615054979873E-2</v>
      </c>
      <c r="Z31" s="66">
        <f t="shared" si="22"/>
        <v>0.13158318069385064</v>
      </c>
      <c r="AA31" s="66">
        <f t="shared" si="23"/>
        <v>0.11224068313141966</v>
      </c>
      <c r="AB31" s="66">
        <f t="shared" si="24"/>
        <v>5.2181151151254393E-2</v>
      </c>
      <c r="AC31" s="66">
        <f t="shared" si="25"/>
        <v>7.6202103290318624E-2</v>
      </c>
      <c r="AD31" s="66">
        <f t="shared" si="26"/>
        <v>-6.117272144698413E-2</v>
      </c>
      <c r="AE31" s="66">
        <f t="shared" si="27"/>
        <v>2.9307577233333333E-2</v>
      </c>
      <c r="AI31" s="45">
        <v>11</v>
      </c>
      <c r="AJ31" s="87" t="s">
        <v>19</v>
      </c>
      <c r="AK31" s="46" t="s">
        <v>32</v>
      </c>
      <c r="AL31" s="93">
        <v>25</v>
      </c>
      <c r="AM31" s="66">
        <v>3.7759044292022688E-3</v>
      </c>
    </row>
    <row r="32" spans="2:46" ht="16" customHeight="1" x14ac:dyDescent="0.2">
      <c r="B32" s="91">
        <v>41152</v>
      </c>
      <c r="C32" s="66">
        <f>AIRBUS!D27</f>
        <v>3.6226980484889398E-2</v>
      </c>
      <c r="D32" s="66">
        <f>BNP!D27</f>
        <v>0.14534275115482548</v>
      </c>
      <c r="E32" s="66">
        <f>CAPGEMINI!D27</f>
        <v>-1.7977199295758941E-2</v>
      </c>
      <c r="F32" s="66">
        <f>DANONE!D27</f>
        <v>1.4147340696454784E-3</v>
      </c>
      <c r="G32" s="66">
        <f>ENGIE!D27</f>
        <v>7.6436696187363942E-2</v>
      </c>
      <c r="H32" s="66">
        <f>'HERMES INTL'!D27</f>
        <v>3.2934954972044982E-2</v>
      </c>
      <c r="I32" s="66">
        <f>'PERNOD RICARD'!D27</f>
        <v>-1.2588544871534298E-2</v>
      </c>
      <c r="J32" s="66">
        <f>RENAULT!D27</f>
        <v>4.4254162751540344E-2</v>
      </c>
      <c r="K32" s="66">
        <f>SANOFI!D27</f>
        <v>-2.1362864882812607E-2</v>
      </c>
      <c r="L32" s="66">
        <f>'SCHNEIDER ELECTRIC'!D27</f>
        <v>9.0810256783545706E-2</v>
      </c>
      <c r="M32" s="66">
        <f>TOTALENERGIES!D27</f>
        <v>5.5844074845906741E-2</v>
      </c>
      <c r="N32" s="66">
        <f>VINCI!D27</f>
        <v>1.1577876582149187E-3</v>
      </c>
      <c r="O32" s="66">
        <f>MARKET!D27</f>
        <v>3.6884173800000003E-2</v>
      </c>
      <c r="P32" s="92">
        <f>INTERBANK!D26</f>
        <v>2.7666666666666671E-4</v>
      </c>
      <c r="R32" s="91">
        <v>41152</v>
      </c>
      <c r="S32" s="66">
        <f t="shared" si="15"/>
        <v>3.595031381822273E-2</v>
      </c>
      <c r="T32" s="66">
        <f t="shared" si="16"/>
        <v>0.1450660844881588</v>
      </c>
      <c r="U32" s="66">
        <f t="shared" si="17"/>
        <v>-1.8253865962425609E-2</v>
      </c>
      <c r="V32" s="66">
        <f t="shared" si="18"/>
        <v>1.1380674029788118E-3</v>
      </c>
      <c r="W32" s="66">
        <f t="shared" si="19"/>
        <v>7.6160029520697281E-2</v>
      </c>
      <c r="X32" s="66">
        <f t="shared" si="20"/>
        <v>3.2658288305378314E-2</v>
      </c>
      <c r="Y32" s="66">
        <f t="shared" si="21"/>
        <v>-1.2865211538200964E-2</v>
      </c>
      <c r="Z32" s="66">
        <f t="shared" si="22"/>
        <v>4.3977496084873675E-2</v>
      </c>
      <c r="AA32" s="66">
        <f t="shared" si="23"/>
        <v>-2.1639531549479275E-2</v>
      </c>
      <c r="AB32" s="66">
        <f t="shared" si="24"/>
        <v>9.0533590116879045E-2</v>
      </c>
      <c r="AC32" s="66">
        <f t="shared" si="25"/>
        <v>5.5567408179240073E-2</v>
      </c>
      <c r="AD32" s="66">
        <f t="shared" si="26"/>
        <v>8.8112099154825203E-4</v>
      </c>
      <c r="AE32" s="66">
        <f t="shared" si="27"/>
        <v>3.6607507133333335E-2</v>
      </c>
      <c r="AI32" s="45">
        <v>12</v>
      </c>
      <c r="AJ32" s="87" t="s">
        <v>20</v>
      </c>
      <c r="AK32" s="46" t="s">
        <v>33</v>
      </c>
      <c r="AL32" s="93">
        <v>23.8</v>
      </c>
      <c r="AM32" s="66">
        <v>6.1939729599998269E-3</v>
      </c>
    </row>
    <row r="33" spans="2:36" ht="16" customHeight="1" x14ac:dyDescent="0.2">
      <c r="B33" s="91">
        <v>41182</v>
      </c>
      <c r="C33" s="66">
        <f>AIRBUS!D28</f>
        <v>-0.18651062412053604</v>
      </c>
      <c r="D33" s="66">
        <f>BNP!D28</f>
        <v>7.0178094927637852E-2</v>
      </c>
      <c r="E33" s="66">
        <f>CAPGEMINI!D28</f>
        <v>0.12660407367502952</v>
      </c>
      <c r="F33" s="66">
        <f>DANONE!D28</f>
        <v>-3.309780558047045E-2</v>
      </c>
      <c r="G33" s="66">
        <f>ENGIE!D28</f>
        <v>-0.11111113078898406</v>
      </c>
      <c r="H33" s="66">
        <f>'HERMES INTL'!D28</f>
        <v>-8.7136902921341741E-2</v>
      </c>
      <c r="I33" s="66">
        <f>'PERNOD RICARD'!D28</f>
        <v>1.9143251201317203E-2</v>
      </c>
      <c r="J33" s="66">
        <f>RENAULT!D28</f>
        <v>-1.7355344539233868E-2</v>
      </c>
      <c r="K33" s="66">
        <f>SANOFI!D28</f>
        <v>1.9984622093245433E-2</v>
      </c>
      <c r="L33" s="66">
        <f>'SCHNEIDER ELECTRIC'!D28</f>
        <v>-8.2752159087973967E-2</v>
      </c>
      <c r="M33" s="66">
        <f>TOTALENERGIES!D28</f>
        <v>-2.7830188728471015E-2</v>
      </c>
      <c r="N33" s="66">
        <f>VINCI!D28</f>
        <v>-4.1775050276131744E-2</v>
      </c>
      <c r="O33" s="66">
        <f>MARKET!D28</f>
        <v>-1.7066746000000001E-2</v>
      </c>
      <c r="P33" s="92">
        <f>INTERBANK!D27</f>
        <v>2.05E-4</v>
      </c>
      <c r="R33" s="91">
        <v>41182</v>
      </c>
      <c r="S33" s="66">
        <f t="shared" si="15"/>
        <v>-0.18671562412053605</v>
      </c>
      <c r="T33" s="66">
        <f t="shared" si="16"/>
        <v>6.9973094927637855E-2</v>
      </c>
      <c r="U33" s="66">
        <f t="shared" si="17"/>
        <v>0.12639907367502951</v>
      </c>
      <c r="V33" s="66">
        <f t="shared" si="18"/>
        <v>-3.3302805580470447E-2</v>
      </c>
      <c r="W33" s="66">
        <f t="shared" si="19"/>
        <v>-0.11131613078898406</v>
      </c>
      <c r="X33" s="66">
        <f t="shared" si="20"/>
        <v>-8.7341902921341738E-2</v>
      </c>
      <c r="Y33" s="66">
        <f t="shared" si="21"/>
        <v>1.8938251201317202E-2</v>
      </c>
      <c r="Z33" s="66">
        <f t="shared" si="22"/>
        <v>-1.7560344539233868E-2</v>
      </c>
      <c r="AA33" s="66">
        <f t="shared" si="23"/>
        <v>1.9779622093245432E-2</v>
      </c>
      <c r="AB33" s="66">
        <f t="shared" si="24"/>
        <v>-8.2957159087973964E-2</v>
      </c>
      <c r="AC33" s="66">
        <f t="shared" si="25"/>
        <v>-2.8035188728471015E-2</v>
      </c>
      <c r="AD33" s="66">
        <f t="shared" si="26"/>
        <v>-4.198005027613174E-2</v>
      </c>
      <c r="AE33" s="66">
        <f t="shared" si="27"/>
        <v>-1.7271746000000001E-2</v>
      </c>
    </row>
    <row r="34" spans="2:36" ht="16" customHeight="1" x14ac:dyDescent="0.2">
      <c r="B34" s="91">
        <v>41213</v>
      </c>
      <c r="C34" s="66">
        <f>AIRBUS!D29</f>
        <v>0.11129131840836119</v>
      </c>
      <c r="D34" s="66">
        <f>BNP!D29</f>
        <v>4.9486075736509094E-2</v>
      </c>
      <c r="E34" s="66">
        <f>CAPGEMINI!D29</f>
        <v>-1.5034300849232905E-2</v>
      </c>
      <c r="F34" s="66">
        <f>DANONE!D29</f>
        <v>-1.0123238558720467E-2</v>
      </c>
      <c r="G34" s="66">
        <f>ENGIE!D29</f>
        <v>6.2849177872335821E-2</v>
      </c>
      <c r="H34" s="66">
        <f>'HERMES INTL'!D29</f>
        <v>7.655578858582375E-3</v>
      </c>
      <c r="I34" s="66">
        <f>'PERNOD RICARD'!D29</f>
        <v>-4.9020637708787375E-2</v>
      </c>
      <c r="J34" s="66">
        <f>RENAULT!D29</f>
        <v>-5.5038248144587805E-2</v>
      </c>
      <c r="K34" s="66">
        <f>SANOFI!D29</f>
        <v>2.2155233999052861E-2</v>
      </c>
      <c r="L34" s="66">
        <f>'SCHNEIDER ELECTRIC'!D29</f>
        <v>4.7334387610208604E-2</v>
      </c>
      <c r="M34" s="66">
        <f>TOTALENERGIES!D29</f>
        <v>1.9948372530217331E-2</v>
      </c>
      <c r="N34" s="66">
        <f>VINCI!D29</f>
        <v>3.0170553004648444E-2</v>
      </c>
      <c r="O34" s="66">
        <f>MARKET!D29</f>
        <v>2.2191935699999998E-2</v>
      </c>
      <c r="P34" s="92">
        <f>INTERBANK!D28</f>
        <v>1.7333333333333334E-4</v>
      </c>
      <c r="R34" s="91">
        <v>41213</v>
      </c>
      <c r="S34" s="66">
        <f t="shared" si="15"/>
        <v>0.11111798507502786</v>
      </c>
      <c r="T34" s="66">
        <f t="shared" si="16"/>
        <v>4.9312742403175763E-2</v>
      </c>
      <c r="U34" s="66">
        <f t="shared" si="17"/>
        <v>-1.5207634182566238E-2</v>
      </c>
      <c r="V34" s="66">
        <f t="shared" si="18"/>
        <v>-1.02965718920538E-2</v>
      </c>
      <c r="W34" s="66">
        <f t="shared" si="19"/>
        <v>6.267584453900249E-2</v>
      </c>
      <c r="X34" s="66">
        <f t="shared" si="20"/>
        <v>7.4822455252490415E-3</v>
      </c>
      <c r="Y34" s="66">
        <f t="shared" si="21"/>
        <v>-4.9193971042120706E-2</v>
      </c>
      <c r="Z34" s="66">
        <f t="shared" si="22"/>
        <v>-5.5211581477921136E-2</v>
      </c>
      <c r="AA34" s="66">
        <f t="shared" si="23"/>
        <v>2.1981900665719527E-2</v>
      </c>
      <c r="AB34" s="66">
        <f t="shared" si="24"/>
        <v>4.7161054276875274E-2</v>
      </c>
      <c r="AC34" s="66">
        <f t="shared" si="25"/>
        <v>1.9775039196883996E-2</v>
      </c>
      <c r="AD34" s="66">
        <f t="shared" si="26"/>
        <v>2.999721967131511E-2</v>
      </c>
      <c r="AE34" s="66">
        <f t="shared" si="27"/>
        <v>2.2018602366666664E-2</v>
      </c>
      <c r="AI34" s="88" t="s">
        <v>40</v>
      </c>
      <c r="AJ34" s="97">
        <f>CORREL(AM21:AM32,AL21:AL32)</f>
        <v>-0.282889239487705</v>
      </c>
    </row>
    <row r="35" spans="2:36" ht="16" customHeight="1" x14ac:dyDescent="0.2">
      <c r="B35" s="91">
        <v>41243</v>
      </c>
      <c r="C35" s="66">
        <f>AIRBUS!D30</f>
        <v>-5.5454271939492934E-2</v>
      </c>
      <c r="D35" s="66">
        <f>BNP!D30</f>
        <v>0.10654488014510557</v>
      </c>
      <c r="E35" s="66">
        <f>CAPGEMINI!D30</f>
        <v>3.700227632906684E-3</v>
      </c>
      <c r="F35" s="66">
        <f>DANONE!D30</f>
        <v>2.8466066801301586E-2</v>
      </c>
      <c r="G35" s="66">
        <f>ENGIE!D30</f>
        <v>-2.3156932589354747E-2</v>
      </c>
      <c r="H35" s="66">
        <f>'HERMES INTL'!D30</f>
        <v>0.12820497114153817</v>
      </c>
      <c r="I35" s="66">
        <f>'PERNOD RICARD'!D30</f>
        <v>4.8536639666131615E-2</v>
      </c>
      <c r="J35" s="66">
        <f>RENAULT!D30</f>
        <v>0.11431488870845426</v>
      </c>
      <c r="K35" s="66">
        <f>SANOFI!D30</f>
        <v>1.2385870486025111E-2</v>
      </c>
      <c r="L35" s="66">
        <f>'SCHNEIDER ELECTRIC'!D30</f>
        <v>0.12034830085747443</v>
      </c>
      <c r="M35" s="66">
        <f>TOTALENERGIES!D30</f>
        <v>-8.8873625029088094E-3</v>
      </c>
      <c r="N35" s="66">
        <f>VINCI!D30</f>
        <v>-6.443229156773948E-3</v>
      </c>
      <c r="O35" s="66">
        <f>MARKET!D30</f>
        <v>3.7328646899999998E-2</v>
      </c>
      <c r="P35" s="92">
        <f>INTERBANK!D29</f>
        <v>1.6000000000000001E-4</v>
      </c>
      <c r="R35" s="91">
        <v>41243</v>
      </c>
      <c r="S35" s="66">
        <f t="shared" si="15"/>
        <v>-5.5614271939492935E-2</v>
      </c>
      <c r="T35" s="66">
        <f t="shared" si="16"/>
        <v>0.10638488014510558</v>
      </c>
      <c r="U35" s="66">
        <f t="shared" si="17"/>
        <v>3.5402276329066841E-3</v>
      </c>
      <c r="V35" s="66">
        <f t="shared" si="18"/>
        <v>2.8306066801301585E-2</v>
      </c>
      <c r="W35" s="66">
        <f t="shared" si="19"/>
        <v>-2.3316932589354748E-2</v>
      </c>
      <c r="X35" s="66">
        <f t="shared" si="20"/>
        <v>0.12804497114153818</v>
      </c>
      <c r="Y35" s="66">
        <f t="shared" si="21"/>
        <v>4.8376639666131614E-2</v>
      </c>
      <c r="Z35" s="66">
        <f t="shared" si="22"/>
        <v>0.11415488870845426</v>
      </c>
      <c r="AA35" s="66">
        <f t="shared" si="23"/>
        <v>1.2225870486025111E-2</v>
      </c>
      <c r="AB35" s="66">
        <f t="shared" si="24"/>
        <v>0.12018830085747444</v>
      </c>
      <c r="AC35" s="66">
        <f t="shared" si="25"/>
        <v>-9.0473625029088098E-3</v>
      </c>
      <c r="AD35" s="66">
        <f t="shared" si="26"/>
        <v>-6.6032291567739484E-3</v>
      </c>
      <c r="AE35" s="66">
        <f t="shared" si="27"/>
        <v>3.7168646899999998E-2</v>
      </c>
    </row>
    <row r="36" spans="2:36" ht="16" customHeight="1" x14ac:dyDescent="0.2">
      <c r="B36" s="91">
        <v>41274</v>
      </c>
      <c r="C36" s="66">
        <f>AIRBUS!D31</f>
        <v>0.13943614150085001</v>
      </c>
      <c r="D36" s="66">
        <f>BNP!D31</f>
        <v>-8.3828091667052171E-3</v>
      </c>
      <c r="E36" s="66">
        <f>CAPGEMINI!D31</f>
        <v>9.5239948360251025E-3</v>
      </c>
      <c r="F36" s="66">
        <f>DANONE!D31</f>
        <v>2.3167488461374234E-2</v>
      </c>
      <c r="G36" s="66">
        <f>ENGIE!D31</f>
        <v>-9.9451048603480183E-2</v>
      </c>
      <c r="H36" s="66">
        <f>'HERMES INTL'!D31</f>
        <v>-4.7559006243081244E-2</v>
      </c>
      <c r="I36" s="66">
        <f>'PERNOD RICARD'!D31</f>
        <v>1.4738816850687755E-2</v>
      </c>
      <c r="J36" s="66">
        <f>RENAULT!D31</f>
        <v>5.7989681911927327E-2</v>
      </c>
      <c r="K36" s="66">
        <f>SANOFI!D31</f>
        <v>3.9760843027050234E-2</v>
      </c>
      <c r="L36" s="66">
        <f>'SCHNEIDER ELECTRIC'!D31</f>
        <v>1.4618880961182881E-2</v>
      </c>
      <c r="M36" s="66">
        <f>TOTALENERGIES!D31</f>
        <v>1.3905260720985432E-2</v>
      </c>
      <c r="N36" s="66">
        <f>VINCI!D31</f>
        <v>7.8073671963682756E-2</v>
      </c>
      <c r="O36" s="66">
        <f>MARKET!D31</f>
        <v>2.3554524300000001E-2</v>
      </c>
      <c r="P36" s="92">
        <f>INTERBANK!D30</f>
        <v>1.5416666666666666E-4</v>
      </c>
      <c r="R36" s="91">
        <v>41274</v>
      </c>
      <c r="S36" s="66">
        <f t="shared" si="15"/>
        <v>0.13928197483418334</v>
      </c>
      <c r="T36" s="66">
        <f t="shared" si="16"/>
        <v>-8.5369758333718841E-3</v>
      </c>
      <c r="U36" s="66">
        <f t="shared" si="17"/>
        <v>9.3698281693584354E-3</v>
      </c>
      <c r="V36" s="66">
        <f t="shared" si="18"/>
        <v>2.3013321794707567E-2</v>
      </c>
      <c r="W36" s="66">
        <f t="shared" si="19"/>
        <v>-9.9605215270146846E-2</v>
      </c>
      <c r="X36" s="66">
        <f t="shared" si="20"/>
        <v>-4.7713172909747907E-2</v>
      </c>
      <c r="Y36" s="66">
        <f t="shared" si="21"/>
        <v>1.4584650184021088E-2</v>
      </c>
      <c r="Z36" s="66">
        <f t="shared" si="22"/>
        <v>5.7835515245260663E-2</v>
      </c>
      <c r="AA36" s="66">
        <f t="shared" si="23"/>
        <v>3.9606676360383571E-2</v>
      </c>
      <c r="AB36" s="66">
        <f t="shared" si="24"/>
        <v>1.4464714294516214E-2</v>
      </c>
      <c r="AC36" s="66">
        <f t="shared" si="25"/>
        <v>1.3751094054318765E-2</v>
      </c>
      <c r="AD36" s="66">
        <f t="shared" si="26"/>
        <v>7.7919505297016092E-2</v>
      </c>
      <c r="AE36" s="66">
        <f t="shared" si="27"/>
        <v>2.3400357633333334E-2</v>
      </c>
    </row>
    <row r="37" spans="2:36" ht="16" customHeight="1" x14ac:dyDescent="0.2">
      <c r="B37" s="91">
        <v>41305</v>
      </c>
      <c r="C37" s="66">
        <f>AIRBUS!D32</f>
        <v>0.17305100902342535</v>
      </c>
      <c r="D37" s="66">
        <f>BNP!D32</f>
        <v>8.5123850727245057E-2</v>
      </c>
      <c r="E37" s="66">
        <f>CAPGEMINI!D32</f>
        <v>8.0492917602147079E-2</v>
      </c>
      <c r="F37" s="66">
        <f>DANONE!D32</f>
        <v>2.2743382578467274E-2</v>
      </c>
      <c r="G37" s="66">
        <f>ENGIE!D32</f>
        <v>-2.9855269991828592E-2</v>
      </c>
      <c r="H37" s="66">
        <f>'HERMES INTL'!D32</f>
        <v>5.8108654112443099E-2</v>
      </c>
      <c r="I37" s="66">
        <f>'PERNOD RICARD'!D32</f>
        <v>5.4437114870423263E-2</v>
      </c>
      <c r="J37" s="66">
        <f>RENAULT!D32</f>
        <v>9.1680096767335489E-2</v>
      </c>
      <c r="K37" s="66">
        <f>SANOFI!D32</f>
        <v>6.5835497141392202E-3</v>
      </c>
      <c r="L37" s="66">
        <f>'SCHNEIDER ELECTRIC'!D32</f>
        <v>2.3162266758199972E-2</v>
      </c>
      <c r="M37" s="66">
        <f>TOTALENERGIES!D32</f>
        <v>3.9120630278855997E-2</v>
      </c>
      <c r="N37" s="66">
        <f>VINCI!D32</f>
        <v>4.3520634405585026E-2</v>
      </c>
      <c r="O37" s="66">
        <f>MARKET!D32</f>
        <v>2.51382224E-2</v>
      </c>
      <c r="P37" s="92">
        <f>INTERBANK!D31</f>
        <v>1.7083333333333333E-4</v>
      </c>
      <c r="R37" s="91">
        <v>41305</v>
      </c>
      <c r="S37" s="66">
        <f t="shared" si="15"/>
        <v>0.17288017569009201</v>
      </c>
      <c r="T37" s="66">
        <f t="shared" si="16"/>
        <v>8.4953017393911728E-2</v>
      </c>
      <c r="U37" s="66">
        <f t="shared" si="17"/>
        <v>8.0322084268813751E-2</v>
      </c>
      <c r="V37" s="66">
        <f t="shared" si="18"/>
        <v>2.2572549245133942E-2</v>
      </c>
      <c r="W37" s="66">
        <f t="shared" si="19"/>
        <v>-3.0026103325161924E-2</v>
      </c>
      <c r="X37" s="66">
        <f t="shared" si="20"/>
        <v>5.7937820779109764E-2</v>
      </c>
      <c r="Y37" s="66">
        <f t="shared" si="21"/>
        <v>5.4266281537089928E-2</v>
      </c>
      <c r="Z37" s="66">
        <f t="shared" si="22"/>
        <v>9.1509263434002161E-2</v>
      </c>
      <c r="AA37" s="66">
        <f t="shared" si="23"/>
        <v>6.4127163808058866E-3</v>
      </c>
      <c r="AB37" s="66">
        <f t="shared" si="24"/>
        <v>2.299143342486664E-2</v>
      </c>
      <c r="AC37" s="66">
        <f t="shared" si="25"/>
        <v>3.8949796945522662E-2</v>
      </c>
      <c r="AD37" s="66">
        <f t="shared" si="26"/>
        <v>4.3349801072251691E-2</v>
      </c>
      <c r="AE37" s="66">
        <f t="shared" si="27"/>
        <v>2.4967389066666668E-2</v>
      </c>
    </row>
    <row r="38" spans="2:36" ht="16" customHeight="1" x14ac:dyDescent="0.2">
      <c r="B38" s="91">
        <v>41333</v>
      </c>
      <c r="C38" s="66">
        <f>AIRBUS!D33</f>
        <v>0.13220606048983841</v>
      </c>
      <c r="D38" s="66">
        <f>BNP!D33</f>
        <v>-6.7193239933374171E-2</v>
      </c>
      <c r="E38" s="66">
        <f>CAPGEMINI!D33</f>
        <v>6.1681243214327677E-2</v>
      </c>
      <c r="F38" s="66">
        <f>DANONE!D33</f>
        <v>4.212378530910172E-2</v>
      </c>
      <c r="G38" s="66">
        <f>ENGIE!D33</f>
        <v>-4.1694418942572267E-2</v>
      </c>
      <c r="H38" s="66">
        <f>'HERMES INTL'!D33</f>
        <v>6.5775964809716841E-2</v>
      </c>
      <c r="I38" s="66">
        <f>'PERNOD RICARD'!D33</f>
        <v>7.7982665949355809E-2</v>
      </c>
      <c r="J38" s="66">
        <f>RENAULT!D33</f>
        <v>9.4562718006994756E-2</v>
      </c>
      <c r="K38" s="66">
        <f>SANOFI!D33</f>
        <v>1.0019412836156387E-2</v>
      </c>
      <c r="L38" s="66">
        <f>'SCHNEIDER ELECTRIC'!D33</f>
        <v>5.0267627255401459E-2</v>
      </c>
      <c r="M38" s="66">
        <f>TOTALENERGIES!D33</f>
        <v>-4.0946676376683998E-2</v>
      </c>
      <c r="N38" s="66">
        <f>VINCI!D33</f>
        <v>-5.5296493447984922E-2</v>
      </c>
      <c r="O38" s="66">
        <f>MARKET!D33</f>
        <v>-2.5719598999999998E-3</v>
      </c>
      <c r="P38" s="92">
        <f>INTERBANK!D32</f>
        <v>1.8583333333333334E-4</v>
      </c>
      <c r="R38" s="91">
        <v>41333</v>
      </c>
      <c r="S38" s="66">
        <f t="shared" si="15"/>
        <v>0.13202022715650508</v>
      </c>
      <c r="T38" s="66">
        <f t="shared" si="16"/>
        <v>-6.7379073266707501E-2</v>
      </c>
      <c r="U38" s="66">
        <f t="shared" si="17"/>
        <v>6.1495409880994341E-2</v>
      </c>
      <c r="V38" s="66">
        <f t="shared" si="18"/>
        <v>4.1937951975768384E-2</v>
      </c>
      <c r="W38" s="66">
        <f t="shared" si="19"/>
        <v>-4.1880252275905604E-2</v>
      </c>
      <c r="X38" s="66">
        <f t="shared" si="20"/>
        <v>6.5590131476383512E-2</v>
      </c>
      <c r="Y38" s="66">
        <f t="shared" si="21"/>
        <v>7.7796832616022479E-2</v>
      </c>
      <c r="Z38" s="66">
        <f t="shared" si="22"/>
        <v>9.4376884673661426E-2</v>
      </c>
      <c r="AA38" s="66">
        <f t="shared" si="23"/>
        <v>9.8335795028230543E-3</v>
      </c>
      <c r="AB38" s="66">
        <f t="shared" si="24"/>
        <v>5.0081793922068123E-2</v>
      </c>
      <c r="AC38" s="66">
        <f t="shared" si="25"/>
        <v>-4.1132509710017334E-2</v>
      </c>
      <c r="AD38" s="66">
        <f t="shared" si="26"/>
        <v>-5.5482326781318259E-2</v>
      </c>
      <c r="AE38" s="66">
        <f t="shared" si="27"/>
        <v>-2.7577932333333333E-3</v>
      </c>
    </row>
    <row r="39" spans="2:36" ht="16" customHeight="1" x14ac:dyDescent="0.2">
      <c r="B39" s="91">
        <v>41364</v>
      </c>
      <c r="C39" s="66">
        <f>AIRBUS!D34</f>
        <v>1.3272179541285621E-2</v>
      </c>
      <c r="D39" s="66">
        <f>BNP!D34</f>
        <v>-7.1105516116629422E-2</v>
      </c>
      <c r="E39" s="66">
        <f>CAPGEMINI!D34</f>
        <v>-5.8230274786301814E-2</v>
      </c>
      <c r="F39" s="66">
        <f>DANONE!D34</f>
        <v>2.0492348579810665E-2</v>
      </c>
      <c r="G39" s="66">
        <f>ENGIE!D34</f>
        <v>3.7292829815314725E-2</v>
      </c>
      <c r="H39" s="66">
        <f>'HERMES INTL'!D34</f>
        <v>6.7593304853862682E-2</v>
      </c>
      <c r="I39" s="66">
        <f>'PERNOD RICARD'!D34</f>
        <v>-2.1933624671508192E-2</v>
      </c>
      <c r="J39" s="66">
        <f>RENAULT!D34</f>
        <v>5.3479727932964115E-3</v>
      </c>
      <c r="K39" s="66">
        <f>SANOFI!D34</f>
        <v>9.2174243865321082E-2</v>
      </c>
      <c r="L39" s="66">
        <f>'SCHNEIDER ELECTRIC'!D34</f>
        <v>-3.2586400569328391E-2</v>
      </c>
      <c r="M39" s="66">
        <f>TOTALENERGIES!D34</f>
        <v>-2.45460962257508E-2</v>
      </c>
      <c r="N39" s="66">
        <f>VINCI!D34</f>
        <v>-8.603591485772279E-3</v>
      </c>
      <c r="O39" s="66">
        <f>MARKET!D34</f>
        <v>2.2615959999999998E-3</v>
      </c>
      <c r="P39" s="92">
        <f>INTERBANK!D33</f>
        <v>1.7166666666666665E-4</v>
      </c>
      <c r="R39" s="91">
        <v>41364</v>
      </c>
      <c r="S39" s="66">
        <f t="shared" si="15"/>
        <v>1.3100512874618954E-2</v>
      </c>
      <c r="T39" s="66">
        <f t="shared" si="16"/>
        <v>-7.1277182783296089E-2</v>
      </c>
      <c r="U39" s="66">
        <f t="shared" si="17"/>
        <v>-5.8401941452968481E-2</v>
      </c>
      <c r="V39" s="66">
        <f t="shared" si="18"/>
        <v>2.0320681913143998E-2</v>
      </c>
      <c r="W39" s="66">
        <f t="shared" si="19"/>
        <v>3.7121163148648058E-2</v>
      </c>
      <c r="X39" s="66">
        <f t="shared" si="20"/>
        <v>6.7421638187196015E-2</v>
      </c>
      <c r="Y39" s="66">
        <f t="shared" si="21"/>
        <v>-2.2105291338174859E-2</v>
      </c>
      <c r="Z39" s="66">
        <f t="shared" si="22"/>
        <v>5.1763061266297452E-3</v>
      </c>
      <c r="AA39" s="66">
        <f t="shared" si="23"/>
        <v>9.2002577198654414E-2</v>
      </c>
      <c r="AB39" s="66">
        <f t="shared" si="24"/>
        <v>-3.2758067235995059E-2</v>
      </c>
      <c r="AC39" s="66">
        <f t="shared" si="25"/>
        <v>-2.4717762892417467E-2</v>
      </c>
      <c r="AD39" s="66">
        <f t="shared" si="26"/>
        <v>-8.7752581524389462E-3</v>
      </c>
      <c r="AE39" s="66">
        <f t="shared" si="27"/>
        <v>2.0899293333333331E-3</v>
      </c>
    </row>
    <row r="40" spans="2:36" ht="16" customHeight="1" x14ac:dyDescent="0.2">
      <c r="B40" s="91">
        <v>41394</v>
      </c>
      <c r="C40" s="66">
        <f>AIRBUS!D35</f>
        <v>1.0201421248052012E-2</v>
      </c>
      <c r="D40" s="66">
        <f>BNP!D35</f>
        <v>5.6693726728509593E-2</v>
      </c>
      <c r="E40" s="66">
        <f>CAPGEMINI!D35</f>
        <v>-1.6197342670773402E-2</v>
      </c>
      <c r="F40" s="66">
        <f>DANONE!D35</f>
        <v>6.8717963163198739E-2</v>
      </c>
      <c r="G40" s="66">
        <f>ENGIE!D35</f>
        <v>8.5219845639786213E-2</v>
      </c>
      <c r="H40" s="66">
        <f>'HERMES INTL'!D35</f>
        <v>-5.4458154150467911E-2</v>
      </c>
      <c r="I40" s="66">
        <f>'PERNOD RICARD'!D35</f>
        <v>-3.3021087891995676E-2</v>
      </c>
      <c r="J40" s="66">
        <f>RENAULT!D35</f>
        <v>7.0485995893878758E-2</v>
      </c>
      <c r="K40" s="66">
        <f>SANOFI!D35</f>
        <v>4.9829821353588148E-2</v>
      </c>
      <c r="L40" s="66">
        <f>'SCHNEIDER ELECTRIC'!D35</f>
        <v>1.5789486658227096E-2</v>
      </c>
      <c r="M40" s="66">
        <f>TOTALENERGIES!D35</f>
        <v>4.0164133223131795E-2</v>
      </c>
      <c r="N40" s="66">
        <f>VINCI!D35</f>
        <v>4.0261591848868766E-2</v>
      </c>
      <c r="O40" s="66">
        <f>MARKET!D35</f>
        <v>3.3587771099999997E-2</v>
      </c>
      <c r="P40" s="92">
        <f>INTERBANK!D34</f>
        <v>1.7416666666666665E-4</v>
      </c>
      <c r="R40" s="91">
        <v>41394</v>
      </c>
      <c r="S40" s="66">
        <f t="shared" si="15"/>
        <v>1.0027254581385345E-2</v>
      </c>
      <c r="T40" s="66">
        <f t="shared" si="16"/>
        <v>5.6519560061842923E-2</v>
      </c>
      <c r="U40" s="66">
        <f t="shared" si="17"/>
        <v>-1.6371509337440068E-2</v>
      </c>
      <c r="V40" s="66">
        <f t="shared" si="18"/>
        <v>6.854379649653207E-2</v>
      </c>
      <c r="W40" s="66">
        <f t="shared" si="19"/>
        <v>8.5045678973119543E-2</v>
      </c>
      <c r="X40" s="66">
        <f t="shared" si="20"/>
        <v>-5.463232081713458E-2</v>
      </c>
      <c r="Y40" s="66">
        <f t="shared" si="21"/>
        <v>-3.3195254558662346E-2</v>
      </c>
      <c r="Z40" s="66">
        <f t="shared" si="22"/>
        <v>7.0311829227212089E-2</v>
      </c>
      <c r="AA40" s="66">
        <f t="shared" si="23"/>
        <v>4.9655654686921478E-2</v>
      </c>
      <c r="AB40" s="66">
        <f t="shared" si="24"/>
        <v>1.561531999156043E-2</v>
      </c>
      <c r="AC40" s="66">
        <f t="shared" si="25"/>
        <v>3.9989966556465126E-2</v>
      </c>
      <c r="AD40" s="66">
        <f t="shared" si="26"/>
        <v>4.0087425182202097E-2</v>
      </c>
      <c r="AE40" s="66">
        <f t="shared" si="27"/>
        <v>3.3413604433333327E-2</v>
      </c>
    </row>
    <row r="41" spans="2:36" ht="16" customHeight="1" x14ac:dyDescent="0.2">
      <c r="B41" s="91">
        <v>41425</v>
      </c>
      <c r="C41" s="66">
        <f>AIRBUS!D36</f>
        <v>0.1083407142998313</v>
      </c>
      <c r="D41" s="66">
        <f>BNP!D36</f>
        <v>7.1259373387069808E-2</v>
      </c>
      <c r="E41" s="66">
        <f>CAPGEMINI!D36</f>
        <v>8.1460403828627265E-2</v>
      </c>
      <c r="F41" s="66">
        <f>DANONE!D36</f>
        <v>-2.189281098344225E-2</v>
      </c>
      <c r="G41" s="66">
        <f>ENGIE!D36</f>
        <v>6.9100146548508471E-3</v>
      </c>
      <c r="H41" s="66">
        <f>'HERMES INTL'!D36</f>
        <v>7.4580359862366677E-2</v>
      </c>
      <c r="I41" s="66">
        <f>'PERNOD RICARD'!D36</f>
        <v>-1.3936228142709806E-2</v>
      </c>
      <c r="J41" s="66">
        <f>RENAULT!D36</f>
        <v>0.14220187620806099</v>
      </c>
      <c r="K41" s="66">
        <f>SANOFI!D36</f>
        <v>-8.5317280470759739E-3</v>
      </c>
      <c r="L41" s="66">
        <f>'SCHNEIDER ELECTRIC'!D36</f>
        <v>5.9412339218751158E-2</v>
      </c>
      <c r="M41" s="66">
        <f>TOTALENERGIES!D36</f>
        <v>8.230669646846182E-3</v>
      </c>
      <c r="N41" s="66">
        <f>VINCI!D36</f>
        <v>0.12537318254206825</v>
      </c>
      <c r="O41" s="66">
        <f>MARKET!D36</f>
        <v>2.3812818499999999E-2</v>
      </c>
      <c r="P41" s="92">
        <f>INTERBANK!D35</f>
        <v>1.6750000000000001E-4</v>
      </c>
      <c r="R41" s="91">
        <v>41425</v>
      </c>
      <c r="S41" s="66">
        <f t="shared" si="15"/>
        <v>0.1081732142998313</v>
      </c>
      <c r="T41" s="66">
        <f t="shared" si="16"/>
        <v>7.1091873387069807E-2</v>
      </c>
      <c r="U41" s="66">
        <f t="shared" si="17"/>
        <v>8.1292903828627264E-2</v>
      </c>
      <c r="V41" s="66">
        <f t="shared" si="18"/>
        <v>-2.2060310983442251E-2</v>
      </c>
      <c r="W41" s="66">
        <f t="shared" si="19"/>
        <v>6.742514654850847E-3</v>
      </c>
      <c r="X41" s="66">
        <f t="shared" si="20"/>
        <v>7.4412859862366676E-2</v>
      </c>
      <c r="Y41" s="66">
        <f t="shared" si="21"/>
        <v>-1.4103728142709805E-2</v>
      </c>
      <c r="Z41" s="66">
        <f t="shared" si="22"/>
        <v>0.142034376208061</v>
      </c>
      <c r="AA41" s="66">
        <f t="shared" si="23"/>
        <v>-8.6992280470759731E-3</v>
      </c>
      <c r="AB41" s="66">
        <f t="shared" si="24"/>
        <v>5.9244839218751157E-2</v>
      </c>
      <c r="AC41" s="66">
        <f t="shared" si="25"/>
        <v>8.0631696468461828E-3</v>
      </c>
      <c r="AD41" s="66">
        <f t="shared" si="26"/>
        <v>0.12520568254206826</v>
      </c>
      <c r="AE41" s="66">
        <f t="shared" si="27"/>
        <v>2.3645318499999998E-2</v>
      </c>
    </row>
    <row r="42" spans="2:36" ht="16" customHeight="1" x14ac:dyDescent="0.2">
      <c r="B42" s="91">
        <v>41455</v>
      </c>
      <c r="C42" s="66">
        <f>AIRBUS!D37</f>
        <v>-6.3452694474447943E-2</v>
      </c>
      <c r="D42" s="66">
        <f>BNP!D37</f>
        <v>-4.3180982955812748E-2</v>
      </c>
      <c r="E42" s="66">
        <f>CAPGEMINI!D37</f>
        <v>-1.1119944277373785E-2</v>
      </c>
      <c r="F42" s="66">
        <f>DANONE!D37</f>
        <v>4.2266435081162325E-2</v>
      </c>
      <c r="G42" s="66">
        <f>ENGIE!D37</f>
        <v>-4.4761625123739643E-2</v>
      </c>
      <c r="H42" s="66">
        <f>'HERMES INTL'!D37</f>
        <v>-9.8837356851653888E-2</v>
      </c>
      <c r="I42" s="66">
        <f>'PERNOD RICARD'!D37</f>
        <v>-8.0914980734992356E-2</v>
      </c>
      <c r="J42" s="66">
        <f>RENAULT!D37</f>
        <v>-0.10587222295087526</v>
      </c>
      <c r="K42" s="66">
        <f>SANOFI!D37</f>
        <v>-2.8644518941539437E-3</v>
      </c>
      <c r="L42" s="66">
        <f>'SCHNEIDER ELECTRIC'!D37</f>
        <v>-6.1134704835285852E-2</v>
      </c>
      <c r="M42" s="66">
        <f>TOTALENERGIES!D37</f>
        <v>-2.7989598368433961E-2</v>
      </c>
      <c r="N42" s="66">
        <f>VINCI!D37</f>
        <v>-2.8718844222259555E-2</v>
      </c>
      <c r="O42" s="66">
        <f>MARKET!D37</f>
        <v>-5.3102543199999998E-2</v>
      </c>
      <c r="P42" s="92">
        <f>INTERBANK!D36</f>
        <v>1.75E-4</v>
      </c>
      <c r="R42" s="91">
        <v>41455</v>
      </c>
      <c r="S42" s="66">
        <f t="shared" si="15"/>
        <v>-6.3627694474447938E-2</v>
      </c>
      <c r="T42" s="66">
        <f t="shared" si="16"/>
        <v>-4.335598295581275E-2</v>
      </c>
      <c r="U42" s="66">
        <f t="shared" si="17"/>
        <v>-1.1294944277373785E-2</v>
      </c>
      <c r="V42" s="66">
        <f t="shared" si="18"/>
        <v>4.2091435081162323E-2</v>
      </c>
      <c r="W42" s="66">
        <f t="shared" si="19"/>
        <v>-4.4936625123739644E-2</v>
      </c>
      <c r="X42" s="66">
        <f t="shared" si="20"/>
        <v>-9.9012356851653882E-2</v>
      </c>
      <c r="Y42" s="66">
        <f t="shared" si="21"/>
        <v>-8.1089980734992351E-2</v>
      </c>
      <c r="Z42" s="66">
        <f t="shared" si="22"/>
        <v>-0.10604722295087525</v>
      </c>
      <c r="AA42" s="66">
        <f t="shared" si="23"/>
        <v>-3.0394518941539435E-3</v>
      </c>
      <c r="AB42" s="66">
        <f t="shared" si="24"/>
        <v>-6.1309704835285854E-2</v>
      </c>
      <c r="AC42" s="66">
        <f t="shared" si="25"/>
        <v>-2.8164598368433963E-2</v>
      </c>
      <c r="AD42" s="66">
        <f t="shared" si="26"/>
        <v>-2.8893844222259556E-2</v>
      </c>
      <c r="AE42" s="66">
        <f t="shared" si="27"/>
        <v>-5.3277543199999999E-2</v>
      </c>
    </row>
    <row r="43" spans="2:36" ht="16" customHeight="1" x14ac:dyDescent="0.2">
      <c r="B43" s="91">
        <v>41486</v>
      </c>
      <c r="C43" s="66">
        <f>AIRBUS!D38</f>
        <v>9.3023441173008536E-2</v>
      </c>
      <c r="D43" s="66">
        <f>BNP!D38</f>
        <v>0.15866594337334597</v>
      </c>
      <c r="E43" s="66">
        <f>CAPGEMINI!D38</f>
        <v>0.1317031529759384</v>
      </c>
      <c r="F43" s="66">
        <f>DANONE!D38</f>
        <v>3.0176999654675348E-2</v>
      </c>
      <c r="G43" s="66">
        <f>ENGIE!D38</f>
        <v>4.8188761661926413E-2</v>
      </c>
      <c r="H43" s="66">
        <f>'HERMES INTL'!D38</f>
        <v>3.3775384875125665E-2</v>
      </c>
      <c r="I43" s="66">
        <f>'PERNOD RICARD'!D38</f>
        <v>5.0593284779755658E-2</v>
      </c>
      <c r="J43" s="66">
        <f>RENAULT!D38</f>
        <v>0.14448741484946512</v>
      </c>
      <c r="K43" s="66">
        <f>SANOFI!D38</f>
        <v>6.9080564498007428E-3</v>
      </c>
      <c r="L43" s="66">
        <f>'SCHNEIDER ELECTRIC'!D38</f>
        <v>7.3210155464686316E-2</v>
      </c>
      <c r="M43" s="66">
        <f>TOTALENERGIES!D38</f>
        <v>8.6754337817300214E-2</v>
      </c>
      <c r="N43" s="66">
        <f>VINCI!D38</f>
        <v>5.2781561197002717E-2</v>
      </c>
      <c r="O43" s="66">
        <f>MARKET!D38</f>
        <v>6.7875406299999996E-2</v>
      </c>
      <c r="P43" s="92">
        <f>INTERBANK!D37</f>
        <v>1.8416666666666668E-4</v>
      </c>
      <c r="R43" s="91">
        <v>41486</v>
      </c>
      <c r="S43" s="66">
        <f t="shared" si="15"/>
        <v>9.2839274506341871E-2</v>
      </c>
      <c r="T43" s="66">
        <f t="shared" si="16"/>
        <v>0.15848177670667929</v>
      </c>
      <c r="U43" s="66">
        <f t="shared" si="17"/>
        <v>0.13151898630927172</v>
      </c>
      <c r="V43" s="66">
        <f t="shared" si="18"/>
        <v>2.9992832988008682E-2</v>
      </c>
      <c r="W43" s="66">
        <f t="shared" si="19"/>
        <v>4.8004594995259747E-2</v>
      </c>
      <c r="X43" s="66">
        <f t="shared" si="20"/>
        <v>3.3591218208458999E-2</v>
      </c>
      <c r="Y43" s="66">
        <f t="shared" si="21"/>
        <v>5.0409118113088992E-2</v>
      </c>
      <c r="Z43" s="66">
        <f t="shared" si="22"/>
        <v>0.14430324818279844</v>
      </c>
      <c r="AA43" s="66">
        <f t="shared" si="23"/>
        <v>6.7238897831340761E-3</v>
      </c>
      <c r="AB43" s="66">
        <f t="shared" si="24"/>
        <v>7.302598879801965E-2</v>
      </c>
      <c r="AC43" s="66">
        <f t="shared" si="25"/>
        <v>8.6570171150633549E-2</v>
      </c>
      <c r="AD43" s="66">
        <f t="shared" si="26"/>
        <v>5.2597394530336052E-2</v>
      </c>
      <c r="AE43" s="66">
        <f t="shared" si="27"/>
        <v>6.769123963333333E-2</v>
      </c>
    </row>
    <row r="44" spans="2:36" ht="16" customHeight="1" x14ac:dyDescent="0.2">
      <c r="B44" s="91">
        <v>41517</v>
      </c>
      <c r="C44" s="66">
        <f>AIRBUS!D39</f>
        <v>-2.8517388880250353E-2</v>
      </c>
      <c r="D44" s="66">
        <f>BNP!D39</f>
        <v>-2.5084869888712984E-2</v>
      </c>
      <c r="E44" s="66">
        <f>CAPGEMINI!D39</f>
        <v>7.0473672207956566E-3</v>
      </c>
      <c r="F44" s="66">
        <f>DANONE!D39</f>
        <v>-5.1515283206588526E-2</v>
      </c>
      <c r="G44" s="66">
        <f>ENGIE!D39</f>
        <v>3.9949264662766458E-2</v>
      </c>
      <c r="H44" s="66">
        <f>'HERMES INTL'!D39</f>
        <v>-6.6562679028000305E-3</v>
      </c>
      <c r="I44" s="66">
        <f>'PERNOD RICARD'!D39</f>
        <v>-9.6472215569313544E-3</v>
      </c>
      <c r="J44" s="66">
        <f>RENAULT!D39</f>
        <v>-8.6023303844769125E-2</v>
      </c>
      <c r="K44" s="66">
        <f>SANOFI!D39</f>
        <v>-9.3301754008523113E-2</v>
      </c>
      <c r="L44" s="66">
        <f>'SCHNEIDER ELECTRIC'!D39</f>
        <v>-3.1934283353724072E-2</v>
      </c>
      <c r="M44" s="66">
        <f>TOTALENERGIES!D39</f>
        <v>4.5262206906303774E-2</v>
      </c>
      <c r="N44" s="66">
        <f>VINCI!D39</f>
        <v>-3.7447515076146971E-2</v>
      </c>
      <c r="O44" s="66">
        <f>MARKET!D39</f>
        <v>-1.4754442E-2</v>
      </c>
      <c r="P44" s="92">
        <f>INTERBANK!D38</f>
        <v>1.8833333333333335E-4</v>
      </c>
      <c r="R44" s="91">
        <v>41517</v>
      </c>
      <c r="S44" s="66">
        <f t="shared" si="15"/>
        <v>-2.8705722213583685E-2</v>
      </c>
      <c r="T44" s="66">
        <f t="shared" si="16"/>
        <v>-2.5273203222046316E-2</v>
      </c>
      <c r="U44" s="66">
        <f t="shared" si="17"/>
        <v>6.8590338874623229E-3</v>
      </c>
      <c r="V44" s="66">
        <f t="shared" si="18"/>
        <v>-5.1703616539921858E-2</v>
      </c>
      <c r="W44" s="66">
        <f t="shared" si="19"/>
        <v>3.9760931329433126E-2</v>
      </c>
      <c r="X44" s="66">
        <f t="shared" si="20"/>
        <v>-6.8446012361333642E-3</v>
      </c>
      <c r="Y44" s="66">
        <f t="shared" si="21"/>
        <v>-9.8355548902646882E-3</v>
      </c>
      <c r="Z44" s="66">
        <f t="shared" si="22"/>
        <v>-8.6211637178102457E-2</v>
      </c>
      <c r="AA44" s="66">
        <f t="shared" si="23"/>
        <v>-9.3490087341856445E-2</v>
      </c>
      <c r="AB44" s="66">
        <f t="shared" si="24"/>
        <v>-3.2122616687057404E-2</v>
      </c>
      <c r="AC44" s="66">
        <f t="shared" si="25"/>
        <v>4.5073873572970442E-2</v>
      </c>
      <c r="AD44" s="66">
        <f t="shared" si="26"/>
        <v>-3.7635848409480303E-2</v>
      </c>
      <c r="AE44" s="66">
        <f t="shared" si="27"/>
        <v>-1.4942775333333333E-2</v>
      </c>
    </row>
    <row r="45" spans="2:36" ht="16" customHeight="1" x14ac:dyDescent="0.2">
      <c r="B45" s="91">
        <v>41547</v>
      </c>
      <c r="C45" s="66">
        <f>AIRBUS!D40</f>
        <v>8.0036713457488445E-2</v>
      </c>
      <c r="D45" s="66">
        <f>BNP!D40</f>
        <v>5.4518770571494138E-2</v>
      </c>
      <c r="E45" s="66">
        <f>CAPGEMINI!D40</f>
        <v>6.1052356307167287E-2</v>
      </c>
      <c r="F45" s="66">
        <f>DANONE!D40</f>
        <v>-1.2424506434246278E-2</v>
      </c>
      <c r="G45" s="66">
        <f>ENGIE!D40</f>
        <v>0.13231697460881292</v>
      </c>
      <c r="H45" s="66">
        <f>'HERMES INTL'!D40</f>
        <v>4.8876634948753786E-2</v>
      </c>
      <c r="I45" s="66">
        <f>'PERNOD RICARD'!D40</f>
        <v>4.496830246304849E-2</v>
      </c>
      <c r="J45" s="66">
        <f>RENAULT!D40</f>
        <v>8.9681933331433011E-2</v>
      </c>
      <c r="K45" s="66">
        <f>SANOFI!D40</f>
        <v>3.1365749743564673E-2</v>
      </c>
      <c r="L45" s="66">
        <f>'SCHNEIDER ELECTRIC'!D40</f>
        <v>7.9619831544254283E-2</v>
      </c>
      <c r="M45" s="66">
        <f>TOTALENERGIES!D40</f>
        <v>2.3380878425927284E-2</v>
      </c>
      <c r="N45" s="66">
        <f>VINCI!D40</f>
        <v>9.9820658444086247E-2</v>
      </c>
      <c r="O45" s="66">
        <f>MARKET!D40</f>
        <v>5.3297314700000001E-2</v>
      </c>
      <c r="P45" s="92">
        <f>INTERBANK!D39</f>
        <v>1.8583333333333334E-4</v>
      </c>
      <c r="R45" s="91">
        <v>41547</v>
      </c>
      <c r="S45" s="66">
        <f t="shared" si="15"/>
        <v>7.9850880124155116E-2</v>
      </c>
      <c r="T45" s="66">
        <f t="shared" si="16"/>
        <v>5.4332937238160801E-2</v>
      </c>
      <c r="U45" s="66">
        <f t="shared" si="17"/>
        <v>6.086652297383395E-2</v>
      </c>
      <c r="V45" s="66">
        <f t="shared" si="18"/>
        <v>-1.2610339767579611E-2</v>
      </c>
      <c r="W45" s="66">
        <f t="shared" si="19"/>
        <v>0.13213114127547959</v>
      </c>
      <c r="X45" s="66">
        <f t="shared" si="20"/>
        <v>4.869080161542045E-2</v>
      </c>
      <c r="Y45" s="66">
        <f t="shared" si="21"/>
        <v>4.4782469129715154E-2</v>
      </c>
      <c r="Z45" s="66">
        <f t="shared" si="22"/>
        <v>8.9496099998099682E-2</v>
      </c>
      <c r="AA45" s="66">
        <f t="shared" si="23"/>
        <v>3.117991641023134E-2</v>
      </c>
      <c r="AB45" s="66">
        <f t="shared" si="24"/>
        <v>7.9433998210920953E-2</v>
      </c>
      <c r="AC45" s="66">
        <f t="shared" si="25"/>
        <v>2.3195045092593951E-2</v>
      </c>
      <c r="AD45" s="66">
        <f t="shared" si="26"/>
        <v>9.9634825110752917E-2</v>
      </c>
      <c r="AE45" s="66">
        <f t="shared" si="27"/>
        <v>5.3111481366666664E-2</v>
      </c>
    </row>
    <row r="46" spans="2:36" ht="16" customHeight="1" x14ac:dyDescent="0.2">
      <c r="B46" s="91">
        <v>41578</v>
      </c>
      <c r="C46" s="66">
        <f>AIRBUS!D41</f>
        <v>7.4636348323746077E-2</v>
      </c>
      <c r="D46" s="66">
        <f>BNP!D41</f>
        <v>9.0799986703551536E-2</v>
      </c>
      <c r="E46" s="66">
        <f>CAPGEMINI!D41</f>
        <v>0.10188746753511607</v>
      </c>
      <c r="F46" s="66">
        <f>DANONE!D41</f>
        <v>-1.8332216308094753E-2</v>
      </c>
      <c r="G46" s="66">
        <f>ENGIE!D41</f>
        <v>-1.2385716201718272E-2</v>
      </c>
      <c r="H46" s="66">
        <f>'HERMES INTL'!D41</f>
        <v>-5.7121248571681285E-2</v>
      </c>
      <c r="I46" s="66">
        <f>'PERNOD RICARD'!D41</f>
        <v>-3.5842784155216474E-2</v>
      </c>
      <c r="J46" s="66">
        <f>RENAULT!D41</f>
        <v>9.4688614696730677E-2</v>
      </c>
      <c r="K46" s="66">
        <f>SANOFI!D41</f>
        <v>4.7619182633090985E-2</v>
      </c>
      <c r="L46" s="66">
        <f>'SCHNEIDER ELECTRIC'!D41</f>
        <v>-7.3588066619125602E-3</v>
      </c>
      <c r="M46" s="66">
        <f>TOTALENERGIES!D41</f>
        <v>7.003231355605527E-2</v>
      </c>
      <c r="N46" s="66">
        <f>VINCI!D41</f>
        <v>9.9488155029278061E-2</v>
      </c>
      <c r="O46" s="66">
        <f>MARKET!D41</f>
        <v>3.7758528499999999E-2</v>
      </c>
      <c r="P46" s="92">
        <f>INTERBANK!D40</f>
        <v>1.8833333333333335E-4</v>
      </c>
      <c r="R46" s="91">
        <v>41578</v>
      </c>
      <c r="S46" s="66">
        <f t="shared" si="15"/>
        <v>7.4448014990412745E-2</v>
      </c>
      <c r="T46" s="66">
        <f t="shared" si="16"/>
        <v>9.0611653370218204E-2</v>
      </c>
      <c r="U46" s="66">
        <f t="shared" si="17"/>
        <v>0.10169913420178274</v>
      </c>
      <c r="V46" s="66">
        <f t="shared" si="18"/>
        <v>-1.8520549641428085E-2</v>
      </c>
      <c r="W46" s="66">
        <f t="shared" si="19"/>
        <v>-1.2574049535051606E-2</v>
      </c>
      <c r="X46" s="66">
        <f t="shared" si="20"/>
        <v>-5.7309581905014617E-2</v>
      </c>
      <c r="Y46" s="66">
        <f t="shared" si="21"/>
        <v>-3.6031117488549806E-2</v>
      </c>
      <c r="Z46" s="66">
        <f t="shared" si="22"/>
        <v>9.4500281363397345E-2</v>
      </c>
      <c r="AA46" s="66">
        <f t="shared" si="23"/>
        <v>4.7430849299757653E-2</v>
      </c>
      <c r="AB46" s="66">
        <f t="shared" si="24"/>
        <v>-7.547139995245894E-3</v>
      </c>
      <c r="AC46" s="66">
        <f t="shared" si="25"/>
        <v>6.9843980222721938E-2</v>
      </c>
      <c r="AD46" s="66">
        <f t="shared" si="26"/>
        <v>9.9299821695944729E-2</v>
      </c>
      <c r="AE46" s="66">
        <f t="shared" si="27"/>
        <v>3.7570195166666667E-2</v>
      </c>
    </row>
    <row r="47" spans="2:36" ht="16" customHeight="1" x14ac:dyDescent="0.2">
      <c r="B47" s="91">
        <v>41608</v>
      </c>
      <c r="C47" s="66">
        <f>AIRBUS!D42</f>
        <v>3.2602160087794249E-2</v>
      </c>
      <c r="D47" s="66">
        <f>BNP!D42</f>
        <v>1.3017750635237656E-2</v>
      </c>
      <c r="E47" s="66">
        <f>CAPGEMINI!D42</f>
        <v>-9.2879716630966357E-3</v>
      </c>
      <c r="F47" s="66">
        <f>DANONE!D42</f>
        <v>-2.0871563867669772E-2</v>
      </c>
      <c r="G47" s="66">
        <f>ENGIE!D42</f>
        <v>-6.9247473562257869E-2</v>
      </c>
      <c r="H47" s="66">
        <f>'HERMES INTL'!D42</f>
        <v>2.4312356036614351E-2</v>
      </c>
      <c r="I47" s="66">
        <f>'PERNOD RICARD'!D42</f>
        <v>-5.728805243603028E-2</v>
      </c>
      <c r="J47" s="66">
        <f>RENAULT!D42</f>
        <v>1.2091119937716938E-2</v>
      </c>
      <c r="K47" s="66">
        <f>SANOFI!D42</f>
        <v>-8.9126967710506048E-3</v>
      </c>
      <c r="L47" s="66">
        <f>'SCHNEIDER ELECTRIC'!D42</f>
        <v>4.1902846718487267E-3</v>
      </c>
      <c r="M47" s="66">
        <f>TOTALENERGIES!D42</f>
        <v>-1.4801428429525212E-2</v>
      </c>
      <c r="N47" s="66">
        <f>VINCI!D42</f>
        <v>1.6930948067972866E-3</v>
      </c>
      <c r="O47" s="66">
        <f>MARKET!D42</f>
        <v>-1.0884408E-3</v>
      </c>
      <c r="P47" s="92">
        <f>INTERBANK!D41</f>
        <v>1.8583333333333334E-4</v>
      </c>
      <c r="R47" s="91">
        <v>41608</v>
      </c>
      <c r="S47" s="66">
        <f t="shared" si="15"/>
        <v>3.2416326754460913E-2</v>
      </c>
      <c r="T47" s="66">
        <f t="shared" si="16"/>
        <v>1.2831917301904323E-2</v>
      </c>
      <c r="U47" s="66">
        <f t="shared" si="17"/>
        <v>-9.4738049964299687E-3</v>
      </c>
      <c r="V47" s="66">
        <f t="shared" si="18"/>
        <v>-2.1057397201003105E-2</v>
      </c>
      <c r="W47" s="66">
        <f t="shared" si="19"/>
        <v>-6.9433306895591199E-2</v>
      </c>
      <c r="X47" s="66">
        <f t="shared" si="20"/>
        <v>2.4126522703281018E-2</v>
      </c>
      <c r="Y47" s="66">
        <f t="shared" si="21"/>
        <v>-5.7473885769363617E-2</v>
      </c>
      <c r="Z47" s="66">
        <f t="shared" si="22"/>
        <v>1.1905286604383605E-2</v>
      </c>
      <c r="AA47" s="66">
        <f t="shared" si="23"/>
        <v>-9.0985301043839378E-3</v>
      </c>
      <c r="AB47" s="66">
        <f t="shared" si="24"/>
        <v>4.0044513385153937E-3</v>
      </c>
      <c r="AC47" s="66">
        <f t="shared" si="25"/>
        <v>-1.4987261762858545E-2</v>
      </c>
      <c r="AD47" s="66">
        <f t="shared" si="26"/>
        <v>1.5072614734639531E-3</v>
      </c>
      <c r="AE47" s="66">
        <f t="shared" si="27"/>
        <v>-1.2742741333333335E-3</v>
      </c>
    </row>
    <row r="48" spans="2:36" ht="16" customHeight="1" x14ac:dyDescent="0.2">
      <c r="B48" s="91">
        <v>41639</v>
      </c>
      <c r="C48" s="66">
        <f>AIRBUS!D43</f>
        <v>6.7929723205266968E-2</v>
      </c>
      <c r="D48" s="66">
        <f>BNP!D43</f>
        <v>2.5339303147722609E-2</v>
      </c>
      <c r="E48" s="66">
        <f>CAPGEMINI!D43</f>
        <v>2.3541840493999034E-2</v>
      </c>
      <c r="F48" s="66">
        <f>DANONE!D43</f>
        <v>-2.1690119742530382E-2</v>
      </c>
      <c r="G48" s="66">
        <f>ENGIE!D43</f>
        <v>4.8412772649994128E-2</v>
      </c>
      <c r="H48" s="66">
        <f>'HERMES INTL'!D43</f>
        <v>2.529191492117332E-2</v>
      </c>
      <c r="I48" s="66">
        <f>'PERNOD RICARD'!D43</f>
        <v>2.1178723764750888E-3</v>
      </c>
      <c r="J48" s="66">
        <f>RENAULT!D43</f>
        <v>-0.10476341416961199</v>
      </c>
      <c r="K48" s="66">
        <f>SANOFI!D43</f>
        <v>-9.2495383462102409E-3</v>
      </c>
      <c r="L48" s="66">
        <f>'SCHNEIDER ELECTRIC'!D43</f>
        <v>1.7493142762232485E-2</v>
      </c>
      <c r="M48" s="66">
        <f>TOTALENERGIES!D43</f>
        <v>-1.4574970018204133E-3</v>
      </c>
      <c r="N48" s="66">
        <f>VINCI!D43</f>
        <v>2.0316925474390676E-2</v>
      </c>
      <c r="O48" s="66">
        <f>MARKET!D43</f>
        <v>1.7233950000000001E-4</v>
      </c>
      <c r="P48" s="92">
        <f>INTERBANK!D42</f>
        <v>2.2833333333333334E-4</v>
      </c>
      <c r="R48" s="91">
        <v>41639</v>
      </c>
      <c r="S48" s="66">
        <f t="shared" si="15"/>
        <v>6.7701389871933637E-2</v>
      </c>
      <c r="T48" s="66">
        <f t="shared" si="16"/>
        <v>2.5110969814389275E-2</v>
      </c>
      <c r="U48" s="66">
        <f t="shared" si="17"/>
        <v>2.33135071606657E-2</v>
      </c>
      <c r="V48" s="66">
        <f t="shared" si="18"/>
        <v>-2.1918453075863716E-2</v>
      </c>
      <c r="W48" s="66">
        <f t="shared" si="19"/>
        <v>4.8184439316660797E-2</v>
      </c>
      <c r="X48" s="66">
        <f t="shared" si="20"/>
        <v>2.5063581587839986E-2</v>
      </c>
      <c r="Y48" s="66">
        <f t="shared" si="21"/>
        <v>1.8895390431417553E-3</v>
      </c>
      <c r="Z48" s="66">
        <f t="shared" si="22"/>
        <v>-0.10499174750294532</v>
      </c>
      <c r="AA48" s="66">
        <f t="shared" si="23"/>
        <v>-9.4778716795435747E-3</v>
      </c>
      <c r="AB48" s="66">
        <f t="shared" si="24"/>
        <v>1.7264809428899151E-2</v>
      </c>
      <c r="AC48" s="66">
        <f t="shared" si="25"/>
        <v>-1.6858303351537467E-3</v>
      </c>
      <c r="AD48" s="66">
        <f t="shared" si="26"/>
        <v>2.0088592141057342E-2</v>
      </c>
      <c r="AE48" s="66">
        <f t="shared" si="27"/>
        <v>-5.5993833333333333E-5</v>
      </c>
    </row>
    <row r="49" spans="2:31" ht="16" customHeight="1" x14ac:dyDescent="0.2">
      <c r="B49" s="91">
        <v>41670</v>
      </c>
      <c r="C49" s="66">
        <f>AIRBUS!D44</f>
        <v>-5.7337449447948351E-2</v>
      </c>
      <c r="D49" s="66">
        <f>BNP!D44</f>
        <v>1.4122006863213259E-2</v>
      </c>
      <c r="E49" s="66">
        <f>CAPGEMINI!D44</f>
        <v>2.9309983211504517E-2</v>
      </c>
      <c r="F49" s="66">
        <f>DANONE!D44</f>
        <v>-6.3360263409411754E-2</v>
      </c>
      <c r="G49" s="66">
        <f>ENGIE!D44</f>
        <v>-4.1532506019061576E-2</v>
      </c>
      <c r="H49" s="66">
        <f>'HERMES INTL'!D44</f>
        <v>-0.103415545412677</v>
      </c>
      <c r="I49" s="66">
        <f>'PERNOD RICARD'!D44</f>
        <v>-3.8280179182731078E-2</v>
      </c>
      <c r="J49" s="66">
        <f>RENAULT!D44</f>
        <v>0.10795554521482958</v>
      </c>
      <c r="K49" s="66">
        <f>SANOFI!D44</f>
        <v>-5.6016684919604265E-2</v>
      </c>
      <c r="L49" s="66">
        <f>'SCHNEIDER ELECTRIC'!D44</f>
        <v>-5.5362894810864288E-2</v>
      </c>
      <c r="M49" s="66">
        <f>TOTALENERGIES!D44</f>
        <v>-3.5488160104535274E-2</v>
      </c>
      <c r="N49" s="66">
        <f>VINCI!D44</f>
        <v>1.7707629844310967E-2</v>
      </c>
      <c r="O49" s="66">
        <f>MARKET!D44</f>
        <v>-3.03145927E-2</v>
      </c>
      <c r="P49" s="92">
        <f>INTERBANK!D43</f>
        <v>2.4333333333333333E-4</v>
      </c>
      <c r="R49" s="91">
        <v>41670</v>
      </c>
      <c r="S49" s="66">
        <f t="shared" si="15"/>
        <v>-5.7580782781281682E-2</v>
      </c>
      <c r="T49" s="66">
        <f t="shared" si="16"/>
        <v>1.3878673529879926E-2</v>
      </c>
      <c r="U49" s="66">
        <f t="shared" si="17"/>
        <v>2.9066649878171182E-2</v>
      </c>
      <c r="V49" s="66">
        <f t="shared" si="18"/>
        <v>-6.3603596742745086E-2</v>
      </c>
      <c r="W49" s="66">
        <f t="shared" si="19"/>
        <v>-4.1775839352394907E-2</v>
      </c>
      <c r="X49" s="66">
        <f t="shared" si="20"/>
        <v>-0.10365887874601033</v>
      </c>
      <c r="Y49" s="66">
        <f t="shared" si="21"/>
        <v>-3.8523512516064409E-2</v>
      </c>
      <c r="Z49" s="66">
        <f t="shared" si="22"/>
        <v>0.10771221188149625</v>
      </c>
      <c r="AA49" s="66">
        <f t="shared" si="23"/>
        <v>-5.6260018252937596E-2</v>
      </c>
      <c r="AB49" s="66">
        <f t="shared" si="24"/>
        <v>-5.560622814419762E-2</v>
      </c>
      <c r="AC49" s="66">
        <f t="shared" si="25"/>
        <v>-3.5731493437868606E-2</v>
      </c>
      <c r="AD49" s="66">
        <f t="shared" si="26"/>
        <v>1.7464296510977632E-2</v>
      </c>
      <c r="AE49" s="66">
        <f t="shared" si="27"/>
        <v>-3.0557926033333335E-2</v>
      </c>
    </row>
    <row r="50" spans="2:31" ht="16" customHeight="1" x14ac:dyDescent="0.2">
      <c r="B50" s="91">
        <v>41698</v>
      </c>
      <c r="C50" s="66">
        <f>AIRBUS!D45</f>
        <v>1.4826206571300614E-2</v>
      </c>
      <c r="D50" s="66">
        <f>BNP!D45</f>
        <v>3.4986811389700098E-2</v>
      </c>
      <c r="E50" s="66">
        <f>CAPGEMINI!D45</f>
        <v>0.12181109194566903</v>
      </c>
      <c r="F50" s="66">
        <f>DANONE!D45</f>
        <v>4.4383322704813738E-2</v>
      </c>
      <c r="G50" s="66">
        <f>ENGIE!D45</f>
        <v>0.13457426565187455</v>
      </c>
      <c r="H50" s="66">
        <f>'HERMES INTL'!D45</f>
        <v>-1.1640278221413338E-2</v>
      </c>
      <c r="I50" s="66">
        <f>'PERNOD RICARD'!D45</f>
        <v>7.0944221186384104E-2</v>
      </c>
      <c r="J50" s="66">
        <f>RENAULT!D45</f>
        <v>0.11504026085186782</v>
      </c>
      <c r="K50" s="66">
        <f>SANOFI!D45</f>
        <v>3.4752638046430202E-2</v>
      </c>
      <c r="L50" s="66">
        <f>'SCHNEIDER ELECTRIC'!D45</f>
        <v>8.1148816009453853E-2</v>
      </c>
      <c r="M50" s="66">
        <f>TOTALENERGIES!D45</f>
        <v>0.11077001964848072</v>
      </c>
      <c r="N50" s="66">
        <f>VINCI!D45</f>
        <v>0.11458867952089649</v>
      </c>
      <c r="O50" s="66">
        <f>MARKET!D45</f>
        <v>5.8179582600000002E-2</v>
      </c>
      <c r="P50" s="92">
        <f>INTERBANK!D44</f>
        <v>2.3999999999999998E-4</v>
      </c>
      <c r="R50" s="91">
        <v>41698</v>
      </c>
      <c r="S50" s="66">
        <f t="shared" si="15"/>
        <v>1.4586206571300614E-2</v>
      </c>
      <c r="T50" s="66">
        <f t="shared" si="16"/>
        <v>3.4746811389700101E-2</v>
      </c>
      <c r="U50" s="66">
        <f t="shared" si="17"/>
        <v>0.12157109194566902</v>
      </c>
      <c r="V50" s="66">
        <f t="shared" si="18"/>
        <v>4.4143322704813741E-2</v>
      </c>
      <c r="W50" s="66">
        <f t="shared" si="19"/>
        <v>0.13433426565187456</v>
      </c>
      <c r="X50" s="66">
        <f t="shared" si="20"/>
        <v>-1.1880278221413338E-2</v>
      </c>
      <c r="Y50" s="66">
        <f t="shared" si="21"/>
        <v>7.07042211863841E-2</v>
      </c>
      <c r="Z50" s="66">
        <f t="shared" si="22"/>
        <v>0.11480026085186781</v>
      </c>
      <c r="AA50" s="66">
        <f t="shared" si="23"/>
        <v>3.4512638046430205E-2</v>
      </c>
      <c r="AB50" s="66">
        <f t="shared" si="24"/>
        <v>8.0908816009453849E-2</v>
      </c>
      <c r="AC50" s="66">
        <f t="shared" si="25"/>
        <v>0.11053001964848072</v>
      </c>
      <c r="AD50" s="66">
        <f t="shared" si="26"/>
        <v>0.11434867952089649</v>
      </c>
      <c r="AE50" s="66">
        <f t="shared" si="27"/>
        <v>5.7939582600000004E-2</v>
      </c>
    </row>
    <row r="51" spans="2:31" ht="16" customHeight="1" x14ac:dyDescent="0.2">
      <c r="B51" s="91">
        <v>41729</v>
      </c>
      <c r="C51" s="66">
        <f>AIRBUS!D46</f>
        <v>-2.6222167539905285E-2</v>
      </c>
      <c r="D51" s="66">
        <f>BNP!D46</f>
        <v>-5.8358380576066946E-2</v>
      </c>
      <c r="E51" s="66">
        <f>CAPGEMINI!D46</f>
        <v>-3.1376665311645485E-2</v>
      </c>
      <c r="F51" s="66">
        <f>DANONE!D46</f>
        <v>2.930864306733573E-3</v>
      </c>
      <c r="G51" s="66">
        <f>ENGIE!D46</f>
        <v>6.8316105237490474E-2</v>
      </c>
      <c r="H51" s="66">
        <f>'HERMES INTL'!D46</f>
        <v>4.1197061335884154E-2</v>
      </c>
      <c r="I51" s="66">
        <f>'PERNOD RICARD'!D46</f>
        <v>-9.2627823140517974E-3</v>
      </c>
      <c r="J51" s="66">
        <f>RENAULT!D46</f>
        <v>-2.3127097791158072E-2</v>
      </c>
      <c r="K51" s="66">
        <f>SANOFI!D46</f>
        <v>4.6462850157383767E-3</v>
      </c>
      <c r="L51" s="66">
        <f>'SCHNEIDER ELECTRIC'!D46</f>
        <v>-6.1776770277038812E-3</v>
      </c>
      <c r="M51" s="66">
        <f>TOTALENERGIES!D46</f>
        <v>1.2120164047693702E-2</v>
      </c>
      <c r="N51" s="66">
        <f>VINCI!D46</f>
        <v>-4.0642381368527812E-3</v>
      </c>
      <c r="O51" s="66">
        <f>MARKET!D46</f>
        <v>-3.7612924E-3</v>
      </c>
      <c r="P51" s="92">
        <f>INTERBANK!D45</f>
        <v>2.5416666666666665E-4</v>
      </c>
      <c r="R51" s="91">
        <v>41729</v>
      </c>
      <c r="S51" s="66">
        <f t="shared" si="15"/>
        <v>-2.6476334206571951E-2</v>
      </c>
      <c r="T51" s="66">
        <f t="shared" si="16"/>
        <v>-5.8612547242733612E-2</v>
      </c>
      <c r="U51" s="66">
        <f t="shared" si="17"/>
        <v>-3.1630831978312152E-2</v>
      </c>
      <c r="V51" s="66">
        <f t="shared" si="18"/>
        <v>2.6766976400669062E-3</v>
      </c>
      <c r="W51" s="66">
        <f t="shared" si="19"/>
        <v>6.8061938570823807E-2</v>
      </c>
      <c r="X51" s="66">
        <f t="shared" si="20"/>
        <v>4.0942894669217487E-2</v>
      </c>
      <c r="Y51" s="66">
        <f t="shared" si="21"/>
        <v>-9.5169489807184638E-3</v>
      </c>
      <c r="Z51" s="66">
        <f t="shared" si="22"/>
        <v>-2.3381264457824739E-2</v>
      </c>
      <c r="AA51" s="66">
        <f t="shared" si="23"/>
        <v>4.3921183490717103E-3</v>
      </c>
      <c r="AB51" s="66">
        <f t="shared" si="24"/>
        <v>-6.4318436943705476E-3</v>
      </c>
      <c r="AC51" s="66">
        <f t="shared" si="25"/>
        <v>1.1865997381027036E-2</v>
      </c>
      <c r="AD51" s="66">
        <f t="shared" si="26"/>
        <v>-4.3184048035194477E-3</v>
      </c>
      <c r="AE51" s="66">
        <f t="shared" si="27"/>
        <v>-4.0154590666666668E-3</v>
      </c>
    </row>
    <row r="52" spans="2:31" ht="16" customHeight="1" x14ac:dyDescent="0.2">
      <c r="B52" s="91">
        <v>41759</v>
      </c>
      <c r="C52" s="66">
        <f>AIRBUS!D47</f>
        <v>-4.8086167995552348E-2</v>
      </c>
      <c r="D52" s="66">
        <f>BNP!D47</f>
        <v>-3.3577517806982767E-2</v>
      </c>
      <c r="E52" s="66">
        <f>CAPGEMINI!D47</f>
        <v>-7.3521229941036506E-2</v>
      </c>
      <c r="F52" s="66">
        <f>DANONE!D47</f>
        <v>3.5651647470470185E-2</v>
      </c>
      <c r="G52" s="66">
        <f>ENGIE!D47</f>
        <v>-8.4843788951147386E-2</v>
      </c>
      <c r="H52" s="66">
        <f>'HERMES INTL'!D47</f>
        <v>4.7806407961081036E-2</v>
      </c>
      <c r="I52" s="66">
        <f>'PERNOD RICARD'!D47</f>
        <v>2.3787043927852913E-2</v>
      </c>
      <c r="J52" s="66">
        <f>RENAULT!D47</f>
        <v>-5.5286537200312045E-3</v>
      </c>
      <c r="K52" s="66">
        <f>SANOFI!D47</f>
        <v>3.0919878048074802E-2</v>
      </c>
      <c r="L52" s="66">
        <f>'SCHNEIDER ELECTRIC'!D47</f>
        <v>4.9728379791244982E-2</v>
      </c>
      <c r="M52" s="66">
        <f>TOTALENERGIES!D47</f>
        <v>9.5096281716372133E-2</v>
      </c>
      <c r="N52" s="66">
        <f>VINCI!D47</f>
        <v>7.9762691033389791E-3</v>
      </c>
      <c r="O52" s="66">
        <f>MARKET!D47</f>
        <v>2.1835394899999999E-2</v>
      </c>
      <c r="P52" s="92">
        <f>INTERBANK!D46</f>
        <v>2.7500000000000002E-4</v>
      </c>
      <c r="R52" s="91">
        <v>41759</v>
      </c>
      <c r="S52" s="66">
        <f t="shared" si="15"/>
        <v>-4.8361167995552345E-2</v>
      </c>
      <c r="T52" s="66">
        <f t="shared" si="16"/>
        <v>-3.3852517806982764E-2</v>
      </c>
      <c r="U52" s="66">
        <f t="shared" si="17"/>
        <v>-7.3796229941036504E-2</v>
      </c>
      <c r="V52" s="66">
        <f t="shared" si="18"/>
        <v>3.5376647470470188E-2</v>
      </c>
      <c r="W52" s="66">
        <f t="shared" si="19"/>
        <v>-8.5118788951147384E-2</v>
      </c>
      <c r="X52" s="66">
        <f t="shared" si="20"/>
        <v>4.7531407961081039E-2</v>
      </c>
      <c r="Y52" s="66">
        <f t="shared" si="21"/>
        <v>2.3512043927852912E-2</v>
      </c>
      <c r="Z52" s="66">
        <f t="shared" si="22"/>
        <v>-5.8036537200312046E-3</v>
      </c>
      <c r="AA52" s="66">
        <f t="shared" si="23"/>
        <v>3.0644878048074801E-2</v>
      </c>
      <c r="AB52" s="66">
        <f t="shared" si="24"/>
        <v>4.9453379791244985E-2</v>
      </c>
      <c r="AC52" s="66">
        <f t="shared" si="25"/>
        <v>9.4821281716372136E-2</v>
      </c>
      <c r="AD52" s="66">
        <f t="shared" si="26"/>
        <v>7.701269103338979E-3</v>
      </c>
      <c r="AE52" s="66">
        <f t="shared" si="27"/>
        <v>2.1560394899999998E-2</v>
      </c>
    </row>
    <row r="53" spans="2:31" ht="16" customHeight="1" x14ac:dyDescent="0.2">
      <c r="B53" s="91">
        <v>41790</v>
      </c>
      <c r="C53" s="66">
        <f>AIRBUS!D48</f>
        <v>6.3042933519198499E-2</v>
      </c>
      <c r="D53" s="66">
        <f>BNP!D48</f>
        <v>-5.0637581289433985E-2</v>
      </c>
      <c r="E53" s="66">
        <f>CAPGEMINI!D48</f>
        <v>4.7731229308853214E-2</v>
      </c>
      <c r="F53" s="66">
        <f>DANONE!D48</f>
        <v>2.7652341344907318E-2</v>
      </c>
      <c r="G53" s="66">
        <f>ENGIE!D48</f>
        <v>0.16838568350196922</v>
      </c>
      <c r="H53" s="66">
        <f>'HERMES INTL'!D48</f>
        <v>2.7058709592460362E-2</v>
      </c>
      <c r="I53" s="66">
        <f>'PERNOD RICARD'!D48</f>
        <v>3.9764072391679742E-2</v>
      </c>
      <c r="J53" s="66">
        <f>RENAULT!D48</f>
        <v>-1.553825485854014E-2</v>
      </c>
      <c r="K53" s="66">
        <f>SANOFI!D48</f>
        <v>5.383056038304487E-3</v>
      </c>
      <c r="L53" s="66">
        <f>'SCHNEIDER ELECTRIC'!D48</f>
        <v>2.2649709687393587E-2</v>
      </c>
      <c r="M53" s="66">
        <f>TOTALENERGIES!D48</f>
        <v>0</v>
      </c>
      <c r="N53" s="66">
        <f>VINCI!D48</f>
        <v>2.2304844654159918E-2</v>
      </c>
      <c r="O53" s="66">
        <f>MARKET!D48</f>
        <v>7.1711366E-3</v>
      </c>
      <c r="P53" s="92">
        <f>INTERBANK!D47</f>
        <v>2.7083333333333332E-4</v>
      </c>
      <c r="R53" s="91">
        <v>41790</v>
      </c>
      <c r="S53" s="66">
        <f t="shared" si="15"/>
        <v>6.2772100185865168E-2</v>
      </c>
      <c r="T53" s="66">
        <f t="shared" si="16"/>
        <v>-5.0908414622767316E-2</v>
      </c>
      <c r="U53" s="66">
        <f t="shared" si="17"/>
        <v>4.7460395975519883E-2</v>
      </c>
      <c r="V53" s="66">
        <f t="shared" si="18"/>
        <v>2.7381508011573984E-2</v>
      </c>
      <c r="W53" s="66">
        <f t="shared" si="19"/>
        <v>0.16811485016863589</v>
      </c>
      <c r="X53" s="66">
        <f t="shared" si="20"/>
        <v>2.6787876259127028E-2</v>
      </c>
      <c r="Y53" s="66">
        <f t="shared" si="21"/>
        <v>3.949323905834641E-2</v>
      </c>
      <c r="Z53" s="66">
        <f t="shared" si="22"/>
        <v>-1.5809088191873474E-2</v>
      </c>
      <c r="AA53" s="66">
        <f t="shared" si="23"/>
        <v>5.112222704971154E-3</v>
      </c>
      <c r="AB53" s="66">
        <f t="shared" si="24"/>
        <v>2.2378876354060252E-2</v>
      </c>
      <c r="AC53" s="66">
        <f t="shared" si="25"/>
        <v>-2.7083333333333332E-4</v>
      </c>
      <c r="AD53" s="66">
        <f t="shared" si="26"/>
        <v>2.2034011320826583E-2</v>
      </c>
      <c r="AE53" s="66">
        <f t="shared" si="27"/>
        <v>6.900303266666667E-3</v>
      </c>
    </row>
    <row r="54" spans="2:31" ht="16" customHeight="1" x14ac:dyDescent="0.2">
      <c r="B54" s="91">
        <v>41820</v>
      </c>
      <c r="C54" s="66">
        <f>AIRBUS!D49</f>
        <v>-5.6436430902527361E-2</v>
      </c>
      <c r="D54" s="66">
        <f>BNP!D49</f>
        <v>-6.9919017080484619E-3</v>
      </c>
      <c r="E54" s="66">
        <f>CAPGEMINI!D49</f>
        <v>-1.5811079017023989E-3</v>
      </c>
      <c r="F54" s="66">
        <f>DANONE!D49</f>
        <v>2.1200818926687279E-2</v>
      </c>
      <c r="G54" s="66">
        <f>ENGIE!D49</f>
        <v>-1.8550426091321938E-2</v>
      </c>
      <c r="H54" s="66">
        <f>'HERMES INTL'!D49</f>
        <v>3.6538517754002763E-2</v>
      </c>
      <c r="I54" s="66">
        <f>'PERNOD RICARD'!D49</f>
        <v>-2.5014098369843557E-2</v>
      </c>
      <c r="J54" s="66">
        <f>RENAULT!D49</f>
        <v>-1.9204288421336278E-2</v>
      </c>
      <c r="K54" s="66">
        <f>SANOFI!D49</f>
        <v>2.5884578220714639E-2</v>
      </c>
      <c r="L54" s="66">
        <f>'SCHNEIDER ELECTRIC'!D49</f>
        <v>2.9072487947341342E-2</v>
      </c>
      <c r="M54" s="66">
        <f>TOTALENERGIES!D49</f>
        <v>2.5252387857683328E-2</v>
      </c>
      <c r="N54" s="66">
        <f>VINCI!D49</f>
        <v>5.5246580559968218E-3</v>
      </c>
      <c r="O54" s="66">
        <f>MARKET!D49</f>
        <v>-2.1402475099999999E-2</v>
      </c>
      <c r="P54" s="92">
        <f>INTERBANK!D48</f>
        <v>2.0083333333333333E-4</v>
      </c>
      <c r="R54" s="91">
        <v>41820</v>
      </c>
      <c r="S54" s="66">
        <f t="shared" si="15"/>
        <v>-5.6637264235860692E-2</v>
      </c>
      <c r="T54" s="66">
        <f t="shared" si="16"/>
        <v>-7.1927350413817951E-3</v>
      </c>
      <c r="U54" s="66">
        <f t="shared" si="17"/>
        <v>-1.7819412350357322E-3</v>
      </c>
      <c r="V54" s="66">
        <f t="shared" si="18"/>
        <v>2.0999985593353945E-2</v>
      </c>
      <c r="W54" s="66">
        <f t="shared" si="19"/>
        <v>-1.8751259424655272E-2</v>
      </c>
      <c r="X54" s="66">
        <f t="shared" si="20"/>
        <v>3.6337684420669432E-2</v>
      </c>
      <c r="Y54" s="66">
        <f t="shared" si="21"/>
        <v>-2.5214931703176891E-2</v>
      </c>
      <c r="Z54" s="66">
        <f t="shared" si="22"/>
        <v>-1.9405121754669612E-2</v>
      </c>
      <c r="AA54" s="66">
        <f t="shared" si="23"/>
        <v>2.5683744887381305E-2</v>
      </c>
      <c r="AB54" s="66">
        <f t="shared" si="24"/>
        <v>2.8871654614008008E-2</v>
      </c>
      <c r="AC54" s="66">
        <f t="shared" si="25"/>
        <v>2.5051554524349994E-2</v>
      </c>
      <c r="AD54" s="66">
        <f t="shared" si="26"/>
        <v>5.3238247226634885E-3</v>
      </c>
      <c r="AE54" s="66">
        <f t="shared" si="27"/>
        <v>-2.1603308433333333E-2</v>
      </c>
    </row>
    <row r="55" spans="2:31" ht="16" customHeight="1" x14ac:dyDescent="0.2">
      <c r="B55" s="91">
        <v>41851</v>
      </c>
      <c r="C55" s="66">
        <f>AIRBUS!D50</f>
        <v>-0.11401726813689549</v>
      </c>
      <c r="D55" s="66">
        <f>BNP!D50</f>
        <v>-9.0828725114609949E-4</v>
      </c>
      <c r="E55" s="66">
        <f>CAPGEMINI!D50</f>
        <v>4.0883145766046611E-2</v>
      </c>
      <c r="F55" s="66">
        <f>DANONE!D50</f>
        <v>-2.7655947477767139E-3</v>
      </c>
      <c r="G55" s="66">
        <f>ENGIE!D50</f>
        <v>-4.2526775447477322E-2</v>
      </c>
      <c r="H55" s="66">
        <f>'HERMES INTL'!D50</f>
        <v>-3.8046361323803367E-2</v>
      </c>
      <c r="I55" s="66">
        <f>'PERNOD RICARD'!D50</f>
        <v>-4.5609750402030538E-2</v>
      </c>
      <c r="J55" s="66">
        <f>RENAULT!D50</f>
        <v>-5.5429486299461858E-2</v>
      </c>
      <c r="K55" s="66">
        <f>SANOFI!D50</f>
        <v>1.3405429507250355E-2</v>
      </c>
      <c r="L55" s="66">
        <f>'SCHNEIDER ELECTRIC'!D50</f>
        <v>-8.0436433831088006E-2</v>
      </c>
      <c r="M55" s="66">
        <f>TOTALENERGIES!D50</f>
        <v>-7.7933644104260485E-2</v>
      </c>
      <c r="N55" s="66">
        <f>VINCI!D50</f>
        <v>-5.4578566429168508E-2</v>
      </c>
      <c r="O55" s="66">
        <f>MARKET!D50</f>
        <v>-3.9951640400000002E-2</v>
      </c>
      <c r="P55" s="92">
        <f>INTERBANK!D49</f>
        <v>1.7083333333333333E-4</v>
      </c>
      <c r="R55" s="91">
        <v>41851</v>
      </c>
      <c r="S55" s="66">
        <f t="shared" si="15"/>
        <v>-0.11418810147022881</v>
      </c>
      <c r="T55" s="66">
        <f t="shared" si="16"/>
        <v>-1.0791205844794328E-3</v>
      </c>
      <c r="U55" s="66">
        <f t="shared" si="17"/>
        <v>4.0712312432713275E-2</v>
      </c>
      <c r="V55" s="66">
        <f t="shared" si="18"/>
        <v>-2.9364280811100471E-3</v>
      </c>
      <c r="W55" s="66">
        <f t="shared" si="19"/>
        <v>-4.2697608780810657E-2</v>
      </c>
      <c r="X55" s="66">
        <f t="shared" si="20"/>
        <v>-3.8217194657136702E-2</v>
      </c>
      <c r="Y55" s="66">
        <f t="shared" si="21"/>
        <v>-4.5780583735363874E-2</v>
      </c>
      <c r="Z55" s="66">
        <f t="shared" si="22"/>
        <v>-5.5600319632795193E-2</v>
      </c>
      <c r="AA55" s="66">
        <f t="shared" si="23"/>
        <v>1.3234596173917021E-2</v>
      </c>
      <c r="AB55" s="66">
        <f t="shared" si="24"/>
        <v>-8.0607267164421334E-2</v>
      </c>
      <c r="AC55" s="66">
        <f t="shared" si="25"/>
        <v>-7.8104477437593814E-2</v>
      </c>
      <c r="AD55" s="66">
        <f t="shared" si="26"/>
        <v>-5.4749399762501844E-2</v>
      </c>
      <c r="AE55" s="66">
        <f t="shared" si="27"/>
        <v>-4.0122473733333337E-2</v>
      </c>
    </row>
    <row r="56" spans="2:31" ht="16" customHeight="1" x14ac:dyDescent="0.2">
      <c r="B56" s="91">
        <v>41882</v>
      </c>
      <c r="C56" s="66">
        <f>AIRBUS!D51</f>
        <v>7.9451351373141077E-2</v>
      </c>
      <c r="D56" s="66">
        <f>BNP!D51</f>
        <v>3.7979995628596823E-2</v>
      </c>
      <c r="E56" s="66">
        <f>CAPGEMINI!D51</f>
        <v>-2.2128092160719937E-3</v>
      </c>
      <c r="F56" s="66">
        <f>DANONE!D51</f>
        <v>-1.7563351572522482E-2</v>
      </c>
      <c r="G56" s="66">
        <f>ENGIE!D51</f>
        <v>-2.6233494741348604E-2</v>
      </c>
      <c r="H56" s="66">
        <f>'HERMES INTL'!D51</f>
        <v>1.4726022977808582E-2</v>
      </c>
      <c r="I56" s="66">
        <f>'PERNOD RICARD'!D51</f>
        <v>8.2203381356953834E-2</v>
      </c>
      <c r="J56" s="66">
        <f>RENAULT!D51</f>
        <v>-4.4733029237245869E-2</v>
      </c>
      <c r="K56" s="66">
        <f>SANOFI!D51</f>
        <v>6.2070710237686844E-2</v>
      </c>
      <c r="L56" s="66">
        <f>'SCHNEIDER ELECTRIC'!D51</f>
        <v>1.7399664030763328E-2</v>
      </c>
      <c r="M56" s="66">
        <f>TOTALENERGIES!D51</f>
        <v>4.366842466815838E-2</v>
      </c>
      <c r="N56" s="66">
        <f>VINCI!D51</f>
        <v>-3.6226318538971083E-2</v>
      </c>
      <c r="O56" s="66">
        <f>MARKET!D51</f>
        <v>3.1770007099999997E-2</v>
      </c>
      <c r="P56" s="92">
        <f>INTERBANK!D50</f>
        <v>1.6000000000000001E-4</v>
      </c>
      <c r="R56" s="91">
        <v>41882</v>
      </c>
      <c r="S56" s="66">
        <f t="shared" si="15"/>
        <v>7.9291351373141084E-2</v>
      </c>
      <c r="T56" s="66">
        <f t="shared" si="16"/>
        <v>3.7819995628596823E-2</v>
      </c>
      <c r="U56" s="66">
        <f t="shared" si="17"/>
        <v>-2.3728092160719937E-3</v>
      </c>
      <c r="V56" s="66">
        <f t="shared" si="18"/>
        <v>-1.7723351572522483E-2</v>
      </c>
      <c r="W56" s="66">
        <f t="shared" si="19"/>
        <v>-2.6393494741348604E-2</v>
      </c>
      <c r="X56" s="66">
        <f t="shared" si="20"/>
        <v>1.4566022977808582E-2</v>
      </c>
      <c r="Y56" s="66">
        <f t="shared" si="21"/>
        <v>8.204338135695384E-2</v>
      </c>
      <c r="Z56" s="66">
        <f t="shared" si="22"/>
        <v>-4.489302923724587E-2</v>
      </c>
      <c r="AA56" s="66">
        <f t="shared" si="23"/>
        <v>6.1910710237686843E-2</v>
      </c>
      <c r="AB56" s="66">
        <f t="shared" si="24"/>
        <v>1.7239664030763328E-2</v>
      </c>
      <c r="AC56" s="66">
        <f t="shared" si="25"/>
        <v>4.350842466815838E-2</v>
      </c>
      <c r="AD56" s="66">
        <f t="shared" si="26"/>
        <v>-3.6386318538971084E-2</v>
      </c>
      <c r="AE56" s="66">
        <f t="shared" si="27"/>
        <v>3.1610007099999997E-2</v>
      </c>
    </row>
    <row r="57" spans="2:31" ht="16" customHeight="1" x14ac:dyDescent="0.2">
      <c r="B57" s="91">
        <v>41912</v>
      </c>
      <c r="C57" s="66">
        <f>AIRBUS!D52</f>
        <v>6.4416119340788044E-2</v>
      </c>
      <c r="D57" s="66">
        <f>BNP!D52</f>
        <v>2.2187465489492394E-2</v>
      </c>
      <c r="E57" s="66">
        <f>CAPGEMINI!D52</f>
        <v>5.0268186627354487E-2</v>
      </c>
      <c r="F57" s="66">
        <f>DANONE!D52</f>
        <v>-2.6344262311520507E-3</v>
      </c>
      <c r="G57" s="66">
        <f>ENGIE!D52</f>
        <v>5.948233364754054E-2</v>
      </c>
      <c r="H57" s="66">
        <f>'HERMES INTL'!D52</f>
        <v>-9.5856470785421491E-2</v>
      </c>
      <c r="I57" s="66">
        <f>'PERNOD RICARD'!D52</f>
        <v>-1.1143674486429902E-3</v>
      </c>
      <c r="J57" s="66">
        <f>RENAULT!D52</f>
        <v>-3.7428635003465993E-2</v>
      </c>
      <c r="K57" s="66">
        <f>SANOFI!D52</f>
        <v>7.257490602628773E-2</v>
      </c>
      <c r="L57" s="66">
        <f>'SCHNEIDER ELECTRIC'!D52</f>
        <v>-5.4726462830714799E-2</v>
      </c>
      <c r="M57" s="66">
        <f>TOTALENERGIES!D52</f>
        <v>2.510447418762814E-2</v>
      </c>
      <c r="N57" s="66">
        <f>VINCI!D52</f>
        <v>-7.5276319183781387E-2</v>
      </c>
      <c r="O57" s="66">
        <f>MARKET!D52</f>
        <v>8.0346663999999995E-3</v>
      </c>
      <c r="P57" s="92">
        <f>INTERBANK!D51</f>
        <v>8.0833333333333338E-5</v>
      </c>
      <c r="R57" s="91">
        <v>41912</v>
      </c>
      <c r="S57" s="66">
        <f t="shared" si="15"/>
        <v>6.4335286007454709E-2</v>
      </c>
      <c r="T57" s="66">
        <f t="shared" si="16"/>
        <v>2.2106632156159062E-2</v>
      </c>
      <c r="U57" s="66">
        <f t="shared" si="17"/>
        <v>5.0187353294021152E-2</v>
      </c>
      <c r="V57" s="66">
        <f t="shared" si="18"/>
        <v>-2.715259564485384E-3</v>
      </c>
      <c r="W57" s="66">
        <f t="shared" si="19"/>
        <v>5.9401500314207205E-2</v>
      </c>
      <c r="X57" s="66">
        <f t="shared" si="20"/>
        <v>-9.5937304118754826E-2</v>
      </c>
      <c r="Y57" s="66">
        <f t="shared" si="21"/>
        <v>-1.1952007819763235E-3</v>
      </c>
      <c r="Z57" s="66">
        <f t="shared" si="22"/>
        <v>-3.7509468336799329E-2</v>
      </c>
      <c r="AA57" s="66">
        <f t="shared" si="23"/>
        <v>7.2494072692954395E-2</v>
      </c>
      <c r="AB57" s="66">
        <f t="shared" si="24"/>
        <v>-5.4807296164048135E-2</v>
      </c>
      <c r="AC57" s="66">
        <f t="shared" si="25"/>
        <v>2.5023640854294808E-2</v>
      </c>
      <c r="AD57" s="66">
        <f t="shared" si="26"/>
        <v>-7.5357152517114723E-2</v>
      </c>
      <c r="AE57" s="66">
        <f t="shared" si="27"/>
        <v>7.9538330666666657E-3</v>
      </c>
    </row>
    <row r="58" spans="2:31" ht="16" customHeight="1" x14ac:dyDescent="0.2">
      <c r="B58" s="91">
        <v>41943</v>
      </c>
      <c r="C58" s="66">
        <f>AIRBUS!D53</f>
        <v>-4.4560504933597284E-2</v>
      </c>
      <c r="D58" s="66">
        <f>BNP!D53</f>
        <v>-4.5315977202190647E-2</v>
      </c>
      <c r="E58" s="66">
        <f>CAPGEMINI!D53</f>
        <v>-7.689626940117103E-2</v>
      </c>
      <c r="F58" s="66">
        <f>DANONE!D53</f>
        <v>2.3018815643770927E-2</v>
      </c>
      <c r="G58" s="66">
        <f>ENGIE!D53</f>
        <v>-2.5428025958239616E-2</v>
      </c>
      <c r="H58" s="66">
        <f>'HERMES INTL'!D53</f>
        <v>4.3716909271895275E-2</v>
      </c>
      <c r="I58" s="66">
        <f>'PERNOD RICARD'!D53</f>
        <v>1.3275135571938579E-2</v>
      </c>
      <c r="J58" s="66">
        <f>RENAULT!D53</f>
        <v>3.2781290757974597E-2</v>
      </c>
      <c r="K58" s="66">
        <f>SANOFI!D53</f>
        <v>-0.17753467991860941</v>
      </c>
      <c r="L58" s="66">
        <f>'SCHNEIDER ELECTRIC'!D53</f>
        <v>3.4210547330825028E-2</v>
      </c>
      <c r="M58" s="66">
        <f>TOTALENERGIES!D53</f>
        <v>-6.6975216035861526E-2</v>
      </c>
      <c r="N58" s="66">
        <f>VINCI!D53</f>
        <v>-1.1520540248201087E-2</v>
      </c>
      <c r="O58" s="66">
        <f>MARKET!D53</f>
        <v>-4.1472017100000001E-2</v>
      </c>
      <c r="P58" s="92">
        <f>INTERBANK!D52</f>
        <v>6.9166666666666676E-5</v>
      </c>
      <c r="R58" s="91">
        <v>41943</v>
      </c>
      <c r="S58" s="66">
        <f t="shared" si="15"/>
        <v>-4.4629671600263952E-2</v>
      </c>
      <c r="T58" s="66">
        <f t="shared" si="16"/>
        <v>-4.5385143868857315E-2</v>
      </c>
      <c r="U58" s="66">
        <f t="shared" si="17"/>
        <v>-7.6965436067837692E-2</v>
      </c>
      <c r="V58" s="66">
        <f t="shared" si="18"/>
        <v>2.2949648977104262E-2</v>
      </c>
      <c r="W58" s="66">
        <f t="shared" si="19"/>
        <v>-2.5497192624906281E-2</v>
      </c>
      <c r="X58" s="66">
        <f t="shared" si="20"/>
        <v>4.3647742605228607E-2</v>
      </c>
      <c r="Y58" s="66">
        <f t="shared" si="21"/>
        <v>1.3205968905271911E-2</v>
      </c>
      <c r="Z58" s="66">
        <f t="shared" si="22"/>
        <v>3.2712124091307929E-2</v>
      </c>
      <c r="AA58" s="66">
        <f t="shared" si="23"/>
        <v>-0.17760384658527609</v>
      </c>
      <c r="AB58" s="66">
        <f t="shared" si="24"/>
        <v>3.4141380664158359E-2</v>
      </c>
      <c r="AC58" s="66">
        <f t="shared" si="25"/>
        <v>-6.7044382702528188E-2</v>
      </c>
      <c r="AD58" s="66">
        <f t="shared" si="26"/>
        <v>-1.1589706914867754E-2</v>
      </c>
      <c r="AE58" s="66">
        <f t="shared" si="27"/>
        <v>-4.154118376666667E-2</v>
      </c>
    </row>
    <row r="59" spans="2:31" ht="16" customHeight="1" x14ac:dyDescent="0.2">
      <c r="B59" s="91">
        <v>41973</v>
      </c>
      <c r="C59" s="66">
        <f>AIRBUS!D54</f>
        <v>2.9306774602389719E-2</v>
      </c>
      <c r="D59" s="66">
        <f>BNP!D54</f>
        <v>2.8320640090445139E-2</v>
      </c>
      <c r="E59" s="66">
        <f>CAPGEMINI!D54</f>
        <v>0.1233322421540055</v>
      </c>
      <c r="F59" s="66">
        <f>DANONE!D54</f>
        <v>4.666175278248634E-2</v>
      </c>
      <c r="G59" s="66">
        <f>ENGIE!D54</f>
        <v>5.2196608319775795E-2</v>
      </c>
      <c r="H59" s="66">
        <f>'HERMES INTL'!D54</f>
        <v>8.9639941767023876E-2</v>
      </c>
      <c r="I59" s="66">
        <f>'PERNOD RICARD'!D54</f>
        <v>4.9323428389535649E-2</v>
      </c>
      <c r="J59" s="66">
        <f>RENAULT!D54</f>
        <v>8.9312655278336581E-2</v>
      </c>
      <c r="K59" s="66">
        <f>SANOFI!D54</f>
        <v>5.7018795092845617E-2</v>
      </c>
      <c r="L59" s="66">
        <f>'SCHNEIDER ELECTRIC'!D54</f>
        <v>4.3257035522934743E-2</v>
      </c>
      <c r="M59" s="66">
        <f>TOTALENERGIES!D54</f>
        <v>-5.1244048385268644E-2</v>
      </c>
      <c r="N59" s="66">
        <f>VINCI!D54</f>
        <v>-4.398028248921098E-2</v>
      </c>
      <c r="O59" s="66">
        <f>MARKET!D54</f>
        <v>3.7110086899999999E-2</v>
      </c>
      <c r="P59" s="92">
        <f>INTERBANK!D53</f>
        <v>6.7500000000000001E-5</v>
      </c>
      <c r="R59" s="91">
        <v>41973</v>
      </c>
      <c r="S59" s="66">
        <f t="shared" ref="S59:S90" si="28">C59-$P59</f>
        <v>2.9239274602389717E-2</v>
      </c>
      <c r="T59" s="66">
        <f t="shared" ref="T59:T90" si="29">D59-$P59</f>
        <v>2.8253140090445137E-2</v>
      </c>
      <c r="U59" s="66">
        <f t="shared" ref="U59:U90" si="30">E59-$P59</f>
        <v>0.1232647421540055</v>
      </c>
      <c r="V59" s="66">
        <f t="shared" ref="V59:V90" si="31">F59-$P59</f>
        <v>4.6594252782486342E-2</v>
      </c>
      <c r="W59" s="66">
        <f t="shared" ref="W59:W90" si="32">G59-$P59</f>
        <v>5.2129108319775797E-2</v>
      </c>
      <c r="X59" s="66">
        <f t="shared" ref="X59:X90" si="33">H59-$P59</f>
        <v>8.9572441767023878E-2</v>
      </c>
      <c r="Y59" s="66">
        <f t="shared" ref="Y59:Y90" si="34">I59-$P59</f>
        <v>4.9255928389535651E-2</v>
      </c>
      <c r="Z59" s="66">
        <f t="shared" ref="Z59:Z90" si="35">J59-$P59</f>
        <v>8.9245155278336583E-2</v>
      </c>
      <c r="AA59" s="66">
        <f t="shared" ref="AA59:AA90" si="36">K59-$P59</f>
        <v>5.6951295092845619E-2</v>
      </c>
      <c r="AB59" s="66">
        <f t="shared" ref="AB59:AB90" si="37">L59-$P59</f>
        <v>4.3189535522934745E-2</v>
      </c>
      <c r="AC59" s="66">
        <f t="shared" ref="AC59:AC90" si="38">M59-$P59</f>
        <v>-5.1311548385268642E-2</v>
      </c>
      <c r="AD59" s="66">
        <f t="shared" ref="AD59:AD90" si="39">N59-$P59</f>
        <v>-4.4047782489210978E-2</v>
      </c>
      <c r="AE59" s="66">
        <f t="shared" ref="AE59:AE90" si="40">O59-$P59</f>
        <v>3.70425869E-2</v>
      </c>
    </row>
    <row r="60" spans="2:31" ht="16" customHeight="1" x14ac:dyDescent="0.2">
      <c r="B60" s="91">
        <v>42004</v>
      </c>
      <c r="C60" s="66">
        <f>AIRBUS!D55</f>
        <v>-0.15603641844383176</v>
      </c>
      <c r="D60" s="66">
        <f>BNP!D55</f>
        <v>-4.4608185780386049E-2</v>
      </c>
      <c r="E60" s="66">
        <f>CAPGEMINI!D55</f>
        <v>9.3329755935649614E-3</v>
      </c>
      <c r="F60" s="66">
        <f>DANONE!D55</f>
        <v>-4.0528748939558122E-2</v>
      </c>
      <c r="G60" s="66">
        <f>ENGIE!D55</f>
        <v>-1.9429704859015677E-2</v>
      </c>
      <c r="H60" s="66">
        <f>'HERMES INTL'!D55</f>
        <v>9.4892990565379198E-2</v>
      </c>
      <c r="I60" s="66">
        <f>'PERNOD RICARD'!D55</f>
        <v>-2.3255378391539606E-2</v>
      </c>
      <c r="J60" s="66">
        <f>RENAULT!D55</f>
        <v>-6.1841283123796567E-2</v>
      </c>
      <c r="K60" s="66">
        <f>SANOFI!D55</f>
        <v>-2.8255739628062267E-2</v>
      </c>
      <c r="L60" s="66">
        <f>'SCHNEIDER ELECTRIC'!D55</f>
        <v>-7.6067041814476169E-2</v>
      </c>
      <c r="M60" s="66">
        <f>TOTALENERGIES!D55</f>
        <v>-5.4901051804429266E-2</v>
      </c>
      <c r="N60" s="66">
        <f>VINCI!D55</f>
        <v>6.9914444830676353E-2</v>
      </c>
      <c r="O60" s="66">
        <f>MARKET!D55</f>
        <v>-2.6748372699999998E-2</v>
      </c>
      <c r="P60" s="92">
        <f>INTERBANK!D54</f>
        <v>6.7500000000000001E-5</v>
      </c>
      <c r="R60" s="91">
        <v>42004</v>
      </c>
      <c r="S60" s="66">
        <f t="shared" si="28"/>
        <v>-0.15610391844383176</v>
      </c>
      <c r="T60" s="66">
        <f t="shared" si="29"/>
        <v>-4.4675685780386047E-2</v>
      </c>
      <c r="U60" s="66">
        <f t="shared" si="30"/>
        <v>9.2654755935649615E-3</v>
      </c>
      <c r="V60" s="66">
        <f t="shared" si="31"/>
        <v>-4.059624893955812E-2</v>
      </c>
      <c r="W60" s="66">
        <f t="shared" si="32"/>
        <v>-1.9497204859015679E-2</v>
      </c>
      <c r="X60" s="66">
        <f t="shared" si="33"/>
        <v>9.48254905653792E-2</v>
      </c>
      <c r="Y60" s="66">
        <f t="shared" si="34"/>
        <v>-2.3322878391539608E-2</v>
      </c>
      <c r="Z60" s="66">
        <f t="shared" si="35"/>
        <v>-6.1908783123796565E-2</v>
      </c>
      <c r="AA60" s="66">
        <f t="shared" si="36"/>
        <v>-2.8323239628062269E-2</v>
      </c>
      <c r="AB60" s="66">
        <f t="shared" si="37"/>
        <v>-7.6134541814476167E-2</v>
      </c>
      <c r="AC60" s="66">
        <f t="shared" si="38"/>
        <v>-5.4968551804429264E-2</v>
      </c>
      <c r="AD60" s="66">
        <f t="shared" si="39"/>
        <v>6.9846944830676355E-2</v>
      </c>
      <c r="AE60" s="66">
        <f t="shared" si="40"/>
        <v>-2.68158727E-2</v>
      </c>
    </row>
    <row r="61" spans="2:31" ht="16" customHeight="1" x14ac:dyDescent="0.2">
      <c r="B61" s="91">
        <v>42035</v>
      </c>
      <c r="C61" s="66">
        <f>AIRBUS!D56</f>
        <v>0.14147539993923897</v>
      </c>
      <c r="D61" s="66">
        <f>BNP!D56</f>
        <v>-5.0446674851498556E-2</v>
      </c>
      <c r="E61" s="66">
        <f>CAPGEMINI!D56</f>
        <v>8.5575012430724504E-2</v>
      </c>
      <c r="F61" s="66">
        <f>DANONE!D56</f>
        <v>9.4031244776585962E-2</v>
      </c>
      <c r="G61" s="66">
        <f>ENGIE!D56</f>
        <v>1.5182702590428237E-2</v>
      </c>
      <c r="H61" s="66">
        <f>'HERMES INTL'!D56</f>
        <v>1.9165668653886643E-2</v>
      </c>
      <c r="I61" s="66">
        <f>'PERNOD RICARD'!D56</f>
        <v>0.1554302224320657</v>
      </c>
      <c r="J61" s="66">
        <f>RENAULT!D56</f>
        <v>0.12687923786150015</v>
      </c>
      <c r="K61" s="66">
        <f>SANOFI!D56</f>
        <v>8.3795678709393515E-2</v>
      </c>
      <c r="L61" s="66">
        <f>'SCHNEIDER ELECTRIC'!D56</f>
        <v>0.10542801501547699</v>
      </c>
      <c r="M61" s="66">
        <f>TOTALENERGIES!D56</f>
        <v>8.6191993696453431E-2</v>
      </c>
      <c r="N61" s="66">
        <f>VINCI!D56</f>
        <v>2.9224440460903622E-2</v>
      </c>
      <c r="O61" s="66">
        <f>MARKET!D56</f>
        <v>7.7584693699999999E-2</v>
      </c>
      <c r="P61" s="92">
        <f>INTERBANK!D55</f>
        <v>5.2500000000000002E-5</v>
      </c>
      <c r="R61" s="91">
        <v>42035</v>
      </c>
      <c r="S61" s="66">
        <f t="shared" si="28"/>
        <v>0.14142289993923896</v>
      </c>
      <c r="T61" s="66">
        <f t="shared" si="29"/>
        <v>-5.0499174851498553E-2</v>
      </c>
      <c r="U61" s="66">
        <f t="shared" si="30"/>
        <v>8.5522512430724507E-2</v>
      </c>
      <c r="V61" s="66">
        <f t="shared" si="31"/>
        <v>9.3978744776585965E-2</v>
      </c>
      <c r="W61" s="66">
        <f t="shared" si="32"/>
        <v>1.5130202590428236E-2</v>
      </c>
      <c r="X61" s="66">
        <f t="shared" si="33"/>
        <v>1.9113168653886643E-2</v>
      </c>
      <c r="Y61" s="66">
        <f t="shared" si="34"/>
        <v>0.15537772243206568</v>
      </c>
      <c r="Z61" s="66">
        <f t="shared" si="35"/>
        <v>0.12682673786150014</v>
      </c>
      <c r="AA61" s="66">
        <f t="shared" si="36"/>
        <v>8.3743178709393518E-2</v>
      </c>
      <c r="AB61" s="66">
        <f t="shared" si="37"/>
        <v>0.105375515015477</v>
      </c>
      <c r="AC61" s="66">
        <f t="shared" si="38"/>
        <v>8.6139493696453434E-2</v>
      </c>
      <c r="AD61" s="66">
        <f t="shared" si="39"/>
        <v>2.9171940460903621E-2</v>
      </c>
      <c r="AE61" s="66">
        <f t="shared" si="40"/>
        <v>7.7532193700000002E-2</v>
      </c>
    </row>
    <row r="62" spans="2:31" ht="16" customHeight="1" x14ac:dyDescent="0.2">
      <c r="B62" s="91">
        <v>42063</v>
      </c>
      <c r="C62" s="66">
        <f>AIRBUS!D57</f>
        <v>0.17224574446579444</v>
      </c>
      <c r="D62" s="66">
        <f>BNP!D57</f>
        <v>0.1136287619953809</v>
      </c>
      <c r="E62" s="66">
        <f>CAPGEMINI!D57</f>
        <v>0.11925038598748014</v>
      </c>
      <c r="F62" s="66">
        <f>DANONE!D57</f>
        <v>4.6332128185204421E-2</v>
      </c>
      <c r="G62" s="66">
        <f>ENGIE!D57</f>
        <v>7.6044394392007601E-3</v>
      </c>
      <c r="H62" s="66">
        <f>'HERMES INTL'!D57</f>
        <v>-4.0272628145139072E-2</v>
      </c>
      <c r="I62" s="66">
        <f>'PERNOD RICARD'!D57</f>
        <v>-6.0974868781190532E-3</v>
      </c>
      <c r="J62" s="66">
        <f>RENAULT!D57</f>
        <v>0.25861312043965995</v>
      </c>
      <c r="K62" s="66">
        <f>SANOFI!D57</f>
        <v>6.9512278454683538E-2</v>
      </c>
      <c r="L62" s="66">
        <f>'SCHNEIDER ELECTRIC'!D57</f>
        <v>7.4328576580008465E-2</v>
      </c>
      <c r="M62" s="66">
        <f>TOTALENERGIES!D57</f>
        <v>6.0109941352369078E-2</v>
      </c>
      <c r="N62" s="66">
        <f>VINCI!D57</f>
        <v>0.1319386375868688</v>
      </c>
      <c r="O62" s="66">
        <f>MARKET!D57</f>
        <v>7.5415101400000004E-2</v>
      </c>
      <c r="P62" s="92">
        <f>INTERBANK!D56</f>
        <v>4.0000000000000003E-5</v>
      </c>
      <c r="R62" s="91">
        <v>42063</v>
      </c>
      <c r="S62" s="66">
        <f t="shared" si="28"/>
        <v>0.17220574446579442</v>
      </c>
      <c r="T62" s="66">
        <f t="shared" si="29"/>
        <v>0.1135887619953809</v>
      </c>
      <c r="U62" s="66">
        <f t="shared" si="30"/>
        <v>0.11921038598748014</v>
      </c>
      <c r="V62" s="66">
        <f t="shared" si="31"/>
        <v>4.6292128185204423E-2</v>
      </c>
      <c r="W62" s="66">
        <f t="shared" si="32"/>
        <v>7.56443943920076E-3</v>
      </c>
      <c r="X62" s="66">
        <f t="shared" si="33"/>
        <v>-4.0312628145139071E-2</v>
      </c>
      <c r="Y62" s="66">
        <f t="shared" si="34"/>
        <v>-6.1374868781190533E-3</v>
      </c>
      <c r="Z62" s="66">
        <f t="shared" si="35"/>
        <v>0.25857312043965996</v>
      </c>
      <c r="AA62" s="66">
        <f t="shared" si="36"/>
        <v>6.9472278454683539E-2</v>
      </c>
      <c r="AB62" s="66">
        <f t="shared" si="37"/>
        <v>7.4288576580008467E-2</v>
      </c>
      <c r="AC62" s="66">
        <f t="shared" si="38"/>
        <v>6.006994135236908E-2</v>
      </c>
      <c r="AD62" s="66">
        <f t="shared" si="39"/>
        <v>0.13189863758686879</v>
      </c>
      <c r="AE62" s="66">
        <f t="shared" si="40"/>
        <v>7.5375101400000005E-2</v>
      </c>
    </row>
    <row r="63" spans="2:31" ht="16" customHeight="1" x14ac:dyDescent="0.2">
      <c r="B63" s="91">
        <v>42094</v>
      </c>
      <c r="C63" s="66">
        <f>AIRBUS!D58</f>
        <v>9.2354897899822097E-2</v>
      </c>
      <c r="D63" s="66">
        <f>BNP!D58</f>
        <v>8.6005195464224679E-2</v>
      </c>
      <c r="E63" s="66">
        <f>CAPGEMINI!D58</f>
        <v>5.6731713988727728E-2</v>
      </c>
      <c r="F63" s="66">
        <f>DANONE!D58</f>
        <v>4.6525580734103371E-3</v>
      </c>
      <c r="G63" s="66">
        <f>ENGIE!D58</f>
        <v>-7.3962108441910493E-2</v>
      </c>
      <c r="H63" s="66">
        <f>'HERMES INTL'!D58</f>
        <v>0.13889373212313164</v>
      </c>
      <c r="I63" s="66">
        <f>'PERNOD RICARD'!D58</f>
        <v>3.9641269680508129E-2</v>
      </c>
      <c r="J63" s="66">
        <f>RENAULT!D58</f>
        <v>-1.2580080857740577E-2</v>
      </c>
      <c r="K63" s="66">
        <f>SANOFI!D58</f>
        <v>4.8232609720454317E-2</v>
      </c>
      <c r="L63" s="66">
        <f>'SCHNEIDER ELECTRIC'!D58</f>
        <v>5.1401078850698669E-3</v>
      </c>
      <c r="M63" s="66">
        <f>TOTALENERGIES!D58</f>
        <v>-4.0634548119179471E-2</v>
      </c>
      <c r="N63" s="66">
        <f>VINCI!D58</f>
        <v>3.9605997557971839E-3</v>
      </c>
      <c r="O63" s="66">
        <f>MARKET!D58</f>
        <v>1.6593050299999999E-2</v>
      </c>
      <c r="P63" s="92">
        <f>INTERBANK!D57</f>
        <v>2.2500000000000001E-5</v>
      </c>
      <c r="R63" s="91">
        <v>42094</v>
      </c>
      <c r="S63" s="66">
        <f t="shared" si="28"/>
        <v>9.2332397899822102E-2</v>
      </c>
      <c r="T63" s="66">
        <f t="shared" si="29"/>
        <v>8.5982695464224684E-2</v>
      </c>
      <c r="U63" s="66">
        <f t="shared" si="30"/>
        <v>5.6709213988727726E-2</v>
      </c>
      <c r="V63" s="66">
        <f t="shared" si="31"/>
        <v>4.6300580734103371E-3</v>
      </c>
      <c r="W63" s="66">
        <f t="shared" si="32"/>
        <v>-7.3984608441910488E-2</v>
      </c>
      <c r="X63" s="66">
        <f t="shared" si="33"/>
        <v>0.13887123212313163</v>
      </c>
      <c r="Y63" s="66">
        <f t="shared" si="34"/>
        <v>3.9618769680508127E-2</v>
      </c>
      <c r="Z63" s="66">
        <f t="shared" si="35"/>
        <v>-1.2602580857740577E-2</v>
      </c>
      <c r="AA63" s="66">
        <f t="shared" si="36"/>
        <v>4.8210109720454315E-2</v>
      </c>
      <c r="AB63" s="66">
        <f t="shared" si="37"/>
        <v>5.1176078850698669E-3</v>
      </c>
      <c r="AC63" s="66">
        <f t="shared" si="38"/>
        <v>-4.0657048119179473E-2</v>
      </c>
      <c r="AD63" s="66">
        <f t="shared" si="39"/>
        <v>3.938099755797184E-3</v>
      </c>
      <c r="AE63" s="66">
        <f t="shared" si="40"/>
        <v>1.6570550299999997E-2</v>
      </c>
    </row>
    <row r="64" spans="2:31" ht="16" customHeight="1" x14ac:dyDescent="0.2">
      <c r="B64" s="91">
        <v>42124</v>
      </c>
      <c r="C64" s="66">
        <f>AIRBUS!D59</f>
        <v>2.5810827525025677E-2</v>
      </c>
      <c r="D64" s="66">
        <f>BNP!D59</f>
        <v>-2.2979588250809655E-3</v>
      </c>
      <c r="E64" s="66">
        <f>CAPGEMINI!D59</f>
        <v>4.0984702742204344E-2</v>
      </c>
      <c r="F64" s="66">
        <f>DANONE!D59</f>
        <v>3.0182077518861237E-2</v>
      </c>
      <c r="G64" s="66">
        <f>ENGIE!D59</f>
        <v>-1.08666769891879E-2</v>
      </c>
      <c r="H64" s="66">
        <f>'HERMES INTL'!D59</f>
        <v>3.1723387099207155E-2</v>
      </c>
      <c r="I64" s="66">
        <f>'PERNOD RICARD'!D59</f>
        <v>7.7168045844980878E-3</v>
      </c>
      <c r="J64" s="66">
        <f>RENAULT!D59</f>
        <v>0.11006253955011851</v>
      </c>
      <c r="K64" s="66">
        <f>SANOFI!D59</f>
        <v>-7.9407302068169577E-3</v>
      </c>
      <c r="L64" s="66">
        <f>'SCHNEIDER ELECTRIC'!D59</f>
        <v>-7.6157532346215237E-2</v>
      </c>
      <c r="M64" s="66">
        <f>TOTALENERGIES!D59</f>
        <v>6.1349350952737462E-2</v>
      </c>
      <c r="N64" s="66">
        <f>VINCI!D59</f>
        <v>2.9870500336847693E-2</v>
      </c>
      <c r="O64" s="66">
        <f>MARKET!D59</f>
        <v>2.5528438999999998E-3</v>
      </c>
      <c r="P64" s="92">
        <f>INTERBANK!D58</f>
        <v>4.1666666666666669E-6</v>
      </c>
      <c r="R64" s="91">
        <v>42124</v>
      </c>
      <c r="S64" s="66">
        <f t="shared" si="28"/>
        <v>2.5806660858359011E-2</v>
      </c>
      <c r="T64" s="66">
        <f t="shared" si="29"/>
        <v>-2.3021254917476321E-3</v>
      </c>
      <c r="U64" s="66">
        <f t="shared" si="30"/>
        <v>4.0980536075537678E-2</v>
      </c>
      <c r="V64" s="66">
        <f t="shared" si="31"/>
        <v>3.0177910852194571E-2</v>
      </c>
      <c r="W64" s="66">
        <f t="shared" si="32"/>
        <v>-1.0870843655854567E-2</v>
      </c>
      <c r="X64" s="66">
        <f t="shared" si="33"/>
        <v>3.1719220432540489E-2</v>
      </c>
      <c r="Y64" s="66">
        <f t="shared" si="34"/>
        <v>7.7126379178314207E-3</v>
      </c>
      <c r="Z64" s="66">
        <f t="shared" si="35"/>
        <v>0.11005837288345184</v>
      </c>
      <c r="AA64" s="66">
        <f t="shared" si="36"/>
        <v>-7.9448968734836239E-3</v>
      </c>
      <c r="AB64" s="66">
        <f t="shared" si="37"/>
        <v>-7.6161699012881903E-2</v>
      </c>
      <c r="AC64" s="66">
        <f t="shared" si="38"/>
        <v>6.1345184286070796E-2</v>
      </c>
      <c r="AD64" s="66">
        <f t="shared" si="39"/>
        <v>2.9866333670181027E-2</v>
      </c>
      <c r="AE64" s="66">
        <f t="shared" si="40"/>
        <v>2.5486772333333332E-3</v>
      </c>
    </row>
    <row r="65" spans="2:31" ht="16" customHeight="1" x14ac:dyDescent="0.2">
      <c r="B65" s="91">
        <v>42155</v>
      </c>
      <c r="C65" s="66">
        <f>AIRBUS!D60</f>
        <v>0</v>
      </c>
      <c r="D65" s="66">
        <f>BNP!D60</f>
        <v>-2.6754122231896757E-2</v>
      </c>
      <c r="E65" s="66">
        <f>CAPGEMINI!D60</f>
        <v>-6.037768472043065E-3</v>
      </c>
      <c r="F65" s="66">
        <f>DANONE!D60</f>
        <v>-3.0692863866611162E-2</v>
      </c>
      <c r="G65" s="66">
        <f>ENGIE!D60</f>
        <v>3.701386158492246E-2</v>
      </c>
      <c r="H65" s="66">
        <f>'HERMES INTL'!D60</f>
        <v>5.518479338829687E-2</v>
      </c>
      <c r="I65" s="66">
        <f>'PERNOD RICARD'!D60</f>
        <v>1.3964021201254829E-2</v>
      </c>
      <c r="J65" s="66">
        <f>RENAULT!D60</f>
        <v>4.5696054732695503E-3</v>
      </c>
      <c r="K65" s="66">
        <f>SANOFI!D60</f>
        <v>-2.2478164223122207E-2</v>
      </c>
      <c r="L65" s="66">
        <f>'SCHNEIDER ELECTRIC'!D60</f>
        <v>5.9439049264565585E-2</v>
      </c>
      <c r="M65" s="66">
        <f>TOTALENERGIES!D60</f>
        <v>-5.1768658888080625E-2</v>
      </c>
      <c r="N65" s="66">
        <f>VINCI!D60</f>
        <v>8.1981865885514451E-3</v>
      </c>
      <c r="O65" s="66">
        <f>MARKET!D60</f>
        <v>-7.6488996999999996E-3</v>
      </c>
      <c r="P65" s="92">
        <f>INTERBANK!D59</f>
        <v>-8.3333333333333337E-6</v>
      </c>
      <c r="R65" s="91">
        <v>42155</v>
      </c>
      <c r="S65" s="66">
        <f t="shared" si="28"/>
        <v>8.3333333333333337E-6</v>
      </c>
      <c r="T65" s="66">
        <f t="shared" si="29"/>
        <v>-2.6745788898563425E-2</v>
      </c>
      <c r="U65" s="66">
        <f t="shared" si="30"/>
        <v>-6.0294351387097317E-3</v>
      </c>
      <c r="V65" s="66">
        <f t="shared" si="31"/>
        <v>-3.068453053327783E-2</v>
      </c>
      <c r="W65" s="66">
        <f t="shared" si="32"/>
        <v>3.7022194918255792E-2</v>
      </c>
      <c r="X65" s="66">
        <f t="shared" si="33"/>
        <v>5.5193126721630202E-2</v>
      </c>
      <c r="Y65" s="66">
        <f t="shared" si="34"/>
        <v>1.3972354534588163E-2</v>
      </c>
      <c r="Z65" s="66">
        <f t="shared" si="35"/>
        <v>4.5779388066028836E-3</v>
      </c>
      <c r="AA65" s="66">
        <f t="shared" si="36"/>
        <v>-2.2469830889788874E-2</v>
      </c>
      <c r="AB65" s="66">
        <f t="shared" si="37"/>
        <v>5.9447382597898918E-2</v>
      </c>
      <c r="AC65" s="66">
        <f t="shared" si="38"/>
        <v>-5.1760325554747293E-2</v>
      </c>
      <c r="AD65" s="66">
        <f t="shared" si="39"/>
        <v>8.2065199218847792E-3</v>
      </c>
      <c r="AE65" s="66">
        <f t="shared" si="40"/>
        <v>-7.6405663666666663E-3</v>
      </c>
    </row>
    <row r="66" spans="2:31" ht="16" customHeight="1" x14ac:dyDescent="0.2">
      <c r="B66" s="91">
        <v>42185</v>
      </c>
      <c r="C66" s="66">
        <f>AIRBUS!D61</f>
        <v>-6.1290379243560365E-2</v>
      </c>
      <c r="D66" s="66">
        <f>BNP!D61</f>
        <v>1.2248147383452208E-2</v>
      </c>
      <c r="E66" s="66">
        <f>CAPGEMINI!D61</f>
        <v>1.956197841837394E-2</v>
      </c>
      <c r="F66" s="66">
        <f>DANONE!D61</f>
        <v>-5.0322656955568992E-2</v>
      </c>
      <c r="G66" s="66">
        <f>ENGIE!D61</f>
        <v>-9.4421769777580752E-2</v>
      </c>
      <c r="H66" s="66">
        <f>'HERMES INTL'!D61</f>
        <v>-5.9187421692477947E-2</v>
      </c>
      <c r="I66" s="66">
        <f>'PERNOD RICARD'!D61</f>
        <v>-7.9520459887955808E-2</v>
      </c>
      <c r="J66" s="66">
        <f>RENAULT!D61</f>
        <v>8.7969221373295822E-3</v>
      </c>
      <c r="K66" s="66">
        <f>SANOFI!D61</f>
        <v>2.1724407476455803E-2</v>
      </c>
      <c r="L66" s="66">
        <f>'SCHNEIDER ELECTRIC'!D61</f>
        <v>-9.9592785922099858E-2</v>
      </c>
      <c r="M66" s="66">
        <f>TOTALENERGIES!D61</f>
        <v>-5.2311271943596707E-2</v>
      </c>
      <c r="N66" s="66">
        <f>VINCI!D61</f>
        <v>-4.0680411258301824E-2</v>
      </c>
      <c r="O66" s="66">
        <f>MARKET!D61</f>
        <v>-4.3469392400000001E-2</v>
      </c>
      <c r="P66" s="92">
        <f>INTERBANK!D60</f>
        <v>-1.1666666666666666E-5</v>
      </c>
      <c r="R66" s="91">
        <v>42185</v>
      </c>
      <c r="S66" s="66">
        <f t="shared" si="28"/>
        <v>-6.1278712576893699E-2</v>
      </c>
      <c r="T66" s="66">
        <f t="shared" si="29"/>
        <v>1.2259814050118875E-2</v>
      </c>
      <c r="U66" s="66">
        <f t="shared" si="30"/>
        <v>1.9573645085040607E-2</v>
      </c>
      <c r="V66" s="66">
        <f t="shared" si="31"/>
        <v>-5.0310990288902326E-2</v>
      </c>
      <c r="W66" s="66">
        <f t="shared" si="32"/>
        <v>-9.4410103110914093E-2</v>
      </c>
      <c r="X66" s="66">
        <f t="shared" si="33"/>
        <v>-5.917575502581128E-2</v>
      </c>
      <c r="Y66" s="66">
        <f t="shared" si="34"/>
        <v>-7.9508793221289148E-2</v>
      </c>
      <c r="Z66" s="66">
        <f t="shared" si="35"/>
        <v>8.8085888039962489E-3</v>
      </c>
      <c r="AA66" s="66">
        <f t="shared" si="36"/>
        <v>2.173607414312247E-2</v>
      </c>
      <c r="AB66" s="66">
        <f t="shared" si="37"/>
        <v>-9.9581119255433198E-2</v>
      </c>
      <c r="AC66" s="66">
        <f t="shared" si="38"/>
        <v>-5.229960527693004E-2</v>
      </c>
      <c r="AD66" s="66">
        <f t="shared" si="39"/>
        <v>-4.0668744591635157E-2</v>
      </c>
      <c r="AE66" s="66">
        <f t="shared" si="40"/>
        <v>-4.3457725733333334E-2</v>
      </c>
    </row>
    <row r="67" spans="2:31" ht="16" customHeight="1" x14ac:dyDescent="0.2">
      <c r="B67" s="91">
        <v>42216</v>
      </c>
      <c r="C67" s="66">
        <f>AIRBUS!D62</f>
        <v>0.13187278098352639</v>
      </c>
      <c r="D67" s="66">
        <f>BNP!D62</f>
        <v>9.5290977614712197E-2</v>
      </c>
      <c r="E67" s="66">
        <f>CAPGEMINI!D62</f>
        <v>9.6761930993674319E-2</v>
      </c>
      <c r="F67" s="66">
        <f>DANONE!D62</f>
        <v>6.380404927034089E-2</v>
      </c>
      <c r="G67" s="66">
        <f>ENGIE!D62</f>
        <v>5.0781459216036752E-2</v>
      </c>
      <c r="H67" s="66">
        <f>'HERMES INTL'!D62</f>
        <v>7.8525807986556451E-2</v>
      </c>
      <c r="I67" s="66">
        <f>'PERNOD RICARD'!D62</f>
        <v>5.2606350180355019E-2</v>
      </c>
      <c r="J67" s="66">
        <f>RENAULT!D62</f>
        <v>-0.1031898082773806</v>
      </c>
      <c r="K67" s="66">
        <f>SANOFI!D62</f>
        <v>0.11026735682019423</v>
      </c>
      <c r="L67" s="66">
        <f>'SCHNEIDER ELECTRIC'!D62</f>
        <v>2.6804395369393316E-2</v>
      </c>
      <c r="M67" s="66">
        <f>TOTALENERGIES!D62</f>
        <v>4.8583414800672083E-2</v>
      </c>
      <c r="N67" s="66">
        <f>VINCI!D62</f>
        <v>0.12567455006807399</v>
      </c>
      <c r="O67" s="66">
        <f>MARKET!D62</f>
        <v>6.1043308400000003E-2</v>
      </c>
      <c r="P67" s="92">
        <f>INTERBANK!D61</f>
        <v>-1.5833333333333333E-5</v>
      </c>
      <c r="R67" s="91">
        <v>42216</v>
      </c>
      <c r="S67" s="66">
        <f t="shared" si="28"/>
        <v>0.13188861431685972</v>
      </c>
      <c r="T67" s="66">
        <f t="shared" si="29"/>
        <v>9.5306810948045537E-2</v>
      </c>
      <c r="U67" s="66">
        <f t="shared" si="30"/>
        <v>9.6777764327007659E-2</v>
      </c>
      <c r="V67" s="66">
        <f t="shared" si="31"/>
        <v>6.381988260367423E-2</v>
      </c>
      <c r="W67" s="66">
        <f t="shared" si="32"/>
        <v>5.0797292549370085E-2</v>
      </c>
      <c r="X67" s="66">
        <f t="shared" si="33"/>
        <v>7.8541641319889791E-2</v>
      </c>
      <c r="Y67" s="66">
        <f t="shared" si="34"/>
        <v>5.2622183513688352E-2</v>
      </c>
      <c r="Z67" s="66">
        <f t="shared" si="35"/>
        <v>-0.10317397494404726</v>
      </c>
      <c r="AA67" s="66">
        <f t="shared" si="36"/>
        <v>0.11028319015352757</v>
      </c>
      <c r="AB67" s="66">
        <f t="shared" si="37"/>
        <v>2.6820228702726649E-2</v>
      </c>
      <c r="AC67" s="66">
        <f t="shared" si="38"/>
        <v>4.8599248134005416E-2</v>
      </c>
      <c r="AD67" s="66">
        <f t="shared" si="39"/>
        <v>0.12569038340140731</v>
      </c>
      <c r="AE67" s="66">
        <f t="shared" si="40"/>
        <v>6.1059141733333336E-2</v>
      </c>
    </row>
    <row r="68" spans="2:31" ht="16" customHeight="1" x14ac:dyDescent="0.2">
      <c r="B68" s="91">
        <v>42247</v>
      </c>
      <c r="C68" s="66">
        <f>AIRBUS!D63</f>
        <v>-0.10077400821523196</v>
      </c>
      <c r="D68" s="66">
        <f>BNP!D63</f>
        <v>-5.1256360080044312E-2</v>
      </c>
      <c r="E68" s="66">
        <f>CAPGEMINI!D63</f>
        <v>-7.9609195827915938E-2</v>
      </c>
      <c r="F68" s="66">
        <f>DANONE!D63</f>
        <v>-0.10212355223753981</v>
      </c>
      <c r="G68" s="66">
        <f>ENGIE!D63</f>
        <v>-8.5787991461468566E-2</v>
      </c>
      <c r="H68" s="66">
        <f>'HERMES INTL'!D63</f>
        <v>-0.10664437188598028</v>
      </c>
      <c r="I68" s="66">
        <f>'PERNOD RICARD'!D63</f>
        <v>-0.13559616529040491</v>
      </c>
      <c r="J68" s="66">
        <f>RENAULT!D63</f>
        <v>-0.11566026562067157</v>
      </c>
      <c r="K68" s="66">
        <f>SANOFI!D63</f>
        <v>-0.10003065015024584</v>
      </c>
      <c r="L68" s="66">
        <f>'SCHNEIDER ELECTRIC'!D63</f>
        <v>-0.11416892324761377</v>
      </c>
      <c r="M68" s="66">
        <f>TOTALENERGIES!D63</f>
        <v>-9.4730773785617242E-2</v>
      </c>
      <c r="N68" s="66">
        <f>VINCI!D63</f>
        <v>-1.6952047116846544E-2</v>
      </c>
      <c r="O68" s="66">
        <f>MARKET!D63</f>
        <v>-8.4535244600000004E-2</v>
      </c>
      <c r="P68" s="92">
        <f>INTERBANK!D62</f>
        <v>-2.3333333333333332E-5</v>
      </c>
      <c r="R68" s="91">
        <v>42247</v>
      </c>
      <c r="S68" s="66">
        <f t="shared" si="28"/>
        <v>-0.10075067488189862</v>
      </c>
      <c r="T68" s="66">
        <f t="shared" si="29"/>
        <v>-5.1233026746710979E-2</v>
      </c>
      <c r="U68" s="66">
        <f t="shared" si="30"/>
        <v>-7.9585862494582604E-2</v>
      </c>
      <c r="V68" s="66">
        <f t="shared" si="31"/>
        <v>-0.10210021890420648</v>
      </c>
      <c r="W68" s="66">
        <f t="shared" si="32"/>
        <v>-8.5764658128135232E-2</v>
      </c>
      <c r="X68" s="66">
        <f t="shared" si="33"/>
        <v>-0.10662103855264694</v>
      </c>
      <c r="Y68" s="66">
        <f t="shared" si="34"/>
        <v>-0.13557283195707159</v>
      </c>
      <c r="Z68" s="66">
        <f t="shared" si="35"/>
        <v>-0.11563693228733823</v>
      </c>
      <c r="AA68" s="66">
        <f t="shared" si="36"/>
        <v>-0.10000731681691251</v>
      </c>
      <c r="AB68" s="66">
        <f t="shared" si="37"/>
        <v>-0.11414558991428043</v>
      </c>
      <c r="AC68" s="66">
        <f t="shared" si="38"/>
        <v>-9.4707440452283909E-2</v>
      </c>
      <c r="AD68" s="66">
        <f t="shared" si="39"/>
        <v>-1.6928713783513211E-2</v>
      </c>
      <c r="AE68" s="66">
        <f t="shared" si="40"/>
        <v>-8.451191126666667E-2</v>
      </c>
    </row>
    <row r="69" spans="2:31" ht="16" customHeight="1" x14ac:dyDescent="0.2">
      <c r="B69" s="91">
        <v>42277</v>
      </c>
      <c r="C69" s="66">
        <f>AIRBUS!D64</f>
        <v>-8.9171859348187082E-2</v>
      </c>
      <c r="D69" s="66">
        <f>BNP!D64</f>
        <v>-6.7709181653575312E-2</v>
      </c>
      <c r="E69" s="66">
        <f>CAPGEMINI!D64</f>
        <v>-6.2408327163759082E-3</v>
      </c>
      <c r="F69" s="66">
        <f>DANONE!D64</f>
        <v>1.8595483482946845E-2</v>
      </c>
      <c r="G69" s="66">
        <f>ENGIE!D64</f>
        <v>-9.6653117259938193E-2</v>
      </c>
      <c r="H69" s="66">
        <f>'HERMES INTL'!D64</f>
        <v>2.6369704496421478E-2</v>
      </c>
      <c r="I69" s="66">
        <f>'PERNOD RICARD'!D64</f>
        <v>-3.5714516463330029E-2</v>
      </c>
      <c r="J69" s="66">
        <f>RENAULT!D64</f>
        <v>-0.13618555464683574</v>
      </c>
      <c r="K69" s="66">
        <f>SANOFI!D64</f>
        <v>-3.7200935991717837E-2</v>
      </c>
      <c r="L69" s="66">
        <f>'SCHNEIDER ELECTRIC'!D64</f>
        <v>-0.11219616206550227</v>
      </c>
      <c r="M69" s="66">
        <f>TOTALENERGIES!D64</f>
        <v>-1.4826934010978818E-2</v>
      </c>
      <c r="N69" s="66">
        <f>VINCI!D64</f>
        <v>-1.2192954111392609E-2</v>
      </c>
      <c r="O69" s="66">
        <f>MARKET!D64</f>
        <v>-4.2480608599999997E-2</v>
      </c>
      <c r="P69" s="92">
        <f>INTERBANK!D63</f>
        <v>-3.0833333333333335E-5</v>
      </c>
      <c r="R69" s="91">
        <v>42277</v>
      </c>
      <c r="S69" s="66">
        <f t="shared" si="28"/>
        <v>-8.9141026014853755E-2</v>
      </c>
      <c r="T69" s="66">
        <f t="shared" si="29"/>
        <v>-6.7678348320241985E-2</v>
      </c>
      <c r="U69" s="66">
        <f t="shared" si="30"/>
        <v>-6.209999383042575E-3</v>
      </c>
      <c r="V69" s="66">
        <f t="shared" si="31"/>
        <v>1.8626316816280179E-2</v>
      </c>
      <c r="W69" s="66">
        <f t="shared" si="32"/>
        <v>-9.6622283926604866E-2</v>
      </c>
      <c r="X69" s="66">
        <f t="shared" si="33"/>
        <v>2.6400537829754812E-2</v>
      </c>
      <c r="Y69" s="66">
        <f t="shared" si="34"/>
        <v>-3.5683683129996695E-2</v>
      </c>
      <c r="Z69" s="66">
        <f t="shared" si="35"/>
        <v>-0.1361547213135024</v>
      </c>
      <c r="AA69" s="66">
        <f t="shared" si="36"/>
        <v>-3.7170102658384503E-2</v>
      </c>
      <c r="AB69" s="66">
        <f t="shared" si="37"/>
        <v>-0.11216532873216895</v>
      </c>
      <c r="AC69" s="66">
        <f t="shared" si="38"/>
        <v>-1.4796100677645484E-2</v>
      </c>
      <c r="AD69" s="66">
        <f t="shared" si="39"/>
        <v>-1.2162120778059275E-2</v>
      </c>
      <c r="AE69" s="66">
        <f t="shared" si="40"/>
        <v>-4.2449775266666663E-2</v>
      </c>
    </row>
    <row r="70" spans="2:31" ht="16" customHeight="1" x14ac:dyDescent="0.2">
      <c r="B70" s="91">
        <v>42308</v>
      </c>
      <c r="C70" s="66">
        <f>AIRBUS!D65</f>
        <v>0.19750509751586981</v>
      </c>
      <c r="D70" s="66">
        <f>BNP!D65</f>
        <v>5.3373928207646415E-2</v>
      </c>
      <c r="E70" s="66">
        <f>CAPGEMINI!D65</f>
        <v>1.7709119505034832E-2</v>
      </c>
      <c r="F70" s="66">
        <f>DANONE!D65</f>
        <v>0.12389219659829694</v>
      </c>
      <c r="G70" s="66">
        <f>ENGIE!D65</f>
        <v>0.10491692465381107</v>
      </c>
      <c r="H70" s="66">
        <f>'HERMES INTL'!D65</f>
        <v>7.8000042715609952E-2</v>
      </c>
      <c r="I70" s="66">
        <f>'PERNOD RICARD'!D65</f>
        <v>0.18873395311895519</v>
      </c>
      <c r="J70" s="66">
        <f>RENAULT!D65</f>
        <v>0.33953124009525798</v>
      </c>
      <c r="K70" s="66">
        <f>SANOFI!D65</f>
        <v>8.198835130291636E-2</v>
      </c>
      <c r="L70" s="66">
        <f>'SCHNEIDER ELECTRIC'!D65</f>
        <v>0.10138002687344622</v>
      </c>
      <c r="M70" s="66">
        <f>TOTALENERGIES!D65</f>
        <v>0.1149752938684339</v>
      </c>
      <c r="N70" s="66">
        <f>VINCI!D65</f>
        <v>8.234871017137306E-2</v>
      </c>
      <c r="O70" s="66">
        <f>MARKET!D65</f>
        <v>9.9290980700000003E-2</v>
      </c>
      <c r="P70" s="92">
        <f>INTERBANK!D64</f>
        <v>-4.5000000000000003E-5</v>
      </c>
      <c r="R70" s="91">
        <v>42308</v>
      </c>
      <c r="S70" s="66">
        <f t="shared" si="28"/>
        <v>0.1975500975158698</v>
      </c>
      <c r="T70" s="66">
        <f t="shared" si="29"/>
        <v>5.3418928207646418E-2</v>
      </c>
      <c r="U70" s="66">
        <f t="shared" si="30"/>
        <v>1.7754119505034832E-2</v>
      </c>
      <c r="V70" s="66">
        <f t="shared" si="31"/>
        <v>0.12393719659829694</v>
      </c>
      <c r="W70" s="66">
        <f t="shared" si="32"/>
        <v>0.10496192465381107</v>
      </c>
      <c r="X70" s="66">
        <f t="shared" si="33"/>
        <v>7.8045042715609955E-2</v>
      </c>
      <c r="Y70" s="66">
        <f t="shared" si="34"/>
        <v>0.18877895311895518</v>
      </c>
      <c r="Z70" s="66">
        <f t="shared" si="35"/>
        <v>0.339576240095258</v>
      </c>
      <c r="AA70" s="66">
        <f t="shared" si="36"/>
        <v>8.2033351302916363E-2</v>
      </c>
      <c r="AB70" s="66">
        <f t="shared" si="37"/>
        <v>0.10142502687344622</v>
      </c>
      <c r="AC70" s="66">
        <f t="shared" si="38"/>
        <v>0.1150202938684339</v>
      </c>
      <c r="AD70" s="66">
        <f t="shared" si="39"/>
        <v>8.2393710171373064E-2</v>
      </c>
      <c r="AE70" s="66">
        <f t="shared" si="40"/>
        <v>9.9335980700000007E-2</v>
      </c>
    </row>
    <row r="71" spans="2:31" ht="16" customHeight="1" x14ac:dyDescent="0.2">
      <c r="B71" s="91">
        <v>42338</v>
      </c>
      <c r="C71" s="66">
        <f>AIRBUS!D66</f>
        <v>8.0176878950401625E-2</v>
      </c>
      <c r="D71" s="66">
        <f>BNP!D66</f>
        <v>1.5381909191549359E-2</v>
      </c>
      <c r="E71" s="66">
        <f>CAPGEMINI!D66</f>
        <v>7.7625470314712106E-2</v>
      </c>
      <c r="F71" s="66">
        <f>DANONE!D66</f>
        <v>4.6049514279631519E-2</v>
      </c>
      <c r="G71" s="66">
        <f>ENGIE!D66</f>
        <v>6.8578670470481926E-2</v>
      </c>
      <c r="H71" s="66">
        <f>'HERMES INTL'!D66</f>
        <v>-4.8808410607385416E-2</v>
      </c>
      <c r="I71" s="66">
        <f>'PERNOD RICARD'!D66</f>
        <v>4.6640494929095369E-3</v>
      </c>
      <c r="J71" s="66">
        <f>RENAULT!D66</f>
        <v>0.11407899633628039</v>
      </c>
      <c r="K71" s="66">
        <f>SANOFI!D66</f>
        <v>-8.1327965540469088E-2</v>
      </c>
      <c r="L71" s="66">
        <f>'SCHNEIDER ELECTRIC'!D66</f>
        <v>8.9324496322774685E-2</v>
      </c>
      <c r="M71" s="66">
        <f>TOTALENERGIES!D66</f>
        <v>6.4673381080146503E-2</v>
      </c>
      <c r="N71" s="66">
        <f>VINCI!D66</f>
        <v>2.9326905208083539E-3</v>
      </c>
      <c r="O71" s="66">
        <f>MARKET!D66</f>
        <v>1.22384852E-2</v>
      </c>
      <c r="P71" s="92">
        <f>INTERBANK!D65</f>
        <v>-7.3333333333333331E-5</v>
      </c>
      <c r="R71" s="91">
        <v>42338</v>
      </c>
      <c r="S71" s="66">
        <f t="shared" si="28"/>
        <v>8.0250212283734954E-2</v>
      </c>
      <c r="T71" s="66">
        <f t="shared" si="29"/>
        <v>1.5455242524882692E-2</v>
      </c>
      <c r="U71" s="66">
        <f t="shared" si="30"/>
        <v>7.7698803648045434E-2</v>
      </c>
      <c r="V71" s="66">
        <f t="shared" si="31"/>
        <v>4.6122847612964854E-2</v>
      </c>
      <c r="W71" s="66">
        <f t="shared" si="32"/>
        <v>6.8652003803815254E-2</v>
      </c>
      <c r="X71" s="66">
        <f t="shared" si="33"/>
        <v>-4.8735077274052081E-2</v>
      </c>
      <c r="Y71" s="66">
        <f t="shared" si="34"/>
        <v>4.7373828262428702E-3</v>
      </c>
      <c r="Z71" s="66">
        <f t="shared" si="35"/>
        <v>0.11415232966961372</v>
      </c>
      <c r="AA71" s="66">
        <f t="shared" si="36"/>
        <v>-8.125463220713576E-2</v>
      </c>
      <c r="AB71" s="66">
        <f t="shared" si="37"/>
        <v>8.9397829656108013E-2</v>
      </c>
      <c r="AC71" s="66">
        <f t="shared" si="38"/>
        <v>6.4746714413479831E-2</v>
      </c>
      <c r="AD71" s="66">
        <f t="shared" si="39"/>
        <v>3.0060238541416871E-3</v>
      </c>
      <c r="AE71" s="66">
        <f t="shared" si="40"/>
        <v>1.2311818533333333E-2</v>
      </c>
    </row>
    <row r="72" spans="2:31" ht="16" customHeight="1" x14ac:dyDescent="0.2">
      <c r="B72" s="91">
        <v>42369</v>
      </c>
      <c r="C72" s="66">
        <f>AIRBUS!D67</f>
        <v>-9.4096970796048438E-2</v>
      </c>
      <c r="D72" s="66">
        <f>BNP!D67</f>
        <v>-6.9150028245038089E-2</v>
      </c>
      <c r="E72" s="66">
        <f>CAPGEMINI!D67</f>
        <v>-1.9697459949593765E-2</v>
      </c>
      <c r="F72" s="66">
        <f>DANONE!D67</f>
        <v>-6.1058358265403581E-2</v>
      </c>
      <c r="G72" s="66">
        <f>ENGIE!D67</f>
        <v>-1.000615984381671E-2</v>
      </c>
      <c r="H72" s="66">
        <f>'HERMES INTL'!D67</f>
        <v>-6.4515938443693965E-2</v>
      </c>
      <c r="I72" s="66">
        <f>'PERNOD RICARD'!D67</f>
        <v>-1.4093452430991086E-2</v>
      </c>
      <c r="J72" s="66">
        <f>RENAULT!D67</f>
        <v>-3.0153984016673279E-2</v>
      </c>
      <c r="K72" s="66">
        <f>SANOFI!D67</f>
        <v>-6.8499915100416517E-2</v>
      </c>
      <c r="L72" s="66">
        <f>'SCHNEIDER ELECTRIC'!D67</f>
        <v>-0.1240000556741359</v>
      </c>
      <c r="M72" s="66">
        <f>TOTALENERGIES!D67</f>
        <v>-0.12202121049673911</v>
      </c>
      <c r="N72" s="66">
        <f>VINCI!D67</f>
        <v>-3.0372590585643747E-2</v>
      </c>
      <c r="O72" s="66">
        <f>MARKET!D67</f>
        <v>-6.4656291899999996E-2</v>
      </c>
      <c r="P72" s="92">
        <f>INTERBANK!D66</f>
        <v>-1.05E-4</v>
      </c>
      <c r="R72" s="91">
        <v>42369</v>
      </c>
      <c r="S72" s="66">
        <f t="shared" si="28"/>
        <v>-9.3991970796048444E-2</v>
      </c>
      <c r="T72" s="66">
        <f t="shared" si="29"/>
        <v>-6.9045028245038095E-2</v>
      </c>
      <c r="U72" s="66">
        <f t="shared" si="30"/>
        <v>-1.9592459949593764E-2</v>
      </c>
      <c r="V72" s="66">
        <f t="shared" si="31"/>
        <v>-6.095335826540358E-2</v>
      </c>
      <c r="W72" s="66">
        <f t="shared" si="32"/>
        <v>-9.9011598438167106E-3</v>
      </c>
      <c r="X72" s="66">
        <f t="shared" si="33"/>
        <v>-6.4410938443693971E-2</v>
      </c>
      <c r="Y72" s="66">
        <f t="shared" si="34"/>
        <v>-1.3988452430991087E-2</v>
      </c>
      <c r="Z72" s="66">
        <f t="shared" si="35"/>
        <v>-3.0048984016673278E-2</v>
      </c>
      <c r="AA72" s="66">
        <f t="shared" si="36"/>
        <v>-6.8394915100416523E-2</v>
      </c>
      <c r="AB72" s="66">
        <f t="shared" si="37"/>
        <v>-0.1238950556741359</v>
      </c>
      <c r="AC72" s="66">
        <f t="shared" si="38"/>
        <v>-0.12191621049673912</v>
      </c>
      <c r="AD72" s="66">
        <f t="shared" si="39"/>
        <v>-3.0267590585643746E-2</v>
      </c>
      <c r="AE72" s="66">
        <f t="shared" si="40"/>
        <v>-6.4551291900000002E-2</v>
      </c>
    </row>
    <row r="73" spans="2:31" ht="16" customHeight="1" x14ac:dyDescent="0.2">
      <c r="B73" s="91">
        <v>42400</v>
      </c>
      <c r="C73" s="66">
        <f>AIRBUS!D68</f>
        <v>-6.7419500088324244E-2</v>
      </c>
      <c r="D73" s="66">
        <f>BNP!D68</f>
        <v>-0.16283727435150466</v>
      </c>
      <c r="E73" s="66">
        <f>CAPGEMINI!D68</f>
        <v>-1.7756998040943554E-2</v>
      </c>
      <c r="F73" s="66">
        <f>DANONE!D68</f>
        <v>1.8786146485906787E-2</v>
      </c>
      <c r="G73" s="66">
        <f>ENGIE!D68</f>
        <v>-9.98467527164075E-2</v>
      </c>
      <c r="H73" s="66">
        <f>'HERMES INTL'!D68</f>
        <v>5.7738430075184467E-3</v>
      </c>
      <c r="I73" s="66">
        <f>'PERNOD RICARD'!D68</f>
        <v>2.6140657793809779E-2</v>
      </c>
      <c r="J73" s="66">
        <f>RENAULT!D68</f>
        <v>-0.15869575138292602</v>
      </c>
      <c r="K73" s="66">
        <f>SANOFI!D68</f>
        <v>-2.6081291350750598E-2</v>
      </c>
      <c r="L73" s="66">
        <f>'SCHNEIDER ELECTRIC'!D68</f>
        <v>-6.5639275914672376E-2</v>
      </c>
      <c r="M73" s="66">
        <f>TOTALENERGIES!D68</f>
        <v>6.2504462780830676E-3</v>
      </c>
      <c r="N73" s="66">
        <f>VINCI!D68</f>
        <v>5.5461576354983971E-2</v>
      </c>
      <c r="O73" s="66">
        <f>MARKET!D68</f>
        <v>-4.7452488500000001E-2</v>
      </c>
      <c r="P73" s="92">
        <f>INTERBANK!D67</f>
        <v>-1.2166666666666667E-4</v>
      </c>
      <c r="R73" s="91">
        <v>42400</v>
      </c>
      <c r="S73" s="66">
        <f t="shared" si="28"/>
        <v>-6.7297833421657571E-2</v>
      </c>
      <c r="T73" s="66">
        <f t="shared" si="29"/>
        <v>-0.162715607684838</v>
      </c>
      <c r="U73" s="66">
        <f t="shared" si="30"/>
        <v>-1.7635331374276888E-2</v>
      </c>
      <c r="V73" s="66">
        <f t="shared" si="31"/>
        <v>1.8907813152573453E-2</v>
      </c>
      <c r="W73" s="66">
        <f t="shared" si="32"/>
        <v>-9.9725086049740827E-2</v>
      </c>
      <c r="X73" s="66">
        <f t="shared" si="33"/>
        <v>5.8955096741851133E-3</v>
      </c>
      <c r="Y73" s="66">
        <f t="shared" si="34"/>
        <v>2.6262324460476445E-2</v>
      </c>
      <c r="Z73" s="66">
        <f t="shared" si="35"/>
        <v>-0.15857408471625936</v>
      </c>
      <c r="AA73" s="66">
        <f t="shared" si="36"/>
        <v>-2.5959624684083932E-2</v>
      </c>
      <c r="AB73" s="66">
        <f t="shared" si="37"/>
        <v>-6.5517609248005704E-2</v>
      </c>
      <c r="AC73" s="66">
        <f t="shared" si="38"/>
        <v>6.3721129447497343E-3</v>
      </c>
      <c r="AD73" s="66">
        <f t="shared" si="39"/>
        <v>5.5583243021650637E-2</v>
      </c>
      <c r="AE73" s="66">
        <f t="shared" si="40"/>
        <v>-4.7330821833333335E-2</v>
      </c>
    </row>
    <row r="74" spans="2:31" ht="16" customHeight="1" x14ac:dyDescent="0.2">
      <c r="B74" s="91">
        <v>42429</v>
      </c>
      <c r="C74" s="66">
        <f>AIRBUS!D69</f>
        <v>3.3898284471429785E-2</v>
      </c>
      <c r="D74" s="66">
        <f>BNP!D69</f>
        <v>-1.6580919862913174E-2</v>
      </c>
      <c r="E74" s="66">
        <f>CAPGEMINI!D69</f>
        <v>-8.777361892257364E-2</v>
      </c>
      <c r="F74" s="66">
        <f>DANONE!D69</f>
        <v>1.2293019931511336E-2</v>
      </c>
      <c r="G74" s="66">
        <f>ENGIE!D69</f>
        <v>-2.7900794033104231E-2</v>
      </c>
      <c r="H74" s="66">
        <f>'HERMES INTL'!D69</f>
        <v>3.0298892379029057E-3</v>
      </c>
      <c r="I74" s="66">
        <f>'PERNOD RICARD'!D69</f>
        <v>-9.115315885174817E-2</v>
      </c>
      <c r="J74" s="66">
        <f>RENAULT!D69</f>
        <v>7.9686808587214733E-2</v>
      </c>
      <c r="K74" s="66">
        <f>SANOFI!D69</f>
        <v>-4.3893026262400978E-2</v>
      </c>
      <c r="L74" s="66">
        <f>'SCHNEIDER ELECTRIC'!D69</f>
        <v>0.11525161144215562</v>
      </c>
      <c r="M74" s="66">
        <f>TOTALENERGIES!D69</f>
        <v>1.1119573369090143E-2</v>
      </c>
      <c r="N74" s="66">
        <f>VINCI!D69</f>
        <v>2.2428845323031039E-2</v>
      </c>
      <c r="O74" s="66">
        <f>MARKET!D69</f>
        <v>-1.4369465099999999E-2</v>
      </c>
      <c r="P74" s="92">
        <f>INTERBANK!D68</f>
        <v>-1.5333333333333334E-4</v>
      </c>
      <c r="R74" s="91">
        <v>42429</v>
      </c>
      <c r="S74" s="66">
        <f t="shared" si="28"/>
        <v>3.4051617804763117E-2</v>
      </c>
      <c r="T74" s="66">
        <f t="shared" si="29"/>
        <v>-1.6427586529579843E-2</v>
      </c>
      <c r="U74" s="66">
        <f t="shared" si="30"/>
        <v>-8.7620285589240302E-2</v>
      </c>
      <c r="V74" s="66">
        <f t="shared" si="31"/>
        <v>1.2446353264844669E-2</v>
      </c>
      <c r="W74" s="66">
        <f t="shared" si="32"/>
        <v>-2.7747460699770899E-2</v>
      </c>
      <c r="X74" s="66">
        <f t="shared" si="33"/>
        <v>3.1832225712362392E-3</v>
      </c>
      <c r="Y74" s="66">
        <f t="shared" si="34"/>
        <v>-9.0999825518414831E-2</v>
      </c>
      <c r="Z74" s="66">
        <f t="shared" si="35"/>
        <v>7.9840141920548072E-2</v>
      </c>
      <c r="AA74" s="66">
        <f t="shared" si="36"/>
        <v>-4.3739692929067646E-2</v>
      </c>
      <c r="AB74" s="66">
        <f t="shared" si="37"/>
        <v>0.11540494477548896</v>
      </c>
      <c r="AC74" s="66">
        <f t="shared" si="38"/>
        <v>1.1272906702423476E-2</v>
      </c>
      <c r="AD74" s="66">
        <f t="shared" si="39"/>
        <v>2.258217865636437E-2</v>
      </c>
      <c r="AE74" s="66">
        <f t="shared" si="40"/>
        <v>-1.4216131766666666E-2</v>
      </c>
    </row>
    <row r="75" spans="2:31" ht="16" customHeight="1" x14ac:dyDescent="0.2">
      <c r="B75" s="91">
        <v>42460</v>
      </c>
      <c r="C75" s="66">
        <f>AIRBUS!D70</f>
        <v>-2.3921086022935679E-2</v>
      </c>
      <c r="D75" s="66">
        <f>BNP!D70</f>
        <v>2.8604617858189314E-2</v>
      </c>
      <c r="E75" s="66">
        <f>CAPGEMINI!D70</f>
        <v>7.6662381950191219E-2</v>
      </c>
      <c r="F75" s="66">
        <f>DANONE!D70</f>
        <v>-2.6778764359899648E-2</v>
      </c>
      <c r="G75" s="66">
        <f>ENGIE!D70</f>
        <v>-4.5152090181488559E-2</v>
      </c>
      <c r="H75" s="66">
        <f>'HERMES INTL'!D70</f>
        <v>-1.1426869425714763E-2</v>
      </c>
      <c r="I75" s="66">
        <f>'PERNOD RICARD'!D70</f>
        <v>-1.1213635346678506E-3</v>
      </c>
      <c r="J75" s="66">
        <f>RENAULT!D70</f>
        <v>3.7794073421832532E-2</v>
      </c>
      <c r="K75" s="66">
        <f>SANOFI!D70</f>
        <v>-3.1834755807889532E-2</v>
      </c>
      <c r="L75" s="66">
        <f>'SCHNEIDER ELECTRIC'!D70</f>
        <v>1.4058841272574483E-2</v>
      </c>
      <c r="M75" s="66">
        <f>TOTALENERGIES!D70</f>
        <v>-3.1782668935262638E-2</v>
      </c>
      <c r="N75" s="66">
        <f>VINCI!D70</f>
        <v>2.5853928376028939E-2</v>
      </c>
      <c r="O75" s="66">
        <f>MARKET!D70</f>
        <v>7.2378301000000003E-3</v>
      </c>
      <c r="P75" s="92">
        <f>INTERBANK!D69</f>
        <v>-1.9083333333333333E-4</v>
      </c>
      <c r="R75" s="91">
        <v>42460</v>
      </c>
      <c r="S75" s="66">
        <f t="shared" si="28"/>
        <v>-2.3730252689602344E-2</v>
      </c>
      <c r="T75" s="66">
        <f t="shared" si="29"/>
        <v>2.8795451191522648E-2</v>
      </c>
      <c r="U75" s="66">
        <f t="shared" si="30"/>
        <v>7.6853215283524554E-2</v>
      </c>
      <c r="V75" s="66">
        <f t="shared" si="31"/>
        <v>-2.6587931026566314E-2</v>
      </c>
      <c r="W75" s="66">
        <f t="shared" si="32"/>
        <v>-4.4961256848155225E-2</v>
      </c>
      <c r="X75" s="66">
        <f t="shared" si="33"/>
        <v>-1.123603609238143E-2</v>
      </c>
      <c r="Y75" s="66">
        <f t="shared" si="34"/>
        <v>-9.3053020133451725E-4</v>
      </c>
      <c r="Z75" s="66">
        <f t="shared" si="35"/>
        <v>3.7984906755165866E-2</v>
      </c>
      <c r="AA75" s="66">
        <f t="shared" si="36"/>
        <v>-3.1643922474556198E-2</v>
      </c>
      <c r="AB75" s="66">
        <f t="shared" si="37"/>
        <v>1.4249674605907816E-2</v>
      </c>
      <c r="AC75" s="66">
        <f t="shared" si="38"/>
        <v>-3.1591835601929304E-2</v>
      </c>
      <c r="AD75" s="66">
        <f t="shared" si="39"/>
        <v>2.6044761709362273E-2</v>
      </c>
      <c r="AE75" s="66">
        <f t="shared" si="40"/>
        <v>7.4286634333333339E-3</v>
      </c>
    </row>
    <row r="76" spans="2:31" ht="16" customHeight="1" x14ac:dyDescent="0.2">
      <c r="B76" s="91">
        <v>42490</v>
      </c>
      <c r="C76" s="66">
        <f>AIRBUS!D71</f>
        <v>-6.4095914594217318E-2</v>
      </c>
      <c r="D76" s="66">
        <f>BNP!D71</f>
        <v>4.5444119396015996E-2</v>
      </c>
      <c r="E76" s="66">
        <f>CAPGEMINI!D71</f>
        <v>-1.2714968092100406E-2</v>
      </c>
      <c r="F76" s="66">
        <f>DANONE!D71</f>
        <v>-2.1436445728698031E-2</v>
      </c>
      <c r="G76" s="66">
        <f>ENGIE!D71</f>
        <v>5.5718319800011122E-2</v>
      </c>
      <c r="H76" s="66">
        <f>'HERMES INTL'!D71</f>
        <v>5.0088541815368299E-3</v>
      </c>
      <c r="I76" s="66">
        <f>'PERNOD RICARD'!D71</f>
        <v>-3.7958948749155799E-2</v>
      </c>
      <c r="J76" s="66">
        <f>RENAULT!D71</f>
        <v>-3.481439078028218E-2</v>
      </c>
      <c r="K76" s="66">
        <f>SANOFI!D71</f>
        <v>1.7640337769280711E-2</v>
      </c>
      <c r="L76" s="66">
        <f>'SCHNEIDER ELECTRIC'!D71</f>
        <v>2.3406449780024253E-2</v>
      </c>
      <c r="M76" s="66">
        <f>TOTALENERGIES!D71</f>
        <v>0.11242658306865055</v>
      </c>
      <c r="N76" s="66">
        <f>VINCI!D71</f>
        <v>-3.5130855880169151E-3</v>
      </c>
      <c r="O76" s="66">
        <f>MARKET!D71</f>
        <v>1.0011243100000001E-2</v>
      </c>
      <c r="P76" s="92">
        <f>INTERBANK!D70</f>
        <v>-2.075E-4</v>
      </c>
      <c r="R76" s="91">
        <v>42490</v>
      </c>
      <c r="S76" s="66">
        <f t="shared" si="28"/>
        <v>-6.3888414594217319E-2</v>
      </c>
      <c r="T76" s="66">
        <f t="shared" si="29"/>
        <v>4.5651619396015995E-2</v>
      </c>
      <c r="U76" s="66">
        <f t="shared" si="30"/>
        <v>-1.2507468092100406E-2</v>
      </c>
      <c r="V76" s="66">
        <f t="shared" si="31"/>
        <v>-2.1228945728698032E-2</v>
      </c>
      <c r="W76" s="66">
        <f t="shared" si="32"/>
        <v>5.5925819800011121E-2</v>
      </c>
      <c r="X76" s="66">
        <f t="shared" si="33"/>
        <v>5.2163541815368301E-3</v>
      </c>
      <c r="Y76" s="66">
        <f t="shared" si="34"/>
        <v>-3.77514487491558E-2</v>
      </c>
      <c r="Z76" s="66">
        <f t="shared" si="35"/>
        <v>-3.460689078028218E-2</v>
      </c>
      <c r="AA76" s="66">
        <f t="shared" si="36"/>
        <v>1.784783776928071E-2</v>
      </c>
      <c r="AB76" s="66">
        <f t="shared" si="37"/>
        <v>2.3613949780024252E-2</v>
      </c>
      <c r="AC76" s="66">
        <f t="shared" si="38"/>
        <v>0.11263408306865055</v>
      </c>
      <c r="AD76" s="66">
        <f t="shared" si="39"/>
        <v>-3.3055855880169153E-3</v>
      </c>
      <c r="AE76" s="66">
        <f t="shared" si="40"/>
        <v>1.02187431E-2</v>
      </c>
    </row>
    <row r="77" spans="2:31" ht="16" customHeight="1" x14ac:dyDescent="0.2">
      <c r="B77" s="91">
        <v>42521</v>
      </c>
      <c r="C77" s="66">
        <f>AIRBUS!D72</f>
        <v>2.581946334597101E-2</v>
      </c>
      <c r="D77" s="66">
        <f>BNP!D72</f>
        <v>7.6232861739248092E-2</v>
      </c>
      <c r="E77" s="66">
        <f>CAPGEMINI!D72</f>
        <v>5.1146802263301365E-2</v>
      </c>
      <c r="F77" s="66">
        <f>DANONE!D72</f>
        <v>3.1224431845731655E-2</v>
      </c>
      <c r="G77" s="66">
        <f>ENGIE!D72</f>
        <v>-3.854145030357875E-2</v>
      </c>
      <c r="H77" s="66">
        <f>'HERMES INTL'!D72</f>
        <v>4.4855335806782373E-2</v>
      </c>
      <c r="I77" s="66">
        <f>'PERNOD RICARD'!D72</f>
        <v>3.8502326376443484E-2</v>
      </c>
      <c r="J77" s="66">
        <f>RENAULT!D72</f>
        <v>7.1195153880205554E-4</v>
      </c>
      <c r="K77" s="66">
        <f>SANOFI!D72</f>
        <v>2.1910987547159269E-2</v>
      </c>
      <c r="L77" s="66">
        <f>'SCHNEIDER ELECTRIC'!D72</f>
        <v>2.2343577027521277E-2</v>
      </c>
      <c r="M77" s="66">
        <f>TOTALENERGIES!D72</f>
        <v>-5.8047047976460941E-3</v>
      </c>
      <c r="N77" s="66">
        <f>VINCI!D72</f>
        <v>5.651219144328621E-2</v>
      </c>
      <c r="O77" s="66">
        <f>MARKET!D72</f>
        <v>1.73088393E-2</v>
      </c>
      <c r="P77" s="92">
        <f>INTERBANK!D71</f>
        <v>-2.1416666666666668E-4</v>
      </c>
      <c r="R77" s="91">
        <v>42521</v>
      </c>
      <c r="S77" s="66">
        <f t="shared" si="28"/>
        <v>2.6033630012637678E-2</v>
      </c>
      <c r="T77" s="66">
        <f t="shared" si="29"/>
        <v>7.644702840591476E-2</v>
      </c>
      <c r="U77" s="66">
        <f t="shared" si="30"/>
        <v>5.1360968929968033E-2</v>
      </c>
      <c r="V77" s="66">
        <f t="shared" si="31"/>
        <v>3.1438598512398323E-2</v>
      </c>
      <c r="W77" s="66">
        <f t="shared" si="32"/>
        <v>-3.8327283636912082E-2</v>
      </c>
      <c r="X77" s="66">
        <f t="shared" si="33"/>
        <v>4.5069502473449041E-2</v>
      </c>
      <c r="Y77" s="66">
        <f t="shared" si="34"/>
        <v>3.8716493043110152E-2</v>
      </c>
      <c r="Z77" s="66">
        <f t="shared" si="35"/>
        <v>9.2611820546872219E-4</v>
      </c>
      <c r="AA77" s="66">
        <f t="shared" si="36"/>
        <v>2.2125154213825937E-2</v>
      </c>
      <c r="AB77" s="66">
        <f t="shared" si="37"/>
        <v>2.2557743694187945E-2</v>
      </c>
      <c r="AC77" s="66">
        <f t="shared" si="38"/>
        <v>-5.5905381309794278E-3</v>
      </c>
      <c r="AD77" s="66">
        <f t="shared" si="39"/>
        <v>5.6726358109952878E-2</v>
      </c>
      <c r="AE77" s="66">
        <f t="shared" si="40"/>
        <v>1.7523005966666668E-2</v>
      </c>
    </row>
    <row r="78" spans="2:31" ht="16" customHeight="1" x14ac:dyDescent="0.2">
      <c r="B78" s="91">
        <v>42551</v>
      </c>
      <c r="C78" s="66">
        <f>AIRBUS!D73</f>
        <v>-5.4061600476371693E-2</v>
      </c>
      <c r="D78" s="66">
        <f>BNP!D73</f>
        <v>-0.20114528232097789</v>
      </c>
      <c r="E78" s="66">
        <f>CAPGEMINI!D73</f>
        <v>-7.296912630088552E-2</v>
      </c>
      <c r="F78" s="66">
        <f>DANONE!D73</f>
        <v>3.2542895796211356E-2</v>
      </c>
      <c r="G78" s="66">
        <f>ENGIE!D73</f>
        <v>8.74016986371942E-2</v>
      </c>
      <c r="H78" s="66">
        <f>'HERMES INTL'!D73</f>
        <v>3.6928475527579142E-2</v>
      </c>
      <c r="I78" s="66">
        <f>'PERNOD RICARD'!D73</f>
        <v>2.2367392952735519E-2</v>
      </c>
      <c r="J78" s="66">
        <f>RENAULT!D73</f>
        <v>-0.1641111854360677</v>
      </c>
      <c r="K78" s="66">
        <f>SANOFI!D73</f>
        <v>6.0185473474150833E-2</v>
      </c>
      <c r="L78" s="66">
        <f>'SCHNEIDER ELECTRIC'!D73</f>
        <v>-5.238911902105256E-2</v>
      </c>
      <c r="M78" s="66">
        <f>TOTALENERGIES!D73</f>
        <v>-6.7543775064641811E-3</v>
      </c>
      <c r="N78" s="66">
        <f>VINCI!D73</f>
        <v>-5.7700855387634378E-2</v>
      </c>
      <c r="O78" s="66">
        <f>MARKET!D73</f>
        <v>-5.9512371199999997E-2</v>
      </c>
      <c r="P78" s="92">
        <f>INTERBANK!D72</f>
        <v>-2.2333333333333336E-4</v>
      </c>
      <c r="R78" s="91">
        <v>42551</v>
      </c>
      <c r="S78" s="66">
        <f t="shared" si="28"/>
        <v>-5.3838267143038361E-2</v>
      </c>
      <c r="T78" s="66">
        <f t="shared" si="29"/>
        <v>-0.20092194898764457</v>
      </c>
      <c r="U78" s="66">
        <f t="shared" si="30"/>
        <v>-7.2745792967552181E-2</v>
      </c>
      <c r="V78" s="66">
        <f t="shared" si="31"/>
        <v>3.2766229129544688E-2</v>
      </c>
      <c r="W78" s="66">
        <f t="shared" si="32"/>
        <v>8.7625031970527539E-2</v>
      </c>
      <c r="X78" s="66">
        <f t="shared" si="33"/>
        <v>3.7151808860912475E-2</v>
      </c>
      <c r="Y78" s="66">
        <f t="shared" si="34"/>
        <v>2.2590726286068851E-2</v>
      </c>
      <c r="Z78" s="66">
        <f t="shared" si="35"/>
        <v>-0.16388785210273438</v>
      </c>
      <c r="AA78" s="66">
        <f t="shared" si="36"/>
        <v>6.0408806807484165E-2</v>
      </c>
      <c r="AB78" s="66">
        <f t="shared" si="37"/>
        <v>-5.2165785687719228E-2</v>
      </c>
      <c r="AC78" s="66">
        <f t="shared" si="38"/>
        <v>-6.5310441731308479E-3</v>
      </c>
      <c r="AD78" s="66">
        <f t="shared" si="39"/>
        <v>-5.7477522054301046E-2</v>
      </c>
      <c r="AE78" s="66">
        <f t="shared" si="40"/>
        <v>-5.9289037866666665E-2</v>
      </c>
    </row>
    <row r="79" spans="2:31" ht="16" customHeight="1" x14ac:dyDescent="0.2">
      <c r="B79" s="91">
        <v>42582</v>
      </c>
      <c r="C79" s="66">
        <f>AIRBUS!D74</f>
        <v>1.7398007156362659E-2</v>
      </c>
      <c r="D79" s="66">
        <f>BNP!D74</f>
        <v>0.17107466262083063</v>
      </c>
      <c r="E79" s="66">
        <f>CAPGEMINI!D74</f>
        <v>9.9104751366038121E-2</v>
      </c>
      <c r="F79" s="66">
        <f>DANONE!D74</f>
        <v>8.6263944948661547E-2</v>
      </c>
      <c r="G79" s="66">
        <f>ENGIE!D74</f>
        <v>1.4817691953514431E-2</v>
      </c>
      <c r="H79" s="66">
        <f>'HERMES INTL'!D74</f>
        <v>0.14856543964216035</v>
      </c>
      <c r="I79" s="66">
        <f>'PERNOD RICARD'!D74</f>
        <v>2.0979169676659623E-2</v>
      </c>
      <c r="J79" s="66">
        <f>RENAULT!D74</f>
        <v>0.14333709518770391</v>
      </c>
      <c r="K79" s="66">
        <f>SANOFI!D74</f>
        <v>1.6417669234179609E-2</v>
      </c>
      <c r="L79" s="66">
        <f>'SCHNEIDER ELECTRIC'!D74</f>
        <v>0.10290234901340597</v>
      </c>
      <c r="M79" s="66">
        <f>TOTALENERGIES!D74</f>
        <v>1.3196973886013568E-4</v>
      </c>
      <c r="N79" s="66">
        <f>VINCI!D74</f>
        <v>6.5944340176442226E-2</v>
      </c>
      <c r="O79" s="66">
        <f>MARKET!D74</f>
        <v>4.77477366E-2</v>
      </c>
      <c r="P79" s="92">
        <f>INTERBANK!D73</f>
        <v>-2.4583333333333331E-4</v>
      </c>
      <c r="R79" s="91">
        <v>42582</v>
      </c>
      <c r="S79" s="66">
        <f t="shared" si="28"/>
        <v>1.7643840489695993E-2</v>
      </c>
      <c r="T79" s="66">
        <f t="shared" si="29"/>
        <v>0.17132049595416396</v>
      </c>
      <c r="U79" s="66">
        <f t="shared" si="30"/>
        <v>9.9350584699371455E-2</v>
      </c>
      <c r="V79" s="66">
        <f t="shared" si="31"/>
        <v>8.6509778281994881E-2</v>
      </c>
      <c r="W79" s="66">
        <f t="shared" si="32"/>
        <v>1.5063525286847766E-2</v>
      </c>
      <c r="X79" s="66">
        <f t="shared" si="33"/>
        <v>0.14881127297549368</v>
      </c>
      <c r="Y79" s="66">
        <f t="shared" si="34"/>
        <v>2.1225003009992957E-2</v>
      </c>
      <c r="Z79" s="66">
        <f t="shared" si="35"/>
        <v>0.14358292852103724</v>
      </c>
      <c r="AA79" s="66">
        <f t="shared" si="36"/>
        <v>1.6663502567512943E-2</v>
      </c>
      <c r="AB79" s="66">
        <f t="shared" si="37"/>
        <v>0.10314818234673931</v>
      </c>
      <c r="AC79" s="66">
        <f t="shared" si="38"/>
        <v>3.7780307219346899E-4</v>
      </c>
      <c r="AD79" s="66">
        <f t="shared" si="39"/>
        <v>6.619017350977556E-2</v>
      </c>
      <c r="AE79" s="66">
        <f t="shared" si="40"/>
        <v>4.7993569933333334E-2</v>
      </c>
    </row>
    <row r="80" spans="2:31" ht="16" customHeight="1" x14ac:dyDescent="0.2">
      <c r="B80" s="91">
        <v>42613</v>
      </c>
      <c r="C80" s="66">
        <f>AIRBUS!D75</f>
        <v>-6.4601698131129415E-3</v>
      </c>
      <c r="D80" s="66">
        <f>BNP!D75</f>
        <v>2.8181633925933904E-2</v>
      </c>
      <c r="E80" s="66">
        <f>CAPGEMINI!D75</f>
        <v>1.6172236311945622E-2</v>
      </c>
      <c r="F80" s="66">
        <f>DANONE!D75</f>
        <v>-1.117885244569399E-2</v>
      </c>
      <c r="G80" s="66">
        <f>ENGIE!D75</f>
        <v>-2.9541716747892823E-2</v>
      </c>
      <c r="H80" s="66">
        <f>'HERMES INTL'!D75</f>
        <v>-1.6112199378896328E-2</v>
      </c>
      <c r="I80" s="66">
        <f>'PERNOD RICARD'!D75</f>
        <v>1.6022714636316833E-2</v>
      </c>
      <c r="J80" s="66">
        <f>RENAULT!D75</f>
        <v>-6.3131052808085508E-2</v>
      </c>
      <c r="K80" s="66">
        <f>SANOFI!D75</f>
        <v>-9.2974404502589106E-2</v>
      </c>
      <c r="L80" s="66">
        <f>'SCHNEIDER ELECTRIC'!D75</f>
        <v>4.3916611185046757E-2</v>
      </c>
      <c r="M80" s="66">
        <f>TOTALENERGIES!D75</f>
        <v>-2.3381704508497917E-4</v>
      </c>
      <c r="N80" s="66">
        <f>VINCI!D75</f>
        <v>1.472917284780752E-3</v>
      </c>
      <c r="O80" s="66">
        <f>MARKET!D75</f>
        <v>-3.5808820000000002E-4</v>
      </c>
      <c r="P80" s="92">
        <f>INTERBANK!D74</f>
        <v>-2.4833333333333332E-4</v>
      </c>
      <c r="R80" s="91">
        <v>42613</v>
      </c>
      <c r="S80" s="66">
        <f t="shared" si="28"/>
        <v>-6.2118364797796085E-3</v>
      </c>
      <c r="T80" s="66">
        <f t="shared" si="29"/>
        <v>2.8429967259267237E-2</v>
      </c>
      <c r="U80" s="66">
        <f t="shared" si="30"/>
        <v>1.6420569645278955E-2</v>
      </c>
      <c r="V80" s="66">
        <f t="shared" si="31"/>
        <v>-1.0930519112360657E-2</v>
      </c>
      <c r="W80" s="66">
        <f t="shared" si="32"/>
        <v>-2.929338341455949E-2</v>
      </c>
      <c r="X80" s="66">
        <f t="shared" si="33"/>
        <v>-1.5863866045562995E-2</v>
      </c>
      <c r="Y80" s="66">
        <f t="shared" si="34"/>
        <v>1.6271047969650166E-2</v>
      </c>
      <c r="Z80" s="66">
        <f t="shared" si="35"/>
        <v>-6.2882719474752172E-2</v>
      </c>
      <c r="AA80" s="66">
        <f t="shared" si="36"/>
        <v>-9.2726071169255769E-2</v>
      </c>
      <c r="AB80" s="66">
        <f t="shared" si="37"/>
        <v>4.4164944518380093E-2</v>
      </c>
      <c r="AC80" s="66">
        <f t="shared" si="38"/>
        <v>1.4516288248354149E-5</v>
      </c>
      <c r="AD80" s="66">
        <f t="shared" si="39"/>
        <v>1.7212506181140852E-3</v>
      </c>
      <c r="AE80" s="66">
        <f t="shared" si="40"/>
        <v>-1.097548666666667E-4</v>
      </c>
    </row>
    <row r="81" spans="2:31" ht="16" customHeight="1" x14ac:dyDescent="0.2">
      <c r="B81" s="91">
        <v>42643</v>
      </c>
      <c r="C81" s="66">
        <f>AIRBUS!D76</f>
        <v>2.9642260994793189E-2</v>
      </c>
      <c r="D81" s="66">
        <f>BNP!D76</f>
        <v>3.6180088177784407E-3</v>
      </c>
      <c r="E81" s="66">
        <f>CAPGEMINI!D76</f>
        <v>-1.8319625408614061E-3</v>
      </c>
      <c r="F81" s="66">
        <f>DANONE!D76</f>
        <v>-3.0245093591061024E-2</v>
      </c>
      <c r="G81" s="66">
        <f>ENGIE!D76</f>
        <v>-3.4989634632504686E-2</v>
      </c>
      <c r="H81" s="66">
        <f>'HERMES INTL'!D76</f>
        <v>-4.318554770437643E-2</v>
      </c>
      <c r="I81" s="66">
        <f>'PERNOD RICARD'!D76</f>
        <v>2.3809432298841842E-2</v>
      </c>
      <c r="J81" s="66">
        <f>RENAULT!D76</f>
        <v>-2.3188183172915149E-3</v>
      </c>
      <c r="K81" s="66">
        <f>SANOFI!D76</f>
        <v>-2.0703729449658044E-2</v>
      </c>
      <c r="L81" s="66">
        <f>'SCHNEIDER ELECTRIC'!D76</f>
        <v>1.587817409288703E-2</v>
      </c>
      <c r="M81" s="66">
        <f>TOTALENERGIES!D76</f>
        <v>-1.3567113256193468E-2</v>
      </c>
      <c r="N81" s="66">
        <f>VINCI!D76</f>
        <v>1.9122397952767429E-3</v>
      </c>
      <c r="O81" s="66">
        <f>MARKET!D76</f>
        <v>2.2620667999999999E-3</v>
      </c>
      <c r="P81" s="92">
        <f>INTERBANK!D75</f>
        <v>-2.5166666666666664E-4</v>
      </c>
      <c r="R81" s="91">
        <v>42643</v>
      </c>
      <c r="S81" s="66">
        <f t="shared" si="28"/>
        <v>2.9893927661459856E-2</v>
      </c>
      <c r="T81" s="66">
        <f t="shared" si="29"/>
        <v>3.8696754844451072E-3</v>
      </c>
      <c r="U81" s="66">
        <f t="shared" si="30"/>
        <v>-1.5802958741947394E-3</v>
      </c>
      <c r="V81" s="66">
        <f t="shared" si="31"/>
        <v>-2.9993426924394356E-2</v>
      </c>
      <c r="W81" s="66">
        <f t="shared" si="32"/>
        <v>-3.4737967965838022E-2</v>
      </c>
      <c r="X81" s="66">
        <f t="shared" si="33"/>
        <v>-4.2933881037709766E-2</v>
      </c>
      <c r="Y81" s="66">
        <f t="shared" si="34"/>
        <v>2.4061098965508509E-2</v>
      </c>
      <c r="Z81" s="66">
        <f t="shared" si="35"/>
        <v>-2.0671516506248484E-3</v>
      </c>
      <c r="AA81" s="66">
        <f t="shared" si="36"/>
        <v>-2.0452062782991377E-2</v>
      </c>
      <c r="AB81" s="66">
        <f t="shared" si="37"/>
        <v>1.6129840759553697E-2</v>
      </c>
      <c r="AC81" s="66">
        <f t="shared" si="38"/>
        <v>-1.3315446589526801E-2</v>
      </c>
      <c r="AD81" s="66">
        <f t="shared" si="39"/>
        <v>2.1639064619434095E-3</v>
      </c>
      <c r="AE81" s="66">
        <f t="shared" si="40"/>
        <v>2.5137334666666664E-3</v>
      </c>
    </row>
    <row r="82" spans="2:31" ht="16" customHeight="1" x14ac:dyDescent="0.2">
      <c r="B82" s="91">
        <v>42674</v>
      </c>
      <c r="C82" s="66">
        <f>AIRBUS!D77</f>
        <v>5.7579698719614778E-3</v>
      </c>
      <c r="D82" s="66">
        <f>BNP!D77</f>
        <v>0.15446801755415634</v>
      </c>
      <c r="E82" s="66">
        <f>CAPGEMINI!D77</f>
        <v>-0.13420520240468803</v>
      </c>
      <c r="F82" s="66">
        <f>DANONE!D77</f>
        <v>-4.4966012873881495E-2</v>
      </c>
      <c r="G82" s="66">
        <f>ENGIE!D77</f>
        <v>-4.749805829900159E-2</v>
      </c>
      <c r="H82" s="66">
        <f>'HERMES INTL'!D77</f>
        <v>1.8909736313401853E-2</v>
      </c>
      <c r="I82" s="66">
        <f>'PERNOD RICARD'!D77</f>
        <v>2.8476649885393373E-2</v>
      </c>
      <c r="J82" s="66">
        <f>RENAULT!D77</f>
        <v>8.1624425820437524E-2</v>
      </c>
      <c r="K82" s="66">
        <f>SANOFI!D77</f>
        <v>4.9083460177070805E-2</v>
      </c>
      <c r="L82" s="66">
        <f>'SCHNEIDER ELECTRIC'!D77</f>
        <v>-1.4824403732674834E-2</v>
      </c>
      <c r="M82" s="66">
        <f>TOTALENERGIES!D77</f>
        <v>5.2135904710409617E-2</v>
      </c>
      <c r="N82" s="66">
        <f>VINCI!D77</f>
        <v>-3.1415202398545714E-2</v>
      </c>
      <c r="O82" s="66">
        <f>MARKET!D77</f>
        <v>1.37132279E-2</v>
      </c>
      <c r="P82" s="92">
        <f>INTERBANK!D76</f>
        <v>-2.5749999999999997E-4</v>
      </c>
      <c r="R82" s="91">
        <v>42674</v>
      </c>
      <c r="S82" s="66">
        <f t="shared" si="28"/>
        <v>6.0154698719614777E-3</v>
      </c>
      <c r="T82" s="66">
        <f t="shared" si="29"/>
        <v>0.15472551755415634</v>
      </c>
      <c r="U82" s="66">
        <f t="shared" si="30"/>
        <v>-0.13394770240468803</v>
      </c>
      <c r="V82" s="66">
        <f t="shared" si="31"/>
        <v>-4.4708512873881494E-2</v>
      </c>
      <c r="W82" s="66">
        <f t="shared" si="32"/>
        <v>-4.7240558299001589E-2</v>
      </c>
      <c r="X82" s="66">
        <f t="shared" si="33"/>
        <v>1.9167236313401854E-2</v>
      </c>
      <c r="Y82" s="66">
        <f t="shared" si="34"/>
        <v>2.8734149885393374E-2</v>
      </c>
      <c r="Z82" s="66">
        <f t="shared" si="35"/>
        <v>8.1881925820437518E-2</v>
      </c>
      <c r="AA82" s="66">
        <f t="shared" si="36"/>
        <v>4.9340960177070806E-2</v>
      </c>
      <c r="AB82" s="66">
        <f t="shared" si="37"/>
        <v>-1.4566903732674833E-2</v>
      </c>
      <c r="AC82" s="66">
        <f t="shared" si="38"/>
        <v>5.2393404710409618E-2</v>
      </c>
      <c r="AD82" s="66">
        <f t="shared" si="39"/>
        <v>-3.1157702398545713E-2</v>
      </c>
      <c r="AE82" s="66">
        <f t="shared" si="40"/>
        <v>1.39707279E-2</v>
      </c>
    </row>
    <row r="83" spans="2:31" ht="16" customHeight="1" x14ac:dyDescent="0.2">
      <c r="B83" s="91">
        <v>42704</v>
      </c>
      <c r="C83" s="66">
        <f>AIRBUS!D78</f>
        <v>0.11301927899967207</v>
      </c>
      <c r="D83" s="66">
        <f>BNP!D78</f>
        <v>3.6714498083734726E-2</v>
      </c>
      <c r="E83" s="66">
        <f>CAPGEMINI!D78</f>
        <v>-1.298342648472425E-2</v>
      </c>
      <c r="F83" s="66">
        <f>DANONE!D78</f>
        <v>-5.8972721680965366E-2</v>
      </c>
      <c r="G83" s="66">
        <f>ENGIE!D78</f>
        <v>-7.8288381526532849E-2</v>
      </c>
      <c r="H83" s="66">
        <f>'HERMES INTL'!D78</f>
        <v>5.4998511563500697E-2</v>
      </c>
      <c r="I83" s="66">
        <f>'PERNOD RICARD'!D78</f>
        <v>-8.6294474035066043E-2</v>
      </c>
      <c r="J83" s="66">
        <f>RENAULT!D78</f>
        <v>-6.0295874859610354E-2</v>
      </c>
      <c r="K83" s="66">
        <f>SANOFI!D78</f>
        <v>7.2576275258201872E-2</v>
      </c>
      <c r="L83" s="66">
        <f>'SCHNEIDER ELECTRIC'!D78</f>
        <v>2.7477897571577502E-2</v>
      </c>
      <c r="M83" s="66">
        <f>TOTALENERGIES!D78</f>
        <v>2.824771033512646E-2</v>
      </c>
      <c r="N83" s="66">
        <f>VINCI!D78</f>
        <v>-7.1991558507653444E-2</v>
      </c>
      <c r="O83" s="66">
        <f>MARKET!D78</f>
        <v>1.53196049E-2</v>
      </c>
      <c r="P83" s="92">
        <f>INTERBANK!D77</f>
        <v>-2.6083333333333335E-4</v>
      </c>
      <c r="R83" s="91">
        <v>42704</v>
      </c>
      <c r="S83" s="66">
        <f t="shared" si="28"/>
        <v>0.1132801123330054</v>
      </c>
      <c r="T83" s="66">
        <f t="shared" si="29"/>
        <v>3.6975331417068061E-2</v>
      </c>
      <c r="U83" s="66">
        <f t="shared" si="30"/>
        <v>-1.2722593151390916E-2</v>
      </c>
      <c r="V83" s="66">
        <f t="shared" si="31"/>
        <v>-5.8711888347632031E-2</v>
      </c>
      <c r="W83" s="66">
        <f t="shared" si="32"/>
        <v>-7.8027548193199514E-2</v>
      </c>
      <c r="X83" s="66">
        <f t="shared" si="33"/>
        <v>5.5259344896834033E-2</v>
      </c>
      <c r="Y83" s="66">
        <f t="shared" si="34"/>
        <v>-8.6033640701732708E-2</v>
      </c>
      <c r="Z83" s="66">
        <f t="shared" si="35"/>
        <v>-6.0035041526277019E-2</v>
      </c>
      <c r="AA83" s="66">
        <f t="shared" si="36"/>
        <v>7.2837108591535207E-2</v>
      </c>
      <c r="AB83" s="66">
        <f t="shared" si="37"/>
        <v>2.7738730904910833E-2</v>
      </c>
      <c r="AC83" s="66">
        <f t="shared" si="38"/>
        <v>2.8508543668459792E-2</v>
      </c>
      <c r="AD83" s="66">
        <f t="shared" si="39"/>
        <v>-7.1730725174320109E-2</v>
      </c>
      <c r="AE83" s="66">
        <f t="shared" si="40"/>
        <v>1.5580438233333334E-2</v>
      </c>
    </row>
    <row r="84" spans="2:31" ht="16" customHeight="1" x14ac:dyDescent="0.2">
      <c r="B84" s="91">
        <v>42735</v>
      </c>
      <c r="C84" s="66">
        <f>AIRBUS!D79</f>
        <v>4.2641425515320609E-2</v>
      </c>
      <c r="D84" s="66">
        <f>BNP!D79</f>
        <v>0.10533037683487602</v>
      </c>
      <c r="E84" s="66">
        <f>CAPGEMINI!D79</f>
        <v>7.5839106450425228E-2</v>
      </c>
      <c r="F84" s="66">
        <f>DANONE!D79</f>
        <v>1.4150868922511347E-2</v>
      </c>
      <c r="G84" s="66">
        <f>ENGIE!D79</f>
        <v>4.0343302268106604E-2</v>
      </c>
      <c r="H84" s="66">
        <f>'HERMES INTL'!D79</f>
        <v>1.5407737657804812E-3</v>
      </c>
      <c r="I84" s="66">
        <f>'PERNOD RICARD'!D79</f>
        <v>5.0308569434947943E-2</v>
      </c>
      <c r="J84" s="66">
        <f>RENAULT!D79</f>
        <v>0.13680386633187128</v>
      </c>
      <c r="K84" s="66">
        <f>SANOFI!D79</f>
        <v>1.0379694999040958E-2</v>
      </c>
      <c r="L84" s="66">
        <f>'SCHNEIDER ELECTRIC'!D79</f>
        <v>5.2371831064025119E-2</v>
      </c>
      <c r="M84" s="66">
        <f>TOTALENERGIES!D79</f>
        <v>8.3750361473520649E-2</v>
      </c>
      <c r="N84" s="66">
        <f>VINCI!D79</f>
        <v>6.7229980445114843E-2</v>
      </c>
      <c r="O84" s="66">
        <f>MARKET!D79</f>
        <v>6.2024713000000002E-2</v>
      </c>
      <c r="P84" s="92">
        <f>INTERBANK!D78</f>
        <v>-2.6333333333333336E-4</v>
      </c>
      <c r="R84" s="91">
        <v>42735</v>
      </c>
      <c r="S84" s="66">
        <f t="shared" si="28"/>
        <v>4.290475884865394E-2</v>
      </c>
      <c r="T84" s="66">
        <f t="shared" si="29"/>
        <v>0.10559371016820936</v>
      </c>
      <c r="U84" s="66">
        <f t="shared" si="30"/>
        <v>7.6102439783758566E-2</v>
      </c>
      <c r="V84" s="66">
        <f t="shared" si="31"/>
        <v>1.4414202255844681E-2</v>
      </c>
      <c r="W84" s="66">
        <f t="shared" si="32"/>
        <v>4.0606635601439935E-2</v>
      </c>
      <c r="X84" s="66">
        <f t="shared" si="33"/>
        <v>1.8041070991138145E-3</v>
      </c>
      <c r="Y84" s="66">
        <f t="shared" si="34"/>
        <v>5.0571902768281274E-2</v>
      </c>
      <c r="Z84" s="66">
        <f t="shared" si="35"/>
        <v>0.13706719966520461</v>
      </c>
      <c r="AA84" s="66">
        <f t="shared" si="36"/>
        <v>1.0643028332374292E-2</v>
      </c>
      <c r="AB84" s="66">
        <f t="shared" si="37"/>
        <v>5.263516439735845E-2</v>
      </c>
      <c r="AC84" s="66">
        <f t="shared" si="38"/>
        <v>8.4013694806853986E-2</v>
      </c>
      <c r="AD84" s="66">
        <f t="shared" si="39"/>
        <v>6.749331377844818E-2</v>
      </c>
      <c r="AE84" s="66">
        <f t="shared" si="40"/>
        <v>6.2288046333333333E-2</v>
      </c>
    </row>
    <row r="85" spans="2:31" ht="16" customHeight="1" x14ac:dyDescent="0.2">
      <c r="B85" s="91">
        <v>42766</v>
      </c>
      <c r="C85" s="66">
        <f>AIRBUS!D80</f>
        <v>-1.2731822537734236E-3</v>
      </c>
      <c r="D85" s="66">
        <f>BNP!D80</f>
        <v>-2.2625850894369214E-2</v>
      </c>
      <c r="E85" s="66">
        <f>CAPGEMINI!D80</f>
        <v>-5.9638270654684439E-2</v>
      </c>
      <c r="F85" s="66">
        <f>DANONE!D80</f>
        <v>-3.6710901179853976E-2</v>
      </c>
      <c r="G85" s="66">
        <f>ENGIE!D80</f>
        <v>-8.7046132404831417E-2</v>
      </c>
      <c r="H85" s="66">
        <f>'HERMES INTL'!D80</f>
        <v>3.1923289668315175E-2</v>
      </c>
      <c r="I85" s="66">
        <f>'PERNOD RICARD'!D80</f>
        <v>5.2452733033476986E-2</v>
      </c>
      <c r="J85" s="66">
        <f>RENAULT!D80</f>
        <v>-1.3371082935972336E-2</v>
      </c>
      <c r="K85" s="66">
        <f>SANOFI!D80</f>
        <v>-3.1339503900648255E-2</v>
      </c>
      <c r="L85" s="66">
        <f>'SCHNEIDER ELECTRIC'!D80</f>
        <v>1.6640631595062549E-3</v>
      </c>
      <c r="M85" s="66">
        <f>TOTALENERGIES!D80</f>
        <v>-3.0024405490349418E-2</v>
      </c>
      <c r="N85" s="66">
        <f>VINCI!D80</f>
        <v>3.0911248503135689E-3</v>
      </c>
      <c r="O85" s="66">
        <f>MARKET!D80</f>
        <v>-2.3324336599999999E-2</v>
      </c>
      <c r="P85" s="92">
        <f>INTERBANK!D79</f>
        <v>-2.7166666666666669E-4</v>
      </c>
      <c r="R85" s="91">
        <v>42766</v>
      </c>
      <c r="S85" s="66">
        <f t="shared" si="28"/>
        <v>-1.001515587106757E-3</v>
      </c>
      <c r="T85" s="66">
        <f t="shared" si="29"/>
        <v>-2.2354184227702547E-2</v>
      </c>
      <c r="U85" s="66">
        <f t="shared" si="30"/>
        <v>-5.9366603988017769E-2</v>
      </c>
      <c r="V85" s="66">
        <f t="shared" si="31"/>
        <v>-3.6439234513187306E-2</v>
      </c>
      <c r="W85" s="66">
        <f t="shared" si="32"/>
        <v>-8.6774465738164747E-2</v>
      </c>
      <c r="X85" s="66">
        <f t="shared" si="33"/>
        <v>3.2194956334981845E-2</v>
      </c>
      <c r="Y85" s="66">
        <f t="shared" si="34"/>
        <v>5.2724399700143657E-2</v>
      </c>
      <c r="Z85" s="66">
        <f t="shared" si="35"/>
        <v>-1.3099416269305669E-2</v>
      </c>
      <c r="AA85" s="66">
        <f t="shared" si="36"/>
        <v>-3.1067837233981589E-2</v>
      </c>
      <c r="AB85" s="66">
        <f t="shared" si="37"/>
        <v>1.9357298261729215E-3</v>
      </c>
      <c r="AC85" s="66">
        <f t="shared" si="38"/>
        <v>-2.9752738823682751E-2</v>
      </c>
      <c r="AD85" s="66">
        <f t="shared" si="39"/>
        <v>3.3627915169802355E-3</v>
      </c>
      <c r="AE85" s="66">
        <f t="shared" si="40"/>
        <v>-2.3052669933333332E-2</v>
      </c>
    </row>
    <row r="86" spans="2:31" ht="16" customHeight="1" x14ac:dyDescent="0.2">
      <c r="B86" s="91">
        <v>42794</v>
      </c>
      <c r="C86" s="66">
        <f>AIRBUS!D81</f>
        <v>0.10452535377761543</v>
      </c>
      <c r="D86" s="66">
        <f>BNP!D81</f>
        <v>-6.8435344756097208E-2</v>
      </c>
      <c r="E86" s="66">
        <f>CAPGEMINI!D81</f>
        <v>7.0584996821046936E-2</v>
      </c>
      <c r="F86" s="66">
        <f>DANONE!D81</f>
        <v>7.8806780111139549E-2</v>
      </c>
      <c r="G86" s="66">
        <f>ENGIE!D81</f>
        <v>4.2928354506207328E-2</v>
      </c>
      <c r="H86" s="66">
        <f>'HERMES INTL'!D81</f>
        <v>2.3481086212367615E-2</v>
      </c>
      <c r="I86" s="66">
        <f>'PERNOD RICARD'!D81</f>
        <v>-4.1532853831416699E-3</v>
      </c>
      <c r="J86" s="66">
        <f>RENAULT!D81</f>
        <v>3.957757176073007E-3</v>
      </c>
      <c r="K86" s="66">
        <f>SANOFI!D81</f>
        <v>9.1824396285102305E-2</v>
      </c>
      <c r="L86" s="66">
        <f>'SCHNEIDER ELECTRIC'!D81</f>
        <v>-3.5185777951111108E-2</v>
      </c>
      <c r="M86" s="66">
        <f>TOTALENERGIES!D81</f>
        <v>8.3582431276389389E-3</v>
      </c>
      <c r="N86" s="66">
        <f>VINCI!D81</f>
        <v>4.7919918559128832E-2</v>
      </c>
      <c r="O86" s="66">
        <f>MARKET!D81</f>
        <v>2.30959123E-2</v>
      </c>
      <c r="P86" s="92">
        <f>INTERBANK!D80</f>
        <v>-2.741666666666667E-4</v>
      </c>
      <c r="R86" s="91">
        <v>42794</v>
      </c>
      <c r="S86" s="66">
        <f t="shared" si="28"/>
        <v>0.1047995204442821</v>
      </c>
      <c r="T86" s="66">
        <f t="shared" si="29"/>
        <v>-6.8161178089430535E-2</v>
      </c>
      <c r="U86" s="66">
        <f t="shared" si="30"/>
        <v>7.0859163487713608E-2</v>
      </c>
      <c r="V86" s="66">
        <f t="shared" si="31"/>
        <v>7.9080946777806221E-2</v>
      </c>
      <c r="W86" s="66">
        <f t="shared" si="32"/>
        <v>4.3202521172873994E-2</v>
      </c>
      <c r="X86" s="66">
        <f t="shared" si="33"/>
        <v>2.375525287903428E-2</v>
      </c>
      <c r="Y86" s="66">
        <f t="shared" si="34"/>
        <v>-3.8791187164750034E-3</v>
      </c>
      <c r="Z86" s="66">
        <f t="shared" si="35"/>
        <v>4.2319238427396735E-3</v>
      </c>
      <c r="AA86" s="66">
        <f t="shared" si="36"/>
        <v>9.2098562951768978E-2</v>
      </c>
      <c r="AB86" s="66">
        <f t="shared" si="37"/>
        <v>-3.4911611284444442E-2</v>
      </c>
      <c r="AC86" s="66">
        <f t="shared" si="38"/>
        <v>8.6324097943056063E-3</v>
      </c>
      <c r="AD86" s="66">
        <f t="shared" si="39"/>
        <v>4.8194085225795498E-2</v>
      </c>
      <c r="AE86" s="66">
        <f t="shared" si="40"/>
        <v>2.3370078966666666E-2</v>
      </c>
    </row>
    <row r="87" spans="2:31" ht="16" customHeight="1" x14ac:dyDescent="0.2">
      <c r="B87" s="91">
        <v>42825</v>
      </c>
      <c r="C87" s="66">
        <f>AIRBUS!D82</f>
        <v>2.899606210882278E-2</v>
      </c>
      <c r="D87" s="66">
        <f>BNP!D82</f>
        <v>0.1324143335206989</v>
      </c>
      <c r="E87" s="66">
        <f>CAPGEMINI!D82</f>
        <v>7.2747645928696841E-2</v>
      </c>
      <c r="F87" s="66">
        <f>DANONE!D82</f>
        <v>1.9181460173005552E-2</v>
      </c>
      <c r="G87" s="66">
        <f>ENGIE!D82</f>
        <v>0.15077961058357692</v>
      </c>
      <c r="H87" s="66">
        <f>'HERMES INTL'!D82</f>
        <v>8.215188470795412E-2</v>
      </c>
      <c r="I87" s="66">
        <f>'PERNOD RICARD'!D82</f>
        <v>2.7803557734886533E-2</v>
      </c>
      <c r="J87" s="66">
        <f>RENAULT!D82</f>
        <v>-2.723692963112578E-2</v>
      </c>
      <c r="K87" s="66">
        <f>SANOFI!D82</f>
        <v>4.0452426625267754E-2</v>
      </c>
      <c r="L87" s="66">
        <f>'SCHNEIDER ELECTRIC'!D82</f>
        <v>7.4189950806157506E-2</v>
      </c>
      <c r="M87" s="66">
        <f>TOTALENERGIES!D82</f>
        <v>7.7577024255819473E-3</v>
      </c>
      <c r="N87" s="66">
        <f>VINCI!D82</f>
        <v>9.2486501970788018E-2</v>
      </c>
      <c r="O87" s="66">
        <f>MARKET!D82</f>
        <v>5.43223912E-2</v>
      </c>
      <c r="P87" s="92">
        <f>INTERBANK!D81</f>
        <v>-2.741666666666667E-4</v>
      </c>
      <c r="R87" s="91">
        <v>42825</v>
      </c>
      <c r="S87" s="66">
        <f t="shared" si="28"/>
        <v>2.9270228775489446E-2</v>
      </c>
      <c r="T87" s="66">
        <f t="shared" si="29"/>
        <v>0.13268850018736555</v>
      </c>
      <c r="U87" s="66">
        <f t="shared" si="30"/>
        <v>7.3021812595363514E-2</v>
      </c>
      <c r="V87" s="66">
        <f t="shared" si="31"/>
        <v>1.9455626839672217E-2</v>
      </c>
      <c r="W87" s="66">
        <f t="shared" si="32"/>
        <v>0.15105377725024358</v>
      </c>
      <c r="X87" s="66">
        <f t="shared" si="33"/>
        <v>8.2426051374620793E-2</v>
      </c>
      <c r="Y87" s="66">
        <f t="shared" si="34"/>
        <v>2.8077724401553199E-2</v>
      </c>
      <c r="Z87" s="66">
        <f t="shared" si="35"/>
        <v>-2.6962762964459114E-2</v>
      </c>
      <c r="AA87" s="66">
        <f t="shared" si="36"/>
        <v>4.072659329193442E-2</v>
      </c>
      <c r="AB87" s="66">
        <f t="shared" si="37"/>
        <v>7.4464117472824179E-2</v>
      </c>
      <c r="AC87" s="66">
        <f t="shared" si="38"/>
        <v>8.0318690922486138E-3</v>
      </c>
      <c r="AD87" s="66">
        <f t="shared" si="39"/>
        <v>9.2760668637454691E-2</v>
      </c>
      <c r="AE87" s="66">
        <f t="shared" si="40"/>
        <v>5.4596557866666666E-2</v>
      </c>
    </row>
    <row r="88" spans="2:31" ht="16" customHeight="1" x14ac:dyDescent="0.2">
      <c r="B88" s="91">
        <v>42855</v>
      </c>
      <c r="C88" s="66">
        <f>AIRBUS!D83</f>
        <v>4.0656052605081532E-2</v>
      </c>
      <c r="D88" s="66">
        <f>BNP!D83</f>
        <v>3.7642217516704157E-2</v>
      </c>
      <c r="E88" s="66">
        <f>CAPGEMINI!D83</f>
        <v>6.1691345361735053E-2</v>
      </c>
      <c r="F88" s="66">
        <f>DANONE!D83</f>
        <v>6.5871676640986403E-3</v>
      </c>
      <c r="G88" s="66">
        <f>ENGIE!D83</f>
        <v>-2.4849362107841694E-2</v>
      </c>
      <c r="H88" s="66">
        <f>'HERMES INTL'!D83</f>
        <v>-1.1033564732662654E-2</v>
      </c>
      <c r="I88" s="66">
        <f>'PERNOD RICARD'!D83</f>
        <v>3.5617691773021674E-2</v>
      </c>
      <c r="J88" s="66">
        <f>RENAULT!D83</f>
        <v>5.1332371651754742E-2</v>
      </c>
      <c r="K88" s="66">
        <f>SANOFI!D83</f>
        <v>2.3517043529796579E-2</v>
      </c>
      <c r="L88" s="66">
        <f>'SCHNEIDER ELECTRIC'!D83</f>
        <v>5.6389379695992954E-2</v>
      </c>
      <c r="M88" s="66">
        <f>TOTALENERGIES!D83</f>
        <v>7.8140317185543713E-3</v>
      </c>
      <c r="N88" s="66">
        <f>VINCI!D83</f>
        <v>5.1143882512992664E-2</v>
      </c>
      <c r="O88" s="66">
        <f>MARKET!D83</f>
        <v>2.8271358999999999E-2</v>
      </c>
      <c r="P88" s="92">
        <f>INTERBANK!D82</f>
        <v>-2.7500000000000002E-4</v>
      </c>
      <c r="R88" s="91">
        <v>42855</v>
      </c>
      <c r="S88" s="66">
        <f t="shared" si="28"/>
        <v>4.0931052605081529E-2</v>
      </c>
      <c r="T88" s="66">
        <f t="shared" si="29"/>
        <v>3.7917217516704155E-2</v>
      </c>
      <c r="U88" s="66">
        <f t="shared" si="30"/>
        <v>6.1966345361735051E-2</v>
      </c>
      <c r="V88" s="66">
        <f t="shared" si="31"/>
        <v>6.8621676640986404E-3</v>
      </c>
      <c r="W88" s="66">
        <f t="shared" si="32"/>
        <v>-2.4574362107841693E-2</v>
      </c>
      <c r="X88" s="66">
        <f t="shared" si="33"/>
        <v>-1.0758564732662654E-2</v>
      </c>
      <c r="Y88" s="66">
        <f t="shared" si="34"/>
        <v>3.5892691773021672E-2</v>
      </c>
      <c r="Z88" s="66">
        <f t="shared" si="35"/>
        <v>5.160737165175474E-2</v>
      </c>
      <c r="AA88" s="66">
        <f t="shared" si="36"/>
        <v>2.379204352979658E-2</v>
      </c>
      <c r="AB88" s="66">
        <f t="shared" si="37"/>
        <v>5.6664379695992952E-2</v>
      </c>
      <c r="AC88" s="66">
        <f t="shared" si="38"/>
        <v>8.0890317185543705E-3</v>
      </c>
      <c r="AD88" s="66">
        <f t="shared" si="39"/>
        <v>5.1418882512992661E-2</v>
      </c>
      <c r="AE88" s="66">
        <f t="shared" si="40"/>
        <v>2.8546359E-2</v>
      </c>
    </row>
    <row r="89" spans="2:31" ht="16" customHeight="1" x14ac:dyDescent="0.2">
      <c r="B89" s="91">
        <v>42886</v>
      </c>
      <c r="C89" s="66">
        <f>AIRBUS!D84</f>
        <v>3.3627044975743483E-3</v>
      </c>
      <c r="D89" s="66">
        <f>BNP!D84</f>
        <v>-3.0256313836055274E-2</v>
      </c>
      <c r="E89" s="66">
        <f>CAPGEMINI!D84</f>
        <v>2.8292498803946268E-3</v>
      </c>
      <c r="F89" s="66">
        <f>DANONE!D84</f>
        <v>2.9604404236771773E-2</v>
      </c>
      <c r="G89" s="66">
        <f>ENGIE!D84</f>
        <v>4.9034560557259937E-2</v>
      </c>
      <c r="H89" s="66">
        <f>'HERMES INTL'!D84</f>
        <v>1.7076210784853366E-3</v>
      </c>
      <c r="I89" s="66">
        <f>'PERNOD RICARD'!D84</f>
        <v>5.2677469312436373E-2</v>
      </c>
      <c r="J89" s="66">
        <f>RENAULT!D84</f>
        <v>-2.9435692735500989E-2</v>
      </c>
      <c r="K89" s="66">
        <f>SANOFI!D84</f>
        <v>1.8011738274647918E-2</v>
      </c>
      <c r="L89" s="66">
        <f>'SCHNEIDER ELECTRIC'!D84</f>
        <v>-5.4344788700612996E-2</v>
      </c>
      <c r="M89" s="66">
        <f>TOTALENERGIES!D84</f>
        <v>2.1195347285924383E-3</v>
      </c>
      <c r="N89" s="66">
        <f>VINCI!D84</f>
        <v>1.4255626841152518E-2</v>
      </c>
      <c r="O89" s="66">
        <f>MARKET!D84</f>
        <v>3.0945097999999999E-3</v>
      </c>
      <c r="P89" s="92">
        <f>INTERBANK!D83</f>
        <v>-2.741666666666667E-4</v>
      </c>
      <c r="R89" s="91">
        <v>42886</v>
      </c>
      <c r="S89" s="66">
        <f t="shared" si="28"/>
        <v>3.6368711642410147E-3</v>
      </c>
      <c r="T89" s="66">
        <f t="shared" si="29"/>
        <v>-2.9982147169388608E-2</v>
      </c>
      <c r="U89" s="66">
        <f t="shared" si="30"/>
        <v>3.1034165470612933E-3</v>
      </c>
      <c r="V89" s="66">
        <f t="shared" si="31"/>
        <v>2.9878570903438439E-2</v>
      </c>
      <c r="W89" s="66">
        <f t="shared" si="32"/>
        <v>4.9308727223926603E-2</v>
      </c>
      <c r="X89" s="66">
        <f t="shared" si="33"/>
        <v>1.9817877451520031E-3</v>
      </c>
      <c r="Y89" s="66">
        <f t="shared" si="34"/>
        <v>5.2951635979103039E-2</v>
      </c>
      <c r="Z89" s="66">
        <f t="shared" si="35"/>
        <v>-2.9161526068834324E-2</v>
      </c>
      <c r="AA89" s="66">
        <f t="shared" si="36"/>
        <v>1.8285904941314584E-2</v>
      </c>
      <c r="AB89" s="66">
        <f t="shared" si="37"/>
        <v>-5.4070622033946331E-2</v>
      </c>
      <c r="AC89" s="66">
        <f t="shared" si="38"/>
        <v>2.3937013952591048E-3</v>
      </c>
      <c r="AD89" s="66">
        <f t="shared" si="39"/>
        <v>1.4529793507819185E-2</v>
      </c>
      <c r="AE89" s="66">
        <f t="shared" si="40"/>
        <v>3.3686764666666664E-3</v>
      </c>
    </row>
    <row r="90" spans="2:31" ht="16" customHeight="1" x14ac:dyDescent="0.2">
      <c r="B90" s="91">
        <v>42916</v>
      </c>
      <c r="C90" s="66">
        <f>AIRBUS!D85</f>
        <v>-1.4643660932513857E-2</v>
      </c>
      <c r="D90" s="66">
        <f>BNP!D85</f>
        <v>4.6401954321845441E-2</v>
      </c>
      <c r="E90" s="66">
        <f>CAPGEMINI!D85</f>
        <v>-1.715474689511072E-3</v>
      </c>
      <c r="F90" s="66">
        <f>DANONE!D85</f>
        <v>2.2450719862630118E-2</v>
      </c>
      <c r="G90" s="66">
        <f>ENGIE!D85</f>
        <v>9.0071573017109947E-3</v>
      </c>
      <c r="H90" s="66">
        <f>'HERMES INTL'!D85</f>
        <v>-1.659274578661497E-2</v>
      </c>
      <c r="I90" s="66">
        <f>'PERNOD RICARD'!D85</f>
        <v>-3.0190335893811569E-2</v>
      </c>
      <c r="J90" s="66">
        <f>RENAULT!D85</f>
        <v>-4.6215122795777455E-2</v>
      </c>
      <c r="K90" s="66">
        <f>SANOFI!D85</f>
        <v>-1.8600235169573133E-2</v>
      </c>
      <c r="L90" s="66">
        <f>'SCHNEIDER ELECTRIC'!D85</f>
        <v>8.8079907721665823E-3</v>
      </c>
      <c r="M90" s="66">
        <f>TOTALENERGIES!D85</f>
        <v>-8.4302580885981901E-2</v>
      </c>
      <c r="N90" s="66">
        <f>VINCI!D85</f>
        <v>-3.8595102268642503E-2</v>
      </c>
      <c r="O90" s="66">
        <f>MARKET!D85</f>
        <v>-3.0840484800000002E-2</v>
      </c>
      <c r="P90" s="92">
        <f>INTERBANK!D84</f>
        <v>-2.7500000000000002E-4</v>
      </c>
      <c r="R90" s="91">
        <v>42916</v>
      </c>
      <c r="S90" s="66">
        <f t="shared" si="28"/>
        <v>-1.4368660932513858E-2</v>
      </c>
      <c r="T90" s="66">
        <f t="shared" si="29"/>
        <v>4.6676954321845439E-2</v>
      </c>
      <c r="U90" s="66">
        <f t="shared" si="30"/>
        <v>-1.4404746895110719E-3</v>
      </c>
      <c r="V90" s="66">
        <f t="shared" si="31"/>
        <v>2.2725719862630119E-2</v>
      </c>
      <c r="W90" s="66">
        <f t="shared" si="32"/>
        <v>9.2821573017109939E-3</v>
      </c>
      <c r="X90" s="66">
        <f t="shared" si="33"/>
        <v>-1.6317745786614969E-2</v>
      </c>
      <c r="Y90" s="66">
        <f t="shared" si="34"/>
        <v>-2.9915335893811568E-2</v>
      </c>
      <c r="Z90" s="66">
        <f t="shared" si="35"/>
        <v>-4.5940122795777458E-2</v>
      </c>
      <c r="AA90" s="66">
        <f t="shared" si="36"/>
        <v>-1.8325235169573132E-2</v>
      </c>
      <c r="AB90" s="66">
        <f t="shared" si="37"/>
        <v>9.0829907721665815E-3</v>
      </c>
      <c r="AC90" s="66">
        <f t="shared" si="38"/>
        <v>-8.4027580885981903E-2</v>
      </c>
      <c r="AD90" s="66">
        <f t="shared" si="39"/>
        <v>-3.8320102268642506E-2</v>
      </c>
      <c r="AE90" s="66">
        <f t="shared" si="40"/>
        <v>-3.0565484800000001E-2</v>
      </c>
    </row>
    <row r="91" spans="2:31" ht="16" customHeight="1" x14ac:dyDescent="0.2">
      <c r="B91" s="91">
        <v>42947</v>
      </c>
      <c r="C91" s="66">
        <f>AIRBUS!D86</f>
        <v>-1.9444308036236348E-2</v>
      </c>
      <c r="D91" s="66">
        <f>BNP!D86</f>
        <v>3.980342188869658E-2</v>
      </c>
      <c r="E91" s="66">
        <f>CAPGEMINI!D86</f>
        <v>1.679929317239346E-2</v>
      </c>
      <c r="F91" s="66">
        <f>DANONE!D86</f>
        <v>-4.1331000638609054E-2</v>
      </c>
      <c r="G91" s="66">
        <f>ENGIE!D86</f>
        <v>2.951196231656876E-2</v>
      </c>
      <c r="H91" s="66">
        <f>'HERMES INTL'!D86</f>
        <v>-5.7407751476230631E-3</v>
      </c>
      <c r="I91" s="66">
        <f>'PERNOD RICARD'!D86</f>
        <v>0</v>
      </c>
      <c r="J91" s="66">
        <f>RENAULT!D86</f>
        <v>-6.4729053080307762E-4</v>
      </c>
      <c r="K91" s="66">
        <f>SANOFI!D86</f>
        <v>-3.6294139367433219E-2</v>
      </c>
      <c r="L91" s="66">
        <f>'SCHNEIDER ELECTRIC'!D86</f>
        <v>-1.3676205629205391E-2</v>
      </c>
      <c r="M91" s="66">
        <f>TOTALENERGIES!D86</f>
        <v>5.8162564882513748E-3</v>
      </c>
      <c r="N91" s="66">
        <f>VINCI!D86</f>
        <v>1.351497131795344E-2</v>
      </c>
      <c r="O91" s="66">
        <f>MARKET!D86</f>
        <v>-5.2551917999999996E-3</v>
      </c>
      <c r="P91" s="92">
        <f>INTERBANK!D85</f>
        <v>-2.7500000000000002E-4</v>
      </c>
      <c r="R91" s="91">
        <v>42947</v>
      </c>
      <c r="S91" s="66">
        <f t="shared" ref="S91:S122" si="41">C91-$P91</f>
        <v>-1.9169308036236347E-2</v>
      </c>
      <c r="T91" s="66">
        <f t="shared" ref="T91:T122" si="42">D91-$P91</f>
        <v>4.0078421888696578E-2</v>
      </c>
      <c r="U91" s="66">
        <f t="shared" ref="U91:U122" si="43">E91-$P91</f>
        <v>1.7074293172393461E-2</v>
      </c>
      <c r="V91" s="66">
        <f t="shared" ref="V91:V122" si="44">F91-$P91</f>
        <v>-4.1056000638609057E-2</v>
      </c>
      <c r="W91" s="66">
        <f t="shared" ref="W91:W122" si="45">G91-$P91</f>
        <v>2.9786962316568761E-2</v>
      </c>
      <c r="X91" s="66">
        <f t="shared" ref="X91:X122" si="46">H91-$P91</f>
        <v>-5.4657751476230631E-3</v>
      </c>
      <c r="Y91" s="66">
        <f t="shared" ref="Y91:Y122" si="47">I91-$P91</f>
        <v>2.7500000000000002E-4</v>
      </c>
      <c r="Z91" s="66">
        <f t="shared" ref="Z91:Z122" si="48">J91-$P91</f>
        <v>-3.722905308030776E-4</v>
      </c>
      <c r="AA91" s="66">
        <f t="shared" ref="AA91:AA122" si="49">K91-$P91</f>
        <v>-3.6019139367433221E-2</v>
      </c>
      <c r="AB91" s="66">
        <f t="shared" ref="AB91:AB122" si="50">L91-$P91</f>
        <v>-1.3401205629205392E-2</v>
      </c>
      <c r="AC91" s="66">
        <f t="shared" ref="AC91:AC122" si="51">M91-$P91</f>
        <v>6.0912564882513748E-3</v>
      </c>
      <c r="AD91" s="66">
        <f t="shared" ref="AD91:AD122" si="52">N91-$P91</f>
        <v>1.3789971317953439E-2</v>
      </c>
      <c r="AE91" s="66">
        <f t="shared" ref="AE91:AE122" si="53">O91-$P91</f>
        <v>-4.9801917999999995E-3</v>
      </c>
    </row>
    <row r="92" spans="2:31" ht="16" customHeight="1" x14ac:dyDescent="0.2">
      <c r="B92" s="91">
        <v>42978</v>
      </c>
      <c r="C92" s="66">
        <f>AIRBUS!D87</f>
        <v>1.4165695110208393E-4</v>
      </c>
      <c r="D92" s="66">
        <f>BNP!D87</f>
        <v>-2.5316341202777457E-2</v>
      </c>
      <c r="E92" s="66">
        <f>CAPGEMINI!D87</f>
        <v>1.2282498119923404E-2</v>
      </c>
      <c r="F92" s="66">
        <f>DANONE!D87</f>
        <v>4.8502178627937619E-2</v>
      </c>
      <c r="G92" s="66">
        <f>ENGIE!D87</f>
        <v>3.0503647317323641E-2</v>
      </c>
      <c r="H92" s="66">
        <f>'HERMES INTL'!D87</f>
        <v>3.80842946401376E-2</v>
      </c>
      <c r="I92" s="66">
        <f>'PERNOD RICARD'!D87</f>
        <v>-1.3026450316143318E-2</v>
      </c>
      <c r="J92" s="66">
        <f>RENAULT!D87</f>
        <v>-2.3765914858762793E-2</v>
      </c>
      <c r="K92" s="66">
        <f>SANOFI!D87</f>
        <v>1.1645059054025216E-2</v>
      </c>
      <c r="L92" s="66">
        <f>'SCHNEIDER ELECTRIC'!D87</f>
        <v>2.0798791208646316E-2</v>
      </c>
      <c r="M92" s="66">
        <f>TOTALENERGIES!D87</f>
        <v>1.128968549562526E-2</v>
      </c>
      <c r="N92" s="66">
        <f>VINCI!D87</f>
        <v>2.1257202936507708E-2</v>
      </c>
      <c r="O92" s="66">
        <f>MARKET!D87</f>
        <v>-1.6059177999999999E-3</v>
      </c>
      <c r="P92" s="92">
        <f>INTERBANK!D86</f>
        <v>-2.741666666666667E-4</v>
      </c>
      <c r="R92" s="91">
        <v>42978</v>
      </c>
      <c r="S92" s="66">
        <f t="shared" si="41"/>
        <v>4.158236177687506E-4</v>
      </c>
      <c r="T92" s="66">
        <f t="shared" si="42"/>
        <v>-2.5042174536110792E-2</v>
      </c>
      <c r="U92" s="66">
        <f t="shared" si="43"/>
        <v>1.2556664786590071E-2</v>
      </c>
      <c r="V92" s="66">
        <f t="shared" si="44"/>
        <v>4.8776345294604284E-2</v>
      </c>
      <c r="W92" s="66">
        <f t="shared" si="45"/>
        <v>3.0777813983990307E-2</v>
      </c>
      <c r="X92" s="66">
        <f t="shared" si="46"/>
        <v>3.8358461306804266E-2</v>
      </c>
      <c r="Y92" s="66">
        <f t="shared" si="47"/>
        <v>-1.2752283649476651E-2</v>
      </c>
      <c r="Z92" s="66">
        <f t="shared" si="48"/>
        <v>-2.3491748192096127E-2</v>
      </c>
      <c r="AA92" s="66">
        <f t="shared" si="49"/>
        <v>1.1919225720691883E-2</v>
      </c>
      <c r="AB92" s="66">
        <f t="shared" si="50"/>
        <v>2.1072957875312982E-2</v>
      </c>
      <c r="AC92" s="66">
        <f t="shared" si="51"/>
        <v>1.1563852162291928E-2</v>
      </c>
      <c r="AD92" s="66">
        <f t="shared" si="52"/>
        <v>2.1531369603174373E-2</v>
      </c>
      <c r="AE92" s="66">
        <f t="shared" si="53"/>
        <v>-1.3317511333333332E-3</v>
      </c>
    </row>
    <row r="93" spans="2:31" ht="16" customHeight="1" x14ac:dyDescent="0.2">
      <c r="B93" s="91">
        <v>43008</v>
      </c>
      <c r="C93" s="66">
        <f>AIRBUS!D88</f>
        <v>0.13879049847778976</v>
      </c>
      <c r="D93" s="66">
        <f>BNP!D88</f>
        <v>6.7907923735945799E-2</v>
      </c>
      <c r="E93" s="66">
        <f>CAPGEMINI!D88</f>
        <v>6.4748177200099982E-2</v>
      </c>
      <c r="F93" s="66">
        <f>DANONE!D88</f>
        <v>3.3258245859336746E-3</v>
      </c>
      <c r="G93" s="66">
        <f>ENGIE!D88</f>
        <v>2.4964287016382578E-2</v>
      </c>
      <c r="H93" s="66">
        <f>'HERMES INTL'!D88</f>
        <v>-3.995078088082487E-2</v>
      </c>
      <c r="I93" s="66">
        <f>'PERNOD RICARD'!D88</f>
        <v>1.9599298574316231E-2</v>
      </c>
      <c r="J93" s="66">
        <f>RENAULT!D88</f>
        <v>0.11782110571775815</v>
      </c>
      <c r="K93" s="66">
        <f>SANOFI!D88</f>
        <v>2.877795068551078E-2</v>
      </c>
      <c r="L93" s="66">
        <f>'SCHNEIDER ELECTRIC'!D88</f>
        <v>8.7110571608683032E-2</v>
      </c>
      <c r="M93" s="66">
        <f>TOTALENERGIES!D88</f>
        <v>4.6035137333551406E-2</v>
      </c>
      <c r="N93" s="66">
        <f>VINCI!D88</f>
        <v>3.9431077238364899E-2</v>
      </c>
      <c r="O93" s="66">
        <f>MARKET!D88</f>
        <v>4.8022003799999997E-2</v>
      </c>
      <c r="P93" s="92">
        <f>INTERBANK!D87</f>
        <v>-2.741666666666667E-4</v>
      </c>
      <c r="R93" s="91">
        <v>43008</v>
      </c>
      <c r="S93" s="66">
        <f t="shared" si="41"/>
        <v>0.13906466514445642</v>
      </c>
      <c r="T93" s="66">
        <f t="shared" si="42"/>
        <v>6.8182090402612472E-2</v>
      </c>
      <c r="U93" s="66">
        <f t="shared" si="43"/>
        <v>6.5022343866766655E-2</v>
      </c>
      <c r="V93" s="66">
        <f t="shared" si="44"/>
        <v>3.5999912526003411E-3</v>
      </c>
      <c r="W93" s="66">
        <f t="shared" si="45"/>
        <v>2.5238453683049243E-2</v>
      </c>
      <c r="X93" s="66">
        <f t="shared" si="46"/>
        <v>-3.9676614214158204E-2</v>
      </c>
      <c r="Y93" s="66">
        <f t="shared" si="47"/>
        <v>1.9873465240982897E-2</v>
      </c>
      <c r="Z93" s="66">
        <f t="shared" si="48"/>
        <v>0.11809527238442483</v>
      </c>
      <c r="AA93" s="66">
        <f t="shared" si="49"/>
        <v>2.9052117352177446E-2</v>
      </c>
      <c r="AB93" s="66">
        <f t="shared" si="50"/>
        <v>8.7384738275349705E-2</v>
      </c>
      <c r="AC93" s="66">
        <f t="shared" si="51"/>
        <v>4.6309304000218071E-2</v>
      </c>
      <c r="AD93" s="66">
        <f t="shared" si="52"/>
        <v>3.9705243905031565E-2</v>
      </c>
      <c r="AE93" s="66">
        <f t="shared" si="53"/>
        <v>4.8296170466666663E-2</v>
      </c>
    </row>
    <row r="94" spans="2:31" ht="16" customHeight="1" x14ac:dyDescent="0.2">
      <c r="B94" s="91">
        <v>43039</v>
      </c>
      <c r="C94" s="66">
        <f>AIRBUS!D89</f>
        <v>9.1282025082051257E-2</v>
      </c>
      <c r="D94" s="66">
        <f>BNP!D89</f>
        <v>-1.7728909009029632E-2</v>
      </c>
      <c r="E94" s="66">
        <f>CAPGEMINI!D89</f>
        <v>5.2339597950656395E-2</v>
      </c>
      <c r="F94" s="66">
        <f>DANONE!D89</f>
        <v>5.6802596644248658E-2</v>
      </c>
      <c r="G94" s="66">
        <f>ENGIE!D89</f>
        <v>9.7424779330438412E-3</v>
      </c>
      <c r="H94" s="66">
        <f>'HERMES INTL'!D89</f>
        <v>4.4543579074664733E-2</v>
      </c>
      <c r="I94" s="66">
        <f>'PERNOD RICARD'!D89</f>
        <v>9.9957260395293068E-2</v>
      </c>
      <c r="J94" s="66">
        <f>RENAULT!D89</f>
        <v>2.44253914701348E-2</v>
      </c>
      <c r="K94" s="66">
        <f>SANOFI!D89</f>
        <v>-3.2376991617781736E-2</v>
      </c>
      <c r="L94" s="66">
        <f>'SCHNEIDER ELECTRIC'!D89</f>
        <v>2.4718400677795346E-2</v>
      </c>
      <c r="M94" s="66">
        <f>TOTALENERGIES!D89</f>
        <v>6.7773201890034176E-2</v>
      </c>
      <c r="N94" s="66">
        <f>VINCI!D89</f>
        <v>4.5398202406238902E-2</v>
      </c>
      <c r="O94" s="66">
        <f>MARKET!D89</f>
        <v>3.2548998699999998E-2</v>
      </c>
      <c r="P94" s="92">
        <f>INTERBANK!D88</f>
        <v>-2.7500000000000002E-4</v>
      </c>
      <c r="R94" s="91">
        <v>43039</v>
      </c>
      <c r="S94" s="66">
        <f t="shared" si="41"/>
        <v>9.1557025082051255E-2</v>
      </c>
      <c r="T94" s="66">
        <f t="shared" si="42"/>
        <v>-1.7453909009029631E-2</v>
      </c>
      <c r="U94" s="66">
        <f t="shared" si="43"/>
        <v>5.2614597950656393E-2</v>
      </c>
      <c r="V94" s="66">
        <f t="shared" si="44"/>
        <v>5.7077596644248656E-2</v>
      </c>
      <c r="W94" s="66">
        <f t="shared" si="45"/>
        <v>1.001747793304384E-2</v>
      </c>
      <c r="X94" s="66">
        <f t="shared" si="46"/>
        <v>4.481857907466473E-2</v>
      </c>
      <c r="Y94" s="66">
        <f t="shared" si="47"/>
        <v>0.10023226039529307</v>
      </c>
      <c r="Z94" s="66">
        <f t="shared" si="48"/>
        <v>2.4700391470134801E-2</v>
      </c>
      <c r="AA94" s="66">
        <f t="shared" si="49"/>
        <v>-3.2101991617781739E-2</v>
      </c>
      <c r="AB94" s="66">
        <f t="shared" si="50"/>
        <v>2.4993400677795347E-2</v>
      </c>
      <c r="AC94" s="66">
        <f t="shared" si="51"/>
        <v>6.8048201890034174E-2</v>
      </c>
      <c r="AD94" s="66">
        <f t="shared" si="52"/>
        <v>4.56732024062389E-2</v>
      </c>
      <c r="AE94" s="66">
        <f t="shared" si="53"/>
        <v>3.2823998699999996E-2</v>
      </c>
    </row>
    <row r="95" spans="2:31" ht="16" customHeight="1" x14ac:dyDescent="0.2">
      <c r="B95" s="91">
        <v>43069</v>
      </c>
      <c r="C95" s="66">
        <f>AIRBUS!D90</f>
        <v>-5.2421046087777062E-3</v>
      </c>
      <c r="D95" s="66">
        <f>BNP!D90</f>
        <v>-5.1611075055696093E-2</v>
      </c>
      <c r="E95" s="66">
        <f>CAPGEMINI!D90</f>
        <v>-7.1586047045802598E-2</v>
      </c>
      <c r="F95" s="66">
        <f>DANONE!D90</f>
        <v>1.1120707085418033E-2</v>
      </c>
      <c r="G95" s="66">
        <f>ENGIE!D90</f>
        <v>3.8675851296981062E-2</v>
      </c>
      <c r="H95" s="66">
        <f>'HERMES INTL'!D90</f>
        <v>-6.060034705607527E-3</v>
      </c>
      <c r="I95" s="66">
        <f>'PERNOD RICARD'!D90</f>
        <v>1.7864209651505373E-2</v>
      </c>
      <c r="J95" s="66">
        <f>RENAULT!D90</f>
        <v>2.8188744646373718E-3</v>
      </c>
      <c r="K95" s="66">
        <f>SANOFI!D90</f>
        <v>-5.7694861171402323E-2</v>
      </c>
      <c r="L95" s="66">
        <f>'SCHNEIDER ELECTRIC'!D90</f>
        <v>-4.2942341896959522E-2</v>
      </c>
      <c r="M95" s="66">
        <f>TOTALENERGIES!D90</f>
        <v>-9.7137301604820134E-3</v>
      </c>
      <c r="N95" s="66">
        <f>VINCI!D90</f>
        <v>2.1296645730961638E-2</v>
      </c>
      <c r="O95" s="66">
        <f>MARKET!D90</f>
        <v>-2.3713087800000001E-2</v>
      </c>
      <c r="P95" s="92">
        <f>INTERBANK!D89</f>
        <v>-2.741666666666667E-4</v>
      </c>
      <c r="R95" s="91">
        <v>43069</v>
      </c>
      <c r="S95" s="66">
        <f t="shared" si="41"/>
        <v>-4.9679379421110397E-3</v>
      </c>
      <c r="T95" s="66">
        <f t="shared" si="42"/>
        <v>-5.1336908389029427E-2</v>
      </c>
      <c r="U95" s="66">
        <f t="shared" si="43"/>
        <v>-7.1311880379135925E-2</v>
      </c>
      <c r="V95" s="66">
        <f t="shared" si="44"/>
        <v>1.13948737520847E-2</v>
      </c>
      <c r="W95" s="66">
        <f t="shared" si="45"/>
        <v>3.8950017963647728E-2</v>
      </c>
      <c r="X95" s="66">
        <f t="shared" si="46"/>
        <v>-5.7858680389408605E-3</v>
      </c>
      <c r="Y95" s="66">
        <f t="shared" si="47"/>
        <v>1.8138376318172039E-2</v>
      </c>
      <c r="Z95" s="66">
        <f t="shared" si="48"/>
        <v>3.0930411313040383E-3</v>
      </c>
      <c r="AA95" s="66">
        <f t="shared" si="49"/>
        <v>-5.7420694504735657E-2</v>
      </c>
      <c r="AB95" s="66">
        <f t="shared" si="50"/>
        <v>-4.2668175230292857E-2</v>
      </c>
      <c r="AC95" s="66">
        <f t="shared" si="51"/>
        <v>-9.439563493815346E-3</v>
      </c>
      <c r="AD95" s="66">
        <f t="shared" si="52"/>
        <v>2.1570812397628304E-2</v>
      </c>
      <c r="AE95" s="66">
        <f t="shared" si="53"/>
        <v>-2.3438921133333335E-2</v>
      </c>
    </row>
    <row r="96" spans="2:31" ht="16" customHeight="1" x14ac:dyDescent="0.2">
      <c r="B96" s="91">
        <v>43100</v>
      </c>
      <c r="C96" s="66">
        <f>AIRBUS!D91</f>
        <v>-4.9146526089121782E-2</v>
      </c>
      <c r="D96" s="66">
        <f>BNP!D91</f>
        <v>-2.0918558255646424E-2</v>
      </c>
      <c r="E96" s="66">
        <f>CAPGEMINI!D91</f>
        <v>2.0747580816386068E-2</v>
      </c>
      <c r="F96" s="66">
        <f>DANONE!D91</f>
        <v>-1.3677566123937689E-2</v>
      </c>
      <c r="G96" s="66">
        <f>ENGIE!D91</f>
        <v>-2.5161381825636143E-2</v>
      </c>
      <c r="H96" s="66">
        <f>'HERMES INTL'!D91</f>
        <v>7.6776900469476238E-3</v>
      </c>
      <c r="I96" s="66">
        <f>'PERNOD RICARD'!D91</f>
        <v>1.5425046977930108E-2</v>
      </c>
      <c r="J96" s="66">
        <f>RENAULT!D91</f>
        <v>-1.7217073327544484E-2</v>
      </c>
      <c r="K96" s="66">
        <f>SANOFI!D91</f>
        <v>-6.2010485546096956E-2</v>
      </c>
      <c r="L96" s="66">
        <f>'SCHNEIDER ELECTRIC'!D91</f>
        <v>-1.8695671605887743E-2</v>
      </c>
      <c r="M96" s="66">
        <f>TOTALENERGIES!D91</f>
        <v>-2.8689285094423051E-2</v>
      </c>
      <c r="N96" s="66">
        <f>VINCI!D91</f>
        <v>1.3209554400311066E-5</v>
      </c>
      <c r="O96" s="66">
        <f>MARKET!D91</f>
        <v>-1.12101869E-2</v>
      </c>
      <c r="P96" s="92">
        <f>INTERBANK!D90</f>
        <v>-2.7333333333333333E-4</v>
      </c>
      <c r="R96" s="91">
        <v>43100</v>
      </c>
      <c r="S96" s="66">
        <f t="shared" si="41"/>
        <v>-4.8873192755788449E-2</v>
      </c>
      <c r="T96" s="66">
        <f t="shared" si="42"/>
        <v>-2.0645224922313091E-2</v>
      </c>
      <c r="U96" s="66">
        <f t="shared" si="43"/>
        <v>2.1020914149719402E-2</v>
      </c>
      <c r="V96" s="66">
        <f t="shared" si="44"/>
        <v>-1.3404232790604355E-2</v>
      </c>
      <c r="W96" s="66">
        <f t="shared" si="45"/>
        <v>-2.4888048492302809E-2</v>
      </c>
      <c r="X96" s="66">
        <f t="shared" si="46"/>
        <v>7.9510233802809575E-3</v>
      </c>
      <c r="Y96" s="66">
        <f t="shared" si="47"/>
        <v>1.569838031126344E-2</v>
      </c>
      <c r="Z96" s="66">
        <f t="shared" si="48"/>
        <v>-1.694373999421115E-2</v>
      </c>
      <c r="AA96" s="66">
        <f t="shared" si="49"/>
        <v>-6.1737152212763623E-2</v>
      </c>
      <c r="AB96" s="66">
        <f t="shared" si="50"/>
        <v>-1.842233827255441E-2</v>
      </c>
      <c r="AC96" s="66">
        <f t="shared" si="51"/>
        <v>-2.8415951761089717E-2</v>
      </c>
      <c r="AD96" s="66">
        <f t="shared" si="52"/>
        <v>2.8654288773364439E-4</v>
      </c>
      <c r="AE96" s="66">
        <f t="shared" si="53"/>
        <v>-1.0936853566666667E-2</v>
      </c>
    </row>
    <row r="97" spans="2:31" ht="16" customHeight="1" x14ac:dyDescent="0.2">
      <c r="B97" s="91">
        <v>43131</v>
      </c>
      <c r="C97" s="66">
        <f>AIRBUS!D92</f>
        <v>0.11445801340279964</v>
      </c>
      <c r="D97" s="66">
        <f>BNP!D92</f>
        <v>6.9879502215017708E-2</v>
      </c>
      <c r="E97" s="66">
        <f>CAPGEMINI!D92</f>
        <v>8.1504514039212092E-2</v>
      </c>
      <c r="F97" s="66">
        <f>DANONE!D92</f>
        <v>-7.0049015970054824E-3</v>
      </c>
      <c r="G97" s="66">
        <f>ENGIE!D92</f>
        <v>-2.4764682241273366E-2</v>
      </c>
      <c r="H97" s="66">
        <f>'HERMES INTL'!D92</f>
        <v>-2.3529955519554298E-3</v>
      </c>
      <c r="I97" s="66">
        <f>'PERNOD RICARD'!D92</f>
        <v>-2.7661897919556089E-2</v>
      </c>
      <c r="J97" s="66">
        <f>RENAULT!D92</f>
        <v>5.5535637366868472E-2</v>
      </c>
      <c r="K97" s="66">
        <f>SANOFI!D92</f>
        <v>-1.0159917778556458E-2</v>
      </c>
      <c r="L97" s="66">
        <f>'SCHNEIDER ELECTRIC'!D92</f>
        <v>6.5199050973992811E-2</v>
      </c>
      <c r="M97" s="66">
        <f>TOTALENERGIES!D92</f>
        <v>2.6250110714838334E-2</v>
      </c>
      <c r="N97" s="66">
        <f>VINCI!D92</f>
        <v>2.1726417288251039E-2</v>
      </c>
      <c r="O97" s="66">
        <f>MARKET!D92</f>
        <v>3.1881073400000001E-2</v>
      </c>
      <c r="P97" s="92">
        <f>INTERBANK!D91</f>
        <v>-2.7333333333333333E-4</v>
      </c>
      <c r="R97" s="91">
        <v>43131</v>
      </c>
      <c r="S97" s="66">
        <f t="shared" si="41"/>
        <v>0.11473134673613297</v>
      </c>
      <c r="T97" s="66">
        <f t="shared" si="42"/>
        <v>7.0152835548351042E-2</v>
      </c>
      <c r="U97" s="66">
        <f t="shared" si="43"/>
        <v>8.1777847372545426E-2</v>
      </c>
      <c r="V97" s="66">
        <f t="shared" si="44"/>
        <v>-6.7315682636721486E-3</v>
      </c>
      <c r="W97" s="66">
        <f t="shared" si="45"/>
        <v>-2.4491348907940032E-2</v>
      </c>
      <c r="X97" s="66">
        <f t="shared" si="46"/>
        <v>-2.0796622186220965E-3</v>
      </c>
      <c r="Y97" s="66">
        <f t="shared" si="47"/>
        <v>-2.7388564586222755E-2</v>
      </c>
      <c r="Z97" s="66">
        <f t="shared" si="48"/>
        <v>5.5808970700201806E-2</v>
      </c>
      <c r="AA97" s="66">
        <f t="shared" si="49"/>
        <v>-9.8865844452231243E-3</v>
      </c>
      <c r="AB97" s="66">
        <f t="shared" si="50"/>
        <v>6.5472384307326145E-2</v>
      </c>
      <c r="AC97" s="66">
        <f t="shared" si="51"/>
        <v>2.6523444048171668E-2</v>
      </c>
      <c r="AD97" s="66">
        <f t="shared" si="52"/>
        <v>2.1999750621584373E-2</v>
      </c>
      <c r="AE97" s="66">
        <f t="shared" si="53"/>
        <v>3.2154406733333335E-2</v>
      </c>
    </row>
    <row r="98" spans="2:31" ht="16" customHeight="1" x14ac:dyDescent="0.2">
      <c r="B98" s="91">
        <v>43159</v>
      </c>
      <c r="C98" s="66">
        <f>AIRBUS!D93</f>
        <v>6.313495280227209E-2</v>
      </c>
      <c r="D98" s="66">
        <f>BNP!D93</f>
        <v>-1.8468343621779484E-2</v>
      </c>
      <c r="E98" s="66">
        <f>CAPGEMINI!D93</f>
        <v>-3.7400613706769816E-2</v>
      </c>
      <c r="F98" s="66">
        <f>DANONE!D93</f>
        <v>-5.3411973213772175E-2</v>
      </c>
      <c r="G98" s="66">
        <f>ENGIE!D93</f>
        <v>-7.9041487519791634E-2</v>
      </c>
      <c r="H98" s="66">
        <f>'HERMES INTL'!D93</f>
        <v>-6.9631243190031609E-3</v>
      </c>
      <c r="I98" s="66">
        <f>'PERNOD RICARD'!D93</f>
        <v>5.2221349455144603E-2</v>
      </c>
      <c r="J98" s="66">
        <f>RENAULT!D93</f>
        <v>1.0274491121752969E-2</v>
      </c>
      <c r="K98" s="66">
        <f>SANOFI!D93</f>
        <v>-8.5629970226759763E-2</v>
      </c>
      <c r="L98" s="66">
        <f>'SCHNEIDER ELECTRIC'!D93</f>
        <v>-5.1669300520450309E-2</v>
      </c>
      <c r="M98" s="66">
        <f>TOTALENERGIES!D93</f>
        <v>7.1835126267002095E-3</v>
      </c>
      <c r="N98" s="66">
        <f>VINCI!D93</f>
        <v>-6.5287230791126999E-2</v>
      </c>
      <c r="O98" s="66">
        <f>MARKET!D93</f>
        <v>-2.9449470599999999E-2</v>
      </c>
      <c r="P98" s="92">
        <f>INTERBANK!D92</f>
        <v>-2.741666666666667E-4</v>
      </c>
      <c r="R98" s="91">
        <v>43159</v>
      </c>
      <c r="S98" s="66">
        <f t="shared" si="41"/>
        <v>6.3409119468938763E-2</v>
      </c>
      <c r="T98" s="66">
        <f t="shared" si="42"/>
        <v>-1.8194176955112818E-2</v>
      </c>
      <c r="U98" s="66">
        <f t="shared" si="43"/>
        <v>-3.712644704010315E-2</v>
      </c>
      <c r="V98" s="66">
        <f t="shared" si="44"/>
        <v>-5.3137806547105509E-2</v>
      </c>
      <c r="W98" s="66">
        <f t="shared" si="45"/>
        <v>-7.8767320853124961E-2</v>
      </c>
      <c r="X98" s="66">
        <f t="shared" si="46"/>
        <v>-6.6889576523364944E-3</v>
      </c>
      <c r="Y98" s="66">
        <f t="shared" si="47"/>
        <v>5.2495516121811268E-2</v>
      </c>
      <c r="Z98" s="66">
        <f t="shared" si="48"/>
        <v>1.0548657788419636E-2</v>
      </c>
      <c r="AA98" s="66">
        <f t="shared" si="49"/>
        <v>-8.5355803560093091E-2</v>
      </c>
      <c r="AB98" s="66">
        <f t="shared" si="50"/>
        <v>-5.1395133853783644E-2</v>
      </c>
      <c r="AC98" s="66">
        <f t="shared" si="51"/>
        <v>7.457679293366876E-3</v>
      </c>
      <c r="AD98" s="66">
        <f t="shared" si="52"/>
        <v>-6.5013064124460326E-2</v>
      </c>
      <c r="AE98" s="66">
        <f t="shared" si="53"/>
        <v>-2.9175303933333334E-2</v>
      </c>
    </row>
    <row r="99" spans="2:31" ht="16" customHeight="1" x14ac:dyDescent="0.2">
      <c r="B99" s="91">
        <v>43190</v>
      </c>
      <c r="C99" s="66">
        <f>AIRBUS!D94</f>
        <v>-4.6166357563511118E-2</v>
      </c>
      <c r="D99" s="66">
        <f>BNP!D94</f>
        <v>-7.9547246543271E-2</v>
      </c>
      <c r="E99" s="66">
        <f>CAPGEMINI!D94</f>
        <v>-1.6998581920545531E-2</v>
      </c>
      <c r="F99" s="66">
        <f>DANONE!D94</f>
        <v>-3.0409838618440747E-4</v>
      </c>
      <c r="G99" s="66">
        <f>ENGIE!D94</f>
        <v>5.281558512303753E-2</v>
      </c>
      <c r="H99" s="66">
        <f>'HERMES INTL'!D94</f>
        <v>9.2832185076541673E-2</v>
      </c>
      <c r="I99" s="66">
        <f>'PERNOD RICARD'!D94</f>
        <v>1.8518313463973346E-3</v>
      </c>
      <c r="J99" s="66">
        <f>RENAULT!D94</f>
        <v>0.10080476048491509</v>
      </c>
      <c r="K99" s="66">
        <f>SANOFI!D94</f>
        <v>4.6132267965668132E-3</v>
      </c>
      <c r="L99" s="66">
        <f>'SCHNEIDER ELECTRIC'!D94</f>
        <v>-3.3529610393788077E-3</v>
      </c>
      <c r="M99" s="66">
        <f>TOTALENERGIES!D94</f>
        <v>-1.7883642212033021E-2</v>
      </c>
      <c r="N99" s="66">
        <f>VINCI!D94</f>
        <v>-1.7461918907427657E-2</v>
      </c>
      <c r="O99" s="66">
        <f>MARKET!D94</f>
        <v>-2.8792540299999999E-2</v>
      </c>
      <c r="P99" s="92">
        <f>INTERBANK!D93</f>
        <v>-2.7333333333333333E-4</v>
      </c>
      <c r="R99" s="91">
        <v>43190</v>
      </c>
      <c r="S99" s="66">
        <f t="shared" si="41"/>
        <v>-4.5893024230177784E-2</v>
      </c>
      <c r="T99" s="66">
        <f t="shared" si="42"/>
        <v>-7.9273913209937666E-2</v>
      </c>
      <c r="U99" s="66">
        <f t="shared" si="43"/>
        <v>-1.6725248587212197E-2</v>
      </c>
      <c r="V99" s="66">
        <f t="shared" si="44"/>
        <v>-3.0765052851074138E-5</v>
      </c>
      <c r="W99" s="66">
        <f t="shared" si="45"/>
        <v>5.3088918456370864E-2</v>
      </c>
      <c r="X99" s="66">
        <f t="shared" si="46"/>
        <v>9.3105518409875007E-2</v>
      </c>
      <c r="Y99" s="66">
        <f t="shared" si="47"/>
        <v>2.1251646797306682E-3</v>
      </c>
      <c r="Z99" s="66">
        <f t="shared" si="48"/>
        <v>0.10107809381824842</v>
      </c>
      <c r="AA99" s="66">
        <f t="shared" si="49"/>
        <v>4.8865601299001461E-3</v>
      </c>
      <c r="AB99" s="66">
        <f t="shared" si="50"/>
        <v>-3.0796277060454744E-3</v>
      </c>
      <c r="AC99" s="66">
        <f t="shared" si="51"/>
        <v>-1.7610308878699688E-2</v>
      </c>
      <c r="AD99" s="66">
        <f t="shared" si="52"/>
        <v>-1.7188585574094323E-2</v>
      </c>
      <c r="AE99" s="66">
        <f t="shared" si="53"/>
        <v>-2.8519206966666665E-2</v>
      </c>
    </row>
    <row r="100" spans="2:31" ht="16" customHeight="1" x14ac:dyDescent="0.2">
      <c r="B100" s="91">
        <v>43220</v>
      </c>
      <c r="C100" s="66">
        <f>AIRBUS!D95</f>
        <v>3.837961951639253E-2</v>
      </c>
      <c r="D100" s="66">
        <f>BNP!D95</f>
        <v>6.3320642540848279E-2</v>
      </c>
      <c r="E100" s="66">
        <f>CAPGEMINI!D95</f>
        <v>0.12648231624463338</v>
      </c>
      <c r="F100" s="66">
        <f>DANONE!D95</f>
        <v>2.0690535842162308E-2</v>
      </c>
      <c r="G100" s="66">
        <f>ENGIE!D95</f>
        <v>7.3404752136630141E-2</v>
      </c>
      <c r="H100" s="66">
        <f>'HERMES INTL'!D95</f>
        <v>0.11277245293239264</v>
      </c>
      <c r="I100" s="66">
        <f>'PERNOD RICARD'!D95</f>
        <v>1.7005696366169637E-2</v>
      </c>
      <c r="J100" s="66">
        <f>RENAULT!D95</f>
        <v>-8.7918890198320832E-2</v>
      </c>
      <c r="K100" s="66">
        <f>SANOFI!D95</f>
        <v>7.0412341687884515E-3</v>
      </c>
      <c r="L100" s="66">
        <f>'SCHNEIDER ELECTRIC'!D95</f>
        <v>5.522851329785583E-2</v>
      </c>
      <c r="M100" s="66">
        <f>TOTALENERGIES!D95</f>
        <v>0.14931631563687547</v>
      </c>
      <c r="N100" s="66">
        <f>VINCI!D95</f>
        <v>4.0050060955449635E-2</v>
      </c>
      <c r="O100" s="66">
        <f>MARKET!D95</f>
        <v>6.8352951999999995E-2</v>
      </c>
      <c r="P100" s="92">
        <f>INTERBANK!D94</f>
        <v>-2.7333333333333333E-4</v>
      </c>
      <c r="R100" s="91">
        <v>43220</v>
      </c>
      <c r="S100" s="66">
        <f t="shared" si="41"/>
        <v>3.8652952849725863E-2</v>
      </c>
      <c r="T100" s="66">
        <f t="shared" si="42"/>
        <v>6.3593975874181613E-2</v>
      </c>
      <c r="U100" s="66">
        <f t="shared" si="43"/>
        <v>0.1267556495779667</v>
      </c>
      <c r="V100" s="66">
        <f t="shared" si="44"/>
        <v>2.0963869175495642E-2</v>
      </c>
      <c r="W100" s="66">
        <f t="shared" si="45"/>
        <v>7.3678085469963475E-2</v>
      </c>
      <c r="X100" s="66">
        <f t="shared" si="46"/>
        <v>0.11304578626572598</v>
      </c>
      <c r="Y100" s="66">
        <f t="shared" si="47"/>
        <v>1.7279029699502971E-2</v>
      </c>
      <c r="Z100" s="66">
        <f t="shared" si="48"/>
        <v>-8.7645556864987498E-2</v>
      </c>
      <c r="AA100" s="66">
        <f t="shared" si="49"/>
        <v>7.3145675021217844E-3</v>
      </c>
      <c r="AB100" s="66">
        <f t="shared" si="50"/>
        <v>5.5501846631189164E-2</v>
      </c>
      <c r="AC100" s="66">
        <f t="shared" si="51"/>
        <v>0.14958964897020879</v>
      </c>
      <c r="AD100" s="66">
        <f t="shared" si="52"/>
        <v>4.0323394288782968E-2</v>
      </c>
      <c r="AE100" s="66">
        <f t="shared" si="53"/>
        <v>6.8626285333333328E-2</v>
      </c>
    </row>
    <row r="101" spans="2:31" ht="16" customHeight="1" x14ac:dyDescent="0.2">
      <c r="B101" s="91">
        <v>43251</v>
      </c>
      <c r="C101" s="66">
        <f>AIRBUS!D96</f>
        <v>1.5727245973093638E-2</v>
      </c>
      <c r="D101" s="66">
        <f>BNP!D96</f>
        <v>-0.1706783869582667</v>
      </c>
      <c r="E101" s="66">
        <f>CAPGEMINI!D96</f>
        <v>-1.1842151438096221E-2</v>
      </c>
      <c r="F101" s="66">
        <f>DANONE!D96</f>
        <v>-2.5339004822895524E-2</v>
      </c>
      <c r="G101" s="66">
        <f>ENGIE!D96</f>
        <v>-6.975960038269971E-2</v>
      </c>
      <c r="H101" s="66">
        <f>'HERMES INTL'!D96</f>
        <v>0.13624491940405678</v>
      </c>
      <c r="I101" s="66">
        <f>'PERNOD RICARD'!D96</f>
        <v>4.471098007683505E-2</v>
      </c>
      <c r="J101" s="66">
        <f>RENAULT!D96</f>
        <v>-8.0253916624588209E-2</v>
      </c>
      <c r="K101" s="66">
        <f>SANOFI!D96</f>
        <v>-2.4319867237915381E-3</v>
      </c>
      <c r="L101" s="66">
        <f>'SCHNEIDER ELECTRIC'!D96</f>
        <v>-1.9925548969175994E-2</v>
      </c>
      <c r="M101" s="66">
        <f>TOTALENERGIES!D96</f>
        <v>-5.3507028099723866E-3</v>
      </c>
      <c r="N101" s="66">
        <f>VINCI!D96</f>
        <v>2.8860221089853536E-2</v>
      </c>
      <c r="O101" s="66">
        <f>MARKET!D96</f>
        <v>-2.2117579500000002E-2</v>
      </c>
      <c r="P101" s="92">
        <f>INTERBANK!D95</f>
        <v>-2.7083333333333332E-4</v>
      </c>
      <c r="R101" s="91">
        <v>43251</v>
      </c>
      <c r="S101" s="66">
        <f t="shared" si="41"/>
        <v>1.5998079306426972E-2</v>
      </c>
      <c r="T101" s="66">
        <f t="shared" si="42"/>
        <v>-0.17040755362493337</v>
      </c>
      <c r="U101" s="66">
        <f t="shared" si="43"/>
        <v>-1.1571318104762888E-2</v>
      </c>
      <c r="V101" s="66">
        <f t="shared" si="44"/>
        <v>-2.506817148956219E-2</v>
      </c>
      <c r="W101" s="66">
        <f t="shared" si="45"/>
        <v>-6.9488767049366379E-2</v>
      </c>
      <c r="X101" s="66">
        <f t="shared" si="46"/>
        <v>0.13651575273739011</v>
      </c>
      <c r="Y101" s="66">
        <f t="shared" si="47"/>
        <v>4.4981813410168381E-2</v>
      </c>
      <c r="Z101" s="66">
        <f t="shared" si="48"/>
        <v>-7.9983083291254878E-2</v>
      </c>
      <c r="AA101" s="66">
        <f t="shared" si="49"/>
        <v>-2.1611533904582047E-3</v>
      </c>
      <c r="AB101" s="66">
        <f t="shared" si="50"/>
        <v>-1.9654715635842659E-2</v>
      </c>
      <c r="AC101" s="66">
        <f t="shared" si="51"/>
        <v>-5.0798694766390536E-3</v>
      </c>
      <c r="AD101" s="66">
        <f t="shared" si="52"/>
        <v>2.9131054423186871E-2</v>
      </c>
      <c r="AE101" s="66">
        <f t="shared" si="53"/>
        <v>-2.1846746166666667E-2</v>
      </c>
    </row>
    <row r="102" spans="2:31" ht="16" customHeight="1" x14ac:dyDescent="0.2">
      <c r="B102" s="91">
        <v>43281</v>
      </c>
      <c r="C102" s="66">
        <f>AIRBUS!D97</f>
        <v>3.0315482138324301E-2</v>
      </c>
      <c r="D102" s="66">
        <f>BNP!D97</f>
        <v>5.8306109726402225E-2</v>
      </c>
      <c r="E102" s="66">
        <f>CAPGEMINI!D97</f>
        <v>2.2636574009419749E-2</v>
      </c>
      <c r="F102" s="66">
        <f>DANONE!D97</f>
        <v>-1.0381778791954789E-2</v>
      </c>
      <c r="G102" s="66">
        <f>ENGIE!D97</f>
        <v>-6.0959058069695584E-3</v>
      </c>
      <c r="H102" s="66">
        <f>'HERMES INTL'!D97</f>
        <v>-0.13961905078358353</v>
      </c>
      <c r="I102" s="66">
        <f>'PERNOD RICARD'!D97</f>
        <v>-2.6444195733255731E-2</v>
      </c>
      <c r="J102" s="66">
        <f>RENAULT!D97</f>
        <v>-0.11860092062654565</v>
      </c>
      <c r="K102" s="66">
        <f>SANOFI!D97</f>
        <v>9.6531770482926535E-2</v>
      </c>
      <c r="L102" s="66">
        <f>'SCHNEIDER ELECTRIC'!D97</f>
        <v>-2.8460074650523016E-3</v>
      </c>
      <c r="M102" s="66">
        <f>TOTALENERGIES!D97</f>
        <v>3.0741412790265222E-3</v>
      </c>
      <c r="N102" s="66">
        <f>VINCI!D97</f>
        <v>-1.6244934529120868E-2</v>
      </c>
      <c r="O102" s="66">
        <f>MARKET!D97</f>
        <v>-1.38689461E-2</v>
      </c>
      <c r="P102" s="92">
        <f>INTERBANK!D96</f>
        <v>-2.6833333333333331E-4</v>
      </c>
      <c r="R102" s="91">
        <v>43281</v>
      </c>
      <c r="S102" s="66">
        <f t="shared" si="41"/>
        <v>3.0583815471657633E-2</v>
      </c>
      <c r="T102" s="66">
        <f t="shared" si="42"/>
        <v>5.8574443059735561E-2</v>
      </c>
      <c r="U102" s="66">
        <f t="shared" si="43"/>
        <v>2.2904907342753082E-2</v>
      </c>
      <c r="V102" s="66">
        <f t="shared" si="44"/>
        <v>-1.0113445458621455E-2</v>
      </c>
      <c r="W102" s="66">
        <f t="shared" si="45"/>
        <v>-5.8275724736362253E-3</v>
      </c>
      <c r="X102" s="66">
        <f t="shared" si="46"/>
        <v>-0.13935071745025018</v>
      </c>
      <c r="Y102" s="66">
        <f t="shared" si="47"/>
        <v>-2.6175862399922398E-2</v>
      </c>
      <c r="Z102" s="66">
        <f t="shared" si="48"/>
        <v>-0.11833258729321232</v>
      </c>
      <c r="AA102" s="66">
        <f t="shared" si="49"/>
        <v>9.6800103816259864E-2</v>
      </c>
      <c r="AB102" s="66">
        <f t="shared" si="50"/>
        <v>-2.5776741317189685E-3</v>
      </c>
      <c r="AC102" s="66">
        <f t="shared" si="51"/>
        <v>3.3424746123598553E-3</v>
      </c>
      <c r="AD102" s="66">
        <f t="shared" si="52"/>
        <v>-1.5976601195787535E-2</v>
      </c>
      <c r="AE102" s="66">
        <f t="shared" si="53"/>
        <v>-1.3600612766666666E-2</v>
      </c>
    </row>
    <row r="103" spans="2:31" ht="16" customHeight="1" x14ac:dyDescent="0.2">
      <c r="B103" s="91">
        <v>43312</v>
      </c>
      <c r="C103" s="66">
        <f>AIRBUS!D98</f>
        <v>5.7251048152019576E-2</v>
      </c>
      <c r="D103" s="66">
        <f>BNP!D98</f>
        <v>4.6625380902118867E-2</v>
      </c>
      <c r="E103" s="66">
        <f>CAPGEMINI!D98</f>
        <v>-3.2592762068359274E-2</v>
      </c>
      <c r="F103" s="66">
        <f>DANONE!D98</f>
        <v>6.9031332146774316E-2</v>
      </c>
      <c r="G103" s="66">
        <f>ENGIE!D98</f>
        <v>5.2170768080746222E-2</v>
      </c>
      <c r="H103" s="66">
        <f>'HERMES INTL'!D98</f>
        <v>4.7333179145413525E-2</v>
      </c>
      <c r="I103" s="66">
        <f>'PERNOD RICARD'!D98</f>
        <v>-1.3938571588612112E-2</v>
      </c>
      <c r="J103" s="66">
        <f>RENAULT!D98</f>
        <v>8.1271884261257518E-2</v>
      </c>
      <c r="K103" s="66">
        <f>SANOFI!D98</f>
        <v>8.3321249137583847E-2</v>
      </c>
      <c r="L103" s="66">
        <f>'SCHNEIDER ELECTRIC'!D98</f>
        <v>-3.6124345189257355E-2</v>
      </c>
      <c r="M103" s="66">
        <f>TOTALENERGIES!D98</f>
        <v>8.2549798958159171E-2</v>
      </c>
      <c r="N103" s="66">
        <f>VINCI!D98</f>
        <v>4.4196429671166576E-2</v>
      </c>
      <c r="O103" s="66">
        <f>MARKET!D98</f>
        <v>3.5271713900000001E-2</v>
      </c>
      <c r="P103" s="92">
        <f>INTERBANK!D97</f>
        <v>-2.675E-4</v>
      </c>
      <c r="R103" s="91">
        <v>43312</v>
      </c>
      <c r="S103" s="66">
        <f t="shared" si="41"/>
        <v>5.7518548152019573E-2</v>
      </c>
      <c r="T103" s="66">
        <f t="shared" si="42"/>
        <v>4.6892880902118864E-2</v>
      </c>
      <c r="U103" s="66">
        <f t="shared" si="43"/>
        <v>-3.2325262068359277E-2</v>
      </c>
      <c r="V103" s="66">
        <f t="shared" si="44"/>
        <v>6.929883214677432E-2</v>
      </c>
      <c r="W103" s="66">
        <f t="shared" si="45"/>
        <v>5.2438268080746218E-2</v>
      </c>
      <c r="X103" s="66">
        <f t="shared" si="46"/>
        <v>4.7600679145413521E-2</v>
      </c>
      <c r="Y103" s="66">
        <f t="shared" si="47"/>
        <v>-1.3671071588612112E-2</v>
      </c>
      <c r="Z103" s="66">
        <f t="shared" si="48"/>
        <v>8.1539384261257522E-2</v>
      </c>
      <c r="AA103" s="66">
        <f t="shared" si="49"/>
        <v>8.3588749137583851E-2</v>
      </c>
      <c r="AB103" s="66">
        <f t="shared" si="50"/>
        <v>-3.5856845189257358E-2</v>
      </c>
      <c r="AC103" s="66">
        <f t="shared" si="51"/>
        <v>8.2817298958159175E-2</v>
      </c>
      <c r="AD103" s="66">
        <f t="shared" si="52"/>
        <v>4.4463929671166573E-2</v>
      </c>
      <c r="AE103" s="66">
        <f t="shared" si="53"/>
        <v>3.5539213899999998E-2</v>
      </c>
    </row>
    <row r="104" spans="2:31" ht="16" customHeight="1" x14ac:dyDescent="0.2">
      <c r="B104" s="91">
        <v>43343</v>
      </c>
      <c r="C104" s="66">
        <f>AIRBUS!D99</f>
        <v>2.4528523118089608E-3</v>
      </c>
      <c r="D104" s="66">
        <f>BNP!D99</f>
        <v>-9.0892833382453353E-2</v>
      </c>
      <c r="E104" s="66">
        <f>CAPGEMINI!D99</f>
        <v>6.3751115145945971E-3</v>
      </c>
      <c r="F104" s="66">
        <f>DANONE!D99</f>
        <v>9.076003109122566E-3</v>
      </c>
      <c r="G104" s="66">
        <f>ENGIE!D99</f>
        <v>-8.5776407490830667E-2</v>
      </c>
      <c r="H104" s="66">
        <f>'HERMES INTL'!D99</f>
        <v>3.4343034241332629E-2</v>
      </c>
      <c r="I104" s="66">
        <f>'PERNOD RICARD'!D99</f>
        <v>-6.8933254054332005E-3</v>
      </c>
      <c r="J104" s="66">
        <f>RENAULT!D99</f>
        <v>-1.4477374419200554E-2</v>
      </c>
      <c r="K104" s="66">
        <f>SANOFI!D99</f>
        <v>-5.1096035179456377E-3</v>
      </c>
      <c r="L104" s="66">
        <f>'SCHNEIDER ELECTRIC'!D99</f>
        <v>2.0336846736021076E-2</v>
      </c>
      <c r="M104" s="66">
        <f>TOTALENERGIES!D99</f>
        <v>-3.5624615921110082E-2</v>
      </c>
      <c r="N104" s="66">
        <f>VINCI!D99</f>
        <v>-3.9999999999999765E-2</v>
      </c>
      <c r="O104" s="66">
        <f>MARKET!D99</f>
        <v>-1.89519189E-2</v>
      </c>
      <c r="P104" s="92">
        <f>INTERBANK!D98</f>
        <v>-2.6583333333333336E-4</v>
      </c>
      <c r="R104" s="91">
        <v>43343</v>
      </c>
      <c r="S104" s="66">
        <f t="shared" si="41"/>
        <v>2.718685645142294E-3</v>
      </c>
      <c r="T104" s="66">
        <f t="shared" si="42"/>
        <v>-9.0627000049120013E-2</v>
      </c>
      <c r="U104" s="66">
        <f t="shared" si="43"/>
        <v>6.6409448479279303E-3</v>
      </c>
      <c r="V104" s="66">
        <f t="shared" si="44"/>
        <v>9.3418364424558992E-3</v>
      </c>
      <c r="W104" s="66">
        <f t="shared" si="45"/>
        <v>-8.5510574157497327E-2</v>
      </c>
      <c r="X104" s="66">
        <f t="shared" si="46"/>
        <v>3.4608867574665962E-2</v>
      </c>
      <c r="Y104" s="66">
        <f t="shared" si="47"/>
        <v>-6.6274920720998673E-3</v>
      </c>
      <c r="Z104" s="66">
        <f t="shared" si="48"/>
        <v>-1.4211541085867221E-2</v>
      </c>
      <c r="AA104" s="66">
        <f t="shared" si="49"/>
        <v>-4.8437701846123045E-3</v>
      </c>
      <c r="AB104" s="66">
        <f t="shared" si="50"/>
        <v>2.0602680069354409E-2</v>
      </c>
      <c r="AC104" s="66">
        <f t="shared" si="51"/>
        <v>-3.5358782587776749E-2</v>
      </c>
      <c r="AD104" s="66">
        <f t="shared" si="52"/>
        <v>-3.9734166666666432E-2</v>
      </c>
      <c r="AE104" s="66">
        <f t="shared" si="53"/>
        <v>-1.8686085566666667E-2</v>
      </c>
    </row>
    <row r="105" spans="2:31" ht="16" customHeight="1" x14ac:dyDescent="0.2">
      <c r="B105" s="91">
        <v>43373</v>
      </c>
      <c r="C105" s="66">
        <f>AIRBUS!D100</f>
        <v>1.8068900350297051E-2</v>
      </c>
      <c r="D105" s="66">
        <f>BNP!D100</f>
        <v>4.1493761213844051E-2</v>
      </c>
      <c r="E105" s="66">
        <f>CAPGEMINI!D100</f>
        <v>-1.900456933415557E-2</v>
      </c>
      <c r="F105" s="66">
        <f>DANONE!D100</f>
        <v>-1.651439597580372E-2</v>
      </c>
      <c r="G105" s="66">
        <f>ENGIE!D100</f>
        <v>2.7712849332172428E-3</v>
      </c>
      <c r="H105" s="66">
        <f>'HERMES INTL'!D100</f>
        <v>1.8564767616969059E-2</v>
      </c>
      <c r="I105" s="66">
        <f>'PERNOD RICARD'!D100</f>
        <v>3.8970673240444231E-2</v>
      </c>
      <c r="J105" s="66">
        <f>RENAULT!D100</f>
        <v>4.0432484799410029E-3</v>
      </c>
      <c r="K105" s="66">
        <f>SANOFI!D100</f>
        <v>3.4734451113073196E-2</v>
      </c>
      <c r="L105" s="66">
        <f>'SCHNEIDER ELECTRIC'!D100</f>
        <v>-1.3382561374653046E-2</v>
      </c>
      <c r="M105" s="66">
        <f>TOTALENERGIES!D100</f>
        <v>3.6569502964997946E-2</v>
      </c>
      <c r="N105" s="66">
        <f>VINCI!D100</f>
        <v>-6.5408970185833245E-3</v>
      </c>
      <c r="O105" s="66">
        <f>MARKET!D100</f>
        <v>1.6024142599999999E-2</v>
      </c>
      <c r="P105" s="92">
        <f>INTERBANK!D99</f>
        <v>-2.6583333333333336E-4</v>
      </c>
      <c r="R105" s="91">
        <v>43373</v>
      </c>
      <c r="S105" s="66">
        <f t="shared" si="41"/>
        <v>1.8334733683630384E-2</v>
      </c>
      <c r="T105" s="66">
        <f t="shared" si="42"/>
        <v>4.1759594547177384E-2</v>
      </c>
      <c r="U105" s="66">
        <f t="shared" si="43"/>
        <v>-1.8738736000822237E-2</v>
      </c>
      <c r="V105" s="66">
        <f t="shared" si="44"/>
        <v>-1.6248562642470387E-2</v>
      </c>
      <c r="W105" s="66">
        <f t="shared" si="45"/>
        <v>3.037118266550576E-3</v>
      </c>
      <c r="X105" s="66">
        <f t="shared" si="46"/>
        <v>1.8830600950302392E-2</v>
      </c>
      <c r="Y105" s="66">
        <f t="shared" si="47"/>
        <v>3.9236506573777565E-2</v>
      </c>
      <c r="Z105" s="66">
        <f t="shared" si="48"/>
        <v>4.3090818132743361E-3</v>
      </c>
      <c r="AA105" s="66">
        <f t="shared" si="49"/>
        <v>3.5000284446406529E-2</v>
      </c>
      <c r="AB105" s="66">
        <f t="shared" si="50"/>
        <v>-1.3116728041319713E-2</v>
      </c>
      <c r="AC105" s="66">
        <f t="shared" si="51"/>
        <v>3.683533629833128E-2</v>
      </c>
      <c r="AD105" s="66">
        <f t="shared" si="52"/>
        <v>-6.2750636852499913E-3</v>
      </c>
      <c r="AE105" s="66">
        <f t="shared" si="53"/>
        <v>1.6289975933333332E-2</v>
      </c>
    </row>
    <row r="106" spans="2:31" ht="16" customHeight="1" x14ac:dyDescent="0.2">
      <c r="B106" s="91">
        <v>43404</v>
      </c>
      <c r="C106" s="66">
        <f>AIRBUS!D101</f>
        <v>-9.678310206634691E-2</v>
      </c>
      <c r="D106" s="66">
        <f>BNP!D101</f>
        <v>-0.12483395116136911</v>
      </c>
      <c r="E106" s="66">
        <f>CAPGEMINI!D101</f>
        <v>-3.690049470000937E-3</v>
      </c>
      <c r="F106" s="66">
        <f>DANONE!D101</f>
        <v>-6.1768975269467313E-2</v>
      </c>
      <c r="G106" s="66">
        <f>ENGIE!D101</f>
        <v>-7.0272551671223552E-2</v>
      </c>
      <c r="H106" s="66">
        <f>'HERMES INTL'!D101</f>
        <v>-0.11496683225137772</v>
      </c>
      <c r="I106" s="66">
        <f>'PERNOD RICARD'!D101</f>
        <v>-4.6001451222642348E-2</v>
      </c>
      <c r="J106" s="66">
        <f>RENAULT!D101</f>
        <v>-0.11315445705559313</v>
      </c>
      <c r="K106" s="66">
        <f>SANOFI!D101</f>
        <v>2.9780265443867027E-2</v>
      </c>
      <c r="L106" s="66">
        <f>'SCHNEIDER ELECTRIC'!D101</f>
        <v>-7.7056273985201373E-2</v>
      </c>
      <c r="M106" s="66">
        <f>TOTALENERGIES!D101</f>
        <v>-5.863491366259245E-2</v>
      </c>
      <c r="N106" s="66">
        <f>VINCI!D101</f>
        <v>-3.8283274451269757E-2</v>
      </c>
      <c r="O106" s="66">
        <f>MARKET!D101</f>
        <v>-7.2822609299999994E-2</v>
      </c>
      <c r="P106" s="92">
        <f>INTERBANK!D100</f>
        <v>-2.6499999999999999E-4</v>
      </c>
      <c r="R106" s="91">
        <v>43404</v>
      </c>
      <c r="S106" s="66">
        <f t="shared" si="41"/>
        <v>-9.6518102066346909E-2</v>
      </c>
      <c r="T106" s="66">
        <f t="shared" si="42"/>
        <v>-0.12456895116136911</v>
      </c>
      <c r="U106" s="66">
        <f t="shared" si="43"/>
        <v>-3.4250494700009369E-3</v>
      </c>
      <c r="V106" s="66">
        <f t="shared" si="44"/>
        <v>-6.1503975269467312E-2</v>
      </c>
      <c r="W106" s="66">
        <f t="shared" si="45"/>
        <v>-7.000755167122355E-2</v>
      </c>
      <c r="X106" s="66">
        <f t="shared" si="46"/>
        <v>-0.11470183225137771</v>
      </c>
      <c r="Y106" s="66">
        <f t="shared" si="47"/>
        <v>-4.5736451222642346E-2</v>
      </c>
      <c r="Z106" s="66">
        <f t="shared" si="48"/>
        <v>-0.11288945705559313</v>
      </c>
      <c r="AA106" s="66">
        <f t="shared" si="49"/>
        <v>3.0045265443867028E-2</v>
      </c>
      <c r="AB106" s="66">
        <f t="shared" si="50"/>
        <v>-7.6791273985201372E-2</v>
      </c>
      <c r="AC106" s="66">
        <f t="shared" si="51"/>
        <v>-5.8369913662592449E-2</v>
      </c>
      <c r="AD106" s="66">
        <f t="shared" si="52"/>
        <v>-3.8018274451269755E-2</v>
      </c>
      <c r="AE106" s="66">
        <f t="shared" si="53"/>
        <v>-7.2557609299999992E-2</v>
      </c>
    </row>
    <row r="107" spans="2:31" ht="16" customHeight="1" x14ac:dyDescent="0.2">
      <c r="B107" s="91">
        <v>43434</v>
      </c>
      <c r="C107" s="66">
        <f>AIRBUS!D102</f>
        <v>-3.162422916926564E-2</v>
      </c>
      <c r="D107" s="66">
        <f>BNP!D102</f>
        <v>-3.804468358787174E-2</v>
      </c>
      <c r="E107" s="66">
        <f>CAPGEMINI!D102</f>
        <v>-4.5833181930545482E-2</v>
      </c>
      <c r="F107" s="66">
        <f>DANONE!D102</f>
        <v>5.5608746452706664E-2</v>
      </c>
      <c r="G107" s="66">
        <f>ENGIE!D102</f>
        <v>8.6149136588083194E-2</v>
      </c>
      <c r="H107" s="66">
        <f>'HERMES INTL'!D102</f>
        <v>-5.4059246503190522E-2</v>
      </c>
      <c r="I107" s="66">
        <f>'PERNOD RICARD'!D102</f>
        <v>4.7477731580315825E-2</v>
      </c>
      <c r="J107" s="66">
        <f>RENAULT!D102</f>
        <v>-6.0844563931964982E-2</v>
      </c>
      <c r="K107" s="66">
        <f>SANOFI!D102</f>
        <v>1.2303604649667125E-2</v>
      </c>
      <c r="L107" s="66">
        <f>'SCHNEIDER ELECTRIC'!D102</f>
        <v>5.003197923925333E-3</v>
      </c>
      <c r="M107" s="66">
        <f>TOTALENERGIES!D102</f>
        <v>-5.3791176525551196E-2</v>
      </c>
      <c r="N107" s="66">
        <f>VINCI!D102</f>
        <v>-2.2565942159410688E-2</v>
      </c>
      <c r="O107" s="66">
        <f>MARKET!D102</f>
        <v>-1.75755522E-2</v>
      </c>
      <c r="P107" s="92">
        <f>INTERBANK!D101</f>
        <v>-2.6333333333333336E-4</v>
      </c>
      <c r="R107" s="91">
        <v>43434</v>
      </c>
      <c r="S107" s="66">
        <f t="shared" si="41"/>
        <v>-3.1360895835932309E-2</v>
      </c>
      <c r="T107" s="66">
        <f t="shared" si="42"/>
        <v>-3.7781350254538409E-2</v>
      </c>
      <c r="U107" s="66">
        <f t="shared" si="43"/>
        <v>-4.5569848597212151E-2</v>
      </c>
      <c r="V107" s="66">
        <f t="shared" si="44"/>
        <v>5.5872079786039995E-2</v>
      </c>
      <c r="W107" s="66">
        <f t="shared" si="45"/>
        <v>8.6412469921416532E-2</v>
      </c>
      <c r="X107" s="66">
        <f t="shared" si="46"/>
        <v>-5.3795913169857192E-2</v>
      </c>
      <c r="Y107" s="66">
        <f t="shared" si="47"/>
        <v>4.7741064913649156E-2</v>
      </c>
      <c r="Z107" s="66">
        <f t="shared" si="48"/>
        <v>-6.0581230598631651E-2</v>
      </c>
      <c r="AA107" s="66">
        <f t="shared" si="49"/>
        <v>1.2566937983000459E-2</v>
      </c>
      <c r="AB107" s="66">
        <f t="shared" si="50"/>
        <v>5.2665312572586663E-3</v>
      </c>
      <c r="AC107" s="66">
        <f t="shared" si="51"/>
        <v>-5.3527843192217865E-2</v>
      </c>
      <c r="AD107" s="66">
        <f t="shared" si="52"/>
        <v>-2.2302608826077354E-2</v>
      </c>
      <c r="AE107" s="66">
        <f t="shared" si="53"/>
        <v>-1.7312218866666666E-2</v>
      </c>
    </row>
    <row r="108" spans="2:31" ht="16" customHeight="1" x14ac:dyDescent="0.2">
      <c r="B108" s="91">
        <v>43465</v>
      </c>
      <c r="C108" s="66">
        <f>AIRBUS!D103</f>
        <v>-0.11266122007350593</v>
      </c>
      <c r="D108" s="66">
        <f>BNP!D103</f>
        <v>-0.11042264715843422</v>
      </c>
      <c r="E108" s="66">
        <f>CAPGEMINI!D103</f>
        <v>-0.15769044525299172</v>
      </c>
      <c r="F108" s="66">
        <f>DANONE!D103</f>
        <v>-6.8876702192612257E-2</v>
      </c>
      <c r="G108" s="66">
        <f>ENGIE!D103</f>
        <v>8.4541676659141314E-3</v>
      </c>
      <c r="H108" s="66">
        <f>'HERMES INTL'!D103</f>
        <v>1.4862581438098583E-2</v>
      </c>
      <c r="I108" s="66">
        <f>'PERNOD RICARD'!D103</f>
        <v>2.4630746097882801E-2</v>
      </c>
      <c r="J108" s="66">
        <f>RENAULT!D103</f>
        <v>-0.12087023160456214</v>
      </c>
      <c r="K108" s="66">
        <f>SANOFI!D103</f>
        <v>-5.1998409808389143E-2</v>
      </c>
      <c r="L108" s="66">
        <f>'SCHNEIDER ELECTRIC'!D103</f>
        <v>-7.0939666942628557E-2</v>
      </c>
      <c r="M108" s="66">
        <f>TOTALENERGIES!D103</f>
        <v>-6.0714232278999955E-2</v>
      </c>
      <c r="N108" s="66">
        <f>VINCI!D103</f>
        <v>-5.6859189660262349E-2</v>
      </c>
      <c r="O108" s="66">
        <f>MARKET!D103</f>
        <v>-5.4603187999999997E-2</v>
      </c>
      <c r="P108" s="92">
        <f>INTERBANK!D102</f>
        <v>-2.5999999999999998E-4</v>
      </c>
      <c r="R108" s="91">
        <v>43465</v>
      </c>
      <c r="S108" s="66">
        <f t="shared" si="41"/>
        <v>-0.11240122007350593</v>
      </c>
      <c r="T108" s="66">
        <f t="shared" si="42"/>
        <v>-0.11016264715843423</v>
      </c>
      <c r="U108" s="66">
        <f t="shared" si="43"/>
        <v>-0.15743044525299171</v>
      </c>
      <c r="V108" s="66">
        <f t="shared" si="44"/>
        <v>-6.8616702192612261E-2</v>
      </c>
      <c r="W108" s="66">
        <f t="shared" si="45"/>
        <v>8.7141676659141312E-3</v>
      </c>
      <c r="X108" s="66">
        <f t="shared" si="46"/>
        <v>1.5122581438098583E-2</v>
      </c>
      <c r="Y108" s="66">
        <f t="shared" si="47"/>
        <v>2.4890746097882801E-2</v>
      </c>
      <c r="Z108" s="66">
        <f t="shared" si="48"/>
        <v>-0.12061023160456215</v>
      </c>
      <c r="AA108" s="66">
        <f t="shared" si="49"/>
        <v>-5.1738409808389139E-2</v>
      </c>
      <c r="AB108" s="66">
        <f t="shared" si="50"/>
        <v>-7.0679666942628561E-2</v>
      </c>
      <c r="AC108" s="66">
        <f t="shared" si="51"/>
        <v>-6.0454232278999952E-2</v>
      </c>
      <c r="AD108" s="66">
        <f t="shared" si="52"/>
        <v>-5.6599189660262346E-2</v>
      </c>
      <c r="AE108" s="66">
        <f t="shared" si="53"/>
        <v>-5.4343187999999994E-2</v>
      </c>
    </row>
    <row r="109" spans="2:31" ht="16" customHeight="1" x14ac:dyDescent="0.2">
      <c r="B109" s="91">
        <v>43496</v>
      </c>
      <c r="C109" s="66">
        <f>AIRBUS!D104</f>
        <v>0.19366375293611035</v>
      </c>
      <c r="D109" s="66">
        <f>BNP!D104</f>
        <v>3.7745601360445788E-2</v>
      </c>
      <c r="E109" s="66">
        <f>CAPGEMINI!D104</f>
        <v>0.11152078483235742</v>
      </c>
      <c r="F109" s="66">
        <f>DANONE!D104</f>
        <v>3.2352409352148899E-2</v>
      </c>
      <c r="G109" s="66">
        <f>ENGIE!D104</f>
        <v>0.11656667455813395</v>
      </c>
      <c r="H109" s="66">
        <f>'HERMES INTL'!D104</f>
        <v>8.1683365178252268E-2</v>
      </c>
      <c r="I109" s="66">
        <f>'PERNOD RICARD'!D104</f>
        <v>1.1863272089140767E-2</v>
      </c>
      <c r="J109" s="66">
        <f>RENAULT!D104</f>
        <v>0.13382227267467461</v>
      </c>
      <c r="K109" s="66">
        <f>SANOFI!D104</f>
        <v>2.1146256696327513E-3</v>
      </c>
      <c r="L109" s="66">
        <f>'SCHNEIDER ELECTRIC'!D104</f>
        <v>3.9517709747698096E-2</v>
      </c>
      <c r="M109" s="66">
        <f>TOTALENERGIES!D104</f>
        <v>5.283826690474424E-2</v>
      </c>
      <c r="N109" s="66">
        <f>VINCI!D104</f>
        <v>6.748138094867849E-2</v>
      </c>
      <c r="O109" s="66">
        <f>MARKET!D104</f>
        <v>5.5389441400000003E-2</v>
      </c>
      <c r="P109" s="92">
        <f>INTERBANK!D103</f>
        <v>-2.5666666666666665E-4</v>
      </c>
      <c r="R109" s="91">
        <v>43496</v>
      </c>
      <c r="S109" s="66">
        <f t="shared" si="41"/>
        <v>0.19392041960277701</v>
      </c>
      <c r="T109" s="66">
        <f t="shared" si="42"/>
        <v>3.8002268027112457E-2</v>
      </c>
      <c r="U109" s="66">
        <f t="shared" si="43"/>
        <v>0.11177745149902409</v>
      </c>
      <c r="V109" s="66">
        <f t="shared" si="44"/>
        <v>3.2609076018815568E-2</v>
      </c>
      <c r="W109" s="66">
        <f t="shared" si="45"/>
        <v>0.11682334122480062</v>
      </c>
      <c r="X109" s="66">
        <f t="shared" si="46"/>
        <v>8.1940031844918937E-2</v>
      </c>
      <c r="Y109" s="66">
        <f t="shared" si="47"/>
        <v>1.2119938755807434E-2</v>
      </c>
      <c r="Z109" s="66">
        <f t="shared" si="48"/>
        <v>0.13407893934134127</v>
      </c>
      <c r="AA109" s="66">
        <f t="shared" si="49"/>
        <v>2.3712923362994181E-3</v>
      </c>
      <c r="AB109" s="66">
        <f t="shared" si="50"/>
        <v>3.9774376414364765E-2</v>
      </c>
      <c r="AC109" s="66">
        <f t="shared" si="51"/>
        <v>5.3094933571410909E-2</v>
      </c>
      <c r="AD109" s="66">
        <f t="shared" si="52"/>
        <v>6.7738047615345159E-2</v>
      </c>
      <c r="AE109" s="66">
        <f t="shared" si="53"/>
        <v>5.5646108066666672E-2</v>
      </c>
    </row>
    <row r="110" spans="2:31" ht="16" customHeight="1" x14ac:dyDescent="0.2">
      <c r="B110" s="91">
        <v>43524</v>
      </c>
      <c r="C110" s="66">
        <f>AIRBUS!D105</f>
        <v>0.13350621611277785</v>
      </c>
      <c r="D110" s="66">
        <f>BNP!D105</f>
        <v>9.984118385921173E-2</v>
      </c>
      <c r="E110" s="66">
        <f>CAPGEMINI!D105</f>
        <v>9.0381379190463018E-2</v>
      </c>
      <c r="F110" s="66">
        <f>DANONE!D105</f>
        <v>4.4566859046251614E-2</v>
      </c>
      <c r="G110" s="66">
        <f>ENGIE!D105</f>
        <v>-5.2556167964764165E-2</v>
      </c>
      <c r="H110" s="66">
        <f>'HERMES INTL'!D105</f>
        <v>6.1784694054432376E-2</v>
      </c>
      <c r="I110" s="66">
        <f>'PERNOD RICARD'!D105</f>
        <v>4.4138016382190892E-2</v>
      </c>
      <c r="J110" s="66">
        <f>RENAULT!D105</f>
        <v>-2.619246384102359E-2</v>
      </c>
      <c r="K110" s="66">
        <f>SANOFI!D105</f>
        <v>-3.0598628877335585E-2</v>
      </c>
      <c r="L110" s="66">
        <f>'SCHNEIDER ELECTRIC'!D105</f>
        <v>0.102126297218261</v>
      </c>
      <c r="M110" s="66">
        <f>TOTALENERGIES!D105</f>
        <v>4.1892344470679611E-2</v>
      </c>
      <c r="N110" s="66">
        <f>VINCI!D105</f>
        <v>9.1571215418371155E-2</v>
      </c>
      <c r="O110" s="66">
        <f>MARKET!D105</f>
        <v>4.9634179299999998E-2</v>
      </c>
      <c r="P110" s="92">
        <f>INTERBANK!D104</f>
        <v>-2.5666666666666665E-4</v>
      </c>
      <c r="R110" s="91">
        <v>43524</v>
      </c>
      <c r="S110" s="66">
        <f t="shared" si="41"/>
        <v>0.13376288277944451</v>
      </c>
      <c r="T110" s="66">
        <f t="shared" si="42"/>
        <v>0.1000978505258784</v>
      </c>
      <c r="U110" s="66">
        <f t="shared" si="43"/>
        <v>9.0638045857129687E-2</v>
      </c>
      <c r="V110" s="66">
        <f t="shared" si="44"/>
        <v>4.4823525712918283E-2</v>
      </c>
      <c r="W110" s="66">
        <f t="shared" si="45"/>
        <v>-5.2299501298097496E-2</v>
      </c>
      <c r="X110" s="66">
        <f t="shared" si="46"/>
        <v>6.2041360721099045E-2</v>
      </c>
      <c r="Y110" s="66">
        <f t="shared" si="47"/>
        <v>4.4394683048857561E-2</v>
      </c>
      <c r="Z110" s="66">
        <f t="shared" si="48"/>
        <v>-2.5935797174356925E-2</v>
      </c>
      <c r="AA110" s="66">
        <f t="shared" si="49"/>
        <v>-3.034196221066892E-2</v>
      </c>
      <c r="AB110" s="66">
        <f t="shared" si="50"/>
        <v>0.10238296388492767</v>
      </c>
      <c r="AC110" s="66">
        <f t="shared" si="51"/>
        <v>4.214901113734628E-2</v>
      </c>
      <c r="AD110" s="66">
        <f t="shared" si="52"/>
        <v>9.1827882085037824E-2</v>
      </c>
      <c r="AE110" s="66">
        <f t="shared" si="53"/>
        <v>4.9890845966666666E-2</v>
      </c>
    </row>
    <row r="111" spans="2:31" ht="16" customHeight="1" x14ac:dyDescent="0.2">
      <c r="B111" s="91">
        <v>43555</v>
      </c>
      <c r="C111" s="66">
        <f>AIRBUS!D106</f>
        <v>3.7852184603828207E-2</v>
      </c>
      <c r="D111" s="66">
        <f>BNP!D106</f>
        <v>-5.4266883604973046E-2</v>
      </c>
      <c r="E111" s="66">
        <f>CAPGEMINI!D106</f>
        <v>2.7566446269510526E-2</v>
      </c>
      <c r="F111" s="66">
        <f>DANONE!D106</f>
        <v>3.5579877919829681E-2</v>
      </c>
      <c r="G111" s="66">
        <f>ENGIE!D106</f>
        <v>2.2640714321025589E-3</v>
      </c>
      <c r="H111" s="66">
        <f>'HERMES INTL'!D106</f>
        <v>5.930727305670723E-2</v>
      </c>
      <c r="I111" s="66">
        <f>'PERNOD RICARD'!D106</f>
        <v>5.6803162069649457E-2</v>
      </c>
      <c r="J111" s="66">
        <f>RENAULT!D106</f>
        <v>-2.1915979504560042E-2</v>
      </c>
      <c r="K111" s="66">
        <f>SANOFI!D106</f>
        <v>7.129231465835742E-2</v>
      </c>
      <c r="L111" s="66">
        <f>'SCHNEIDER ELECTRIC'!D106</f>
        <v>2.2215714690898961E-2</v>
      </c>
      <c r="M111" s="66">
        <f>TOTALENERGIES!D106</f>
        <v>-9.4018686638002655E-3</v>
      </c>
      <c r="N111" s="66">
        <f>VINCI!D106</f>
        <v>3.3365168432989534E-2</v>
      </c>
      <c r="O111" s="66">
        <f>MARKET!D106</f>
        <v>2.0990244200000001E-2</v>
      </c>
      <c r="P111" s="92">
        <f>INTERBANK!D105</f>
        <v>-2.5749999999999997E-4</v>
      </c>
      <c r="R111" s="91">
        <v>43555</v>
      </c>
      <c r="S111" s="66">
        <f t="shared" si="41"/>
        <v>3.8109684603828207E-2</v>
      </c>
      <c r="T111" s="66">
        <f t="shared" si="42"/>
        <v>-5.4009383604973045E-2</v>
      </c>
      <c r="U111" s="66">
        <f t="shared" si="43"/>
        <v>2.7823946269510527E-2</v>
      </c>
      <c r="V111" s="66">
        <f t="shared" si="44"/>
        <v>3.5837377919829681E-2</v>
      </c>
      <c r="W111" s="66">
        <f t="shared" si="45"/>
        <v>2.5215714321025588E-3</v>
      </c>
      <c r="X111" s="66">
        <f t="shared" si="46"/>
        <v>5.9564773056707231E-2</v>
      </c>
      <c r="Y111" s="66">
        <f t="shared" si="47"/>
        <v>5.7060662069649458E-2</v>
      </c>
      <c r="Z111" s="66">
        <f t="shared" si="48"/>
        <v>-2.1658479504560041E-2</v>
      </c>
      <c r="AA111" s="66">
        <f t="shared" si="49"/>
        <v>7.1549814658357413E-2</v>
      </c>
      <c r="AB111" s="66">
        <f t="shared" si="50"/>
        <v>2.2473214690898961E-2</v>
      </c>
      <c r="AC111" s="66">
        <f t="shared" si="51"/>
        <v>-9.1443686638002647E-3</v>
      </c>
      <c r="AD111" s="66">
        <f t="shared" si="52"/>
        <v>3.3622668432989535E-2</v>
      </c>
      <c r="AE111" s="66">
        <f t="shared" si="53"/>
        <v>2.1247744200000002E-2</v>
      </c>
    </row>
    <row r="112" spans="2:31" ht="16" customHeight="1" x14ac:dyDescent="0.2">
      <c r="B112" s="91">
        <v>43585</v>
      </c>
      <c r="C112" s="66">
        <f>AIRBUS!D107</f>
        <v>3.3757404626097838E-2</v>
      </c>
      <c r="D112" s="66">
        <f>BNP!D107</f>
        <v>0.11358819416255575</v>
      </c>
      <c r="E112" s="66">
        <f>CAPGEMINI!D107</f>
        <v>0</v>
      </c>
      <c r="F112" s="66">
        <f>DANONE!D107</f>
        <v>4.9352032156664123E-2</v>
      </c>
      <c r="G112" s="66">
        <f>ENGIE!D107</f>
        <v>-5.6476156532637468E-3</v>
      </c>
      <c r="H112" s="66">
        <f>'HERMES INTL'!D107</f>
        <v>6.6304173067211328E-2</v>
      </c>
      <c r="I112" s="66">
        <f>'PERNOD RICARD'!D107</f>
        <v>-2.9062640789073679E-2</v>
      </c>
      <c r="J112" s="66">
        <f>RENAULT!D107</f>
        <v>3.242232696258078E-2</v>
      </c>
      <c r="K112" s="66">
        <f>SANOFI!D107</f>
        <v>-1.5874975082725475E-2</v>
      </c>
      <c r="L112" s="66">
        <f>'SCHNEIDER ELECTRIC'!D107</f>
        <v>7.8924698187145176E-2</v>
      </c>
      <c r="M112" s="66">
        <f>TOTALENERGIES!D107</f>
        <v>1.2907135143960644E-2</v>
      </c>
      <c r="N112" s="66">
        <f>VINCI!D107</f>
        <v>3.8053306407182845E-2</v>
      </c>
      <c r="O112" s="66">
        <f>MARKET!D107</f>
        <v>4.4085423399999997E-2</v>
      </c>
      <c r="P112" s="92">
        <f>INTERBANK!D106</f>
        <v>-2.5833333333333334E-4</v>
      </c>
      <c r="R112" s="91">
        <v>43585</v>
      </c>
      <c r="S112" s="66">
        <f t="shared" si="41"/>
        <v>3.4015737959431171E-2</v>
      </c>
      <c r="T112" s="66">
        <f t="shared" si="42"/>
        <v>0.11384652749588908</v>
      </c>
      <c r="U112" s="66">
        <f t="shared" si="43"/>
        <v>2.5833333333333334E-4</v>
      </c>
      <c r="V112" s="66">
        <f t="shared" si="44"/>
        <v>4.9610365489997456E-2</v>
      </c>
      <c r="W112" s="66">
        <f t="shared" si="45"/>
        <v>-5.3892823199304133E-3</v>
      </c>
      <c r="X112" s="66">
        <f t="shared" si="46"/>
        <v>6.656250640054466E-2</v>
      </c>
      <c r="Y112" s="66">
        <f t="shared" si="47"/>
        <v>-2.8804307455740346E-2</v>
      </c>
      <c r="Z112" s="66">
        <f t="shared" si="48"/>
        <v>3.2680660295914113E-2</v>
      </c>
      <c r="AA112" s="66">
        <f t="shared" si="49"/>
        <v>-1.5616641749392143E-2</v>
      </c>
      <c r="AB112" s="66">
        <f t="shared" si="50"/>
        <v>7.9183031520478508E-2</v>
      </c>
      <c r="AC112" s="66">
        <f t="shared" si="51"/>
        <v>1.3165468477293977E-2</v>
      </c>
      <c r="AD112" s="66">
        <f t="shared" si="52"/>
        <v>3.8311639740516178E-2</v>
      </c>
      <c r="AE112" s="66">
        <f t="shared" si="53"/>
        <v>4.434375673333333E-2</v>
      </c>
    </row>
    <row r="113" spans="2:31" ht="16" customHeight="1" x14ac:dyDescent="0.2">
      <c r="B113" s="91">
        <v>43616</v>
      </c>
      <c r="C113" s="66">
        <f>AIRBUS!D108</f>
        <v>-4.4301662139482584E-2</v>
      </c>
      <c r="D113" s="66">
        <f>BNP!D108</f>
        <v>-0.13856684958268861</v>
      </c>
      <c r="E113" s="66">
        <f>CAPGEMINI!D108</f>
        <v>-7.4005560483784982E-2</v>
      </c>
      <c r="F113" s="66">
        <f>DANONE!D108</f>
        <v>-9.4337803015110064E-3</v>
      </c>
      <c r="G113" s="66">
        <f>ENGIE!D108</f>
        <v>-5.7175330483087636E-2</v>
      </c>
      <c r="H113" s="66">
        <f>'HERMES INTL'!D108</f>
        <v>-5.1658393869286549E-2</v>
      </c>
      <c r="I113" s="66">
        <f>'PERNOD RICARD'!D108</f>
        <v>1.5771013593985986E-2</v>
      </c>
      <c r="J113" s="66">
        <f>RENAULT!D108</f>
        <v>-0.11344955264690919</v>
      </c>
      <c r="K113" s="66">
        <f>SANOFI!D108</f>
        <v>-6.7750626215119999E-2</v>
      </c>
      <c r="L113" s="66">
        <f>'SCHNEIDER ELECTRIC'!D108</f>
        <v>-3.2122963759512319E-2</v>
      </c>
      <c r="M113" s="66">
        <f>TOTALENERGIES!D108</f>
        <v>-5.8633782572024132E-2</v>
      </c>
      <c r="N113" s="66">
        <f>VINCI!D108</f>
        <v>4.2480172854467702E-3</v>
      </c>
      <c r="O113" s="66">
        <f>MARKET!D108</f>
        <v>-6.7803878100000006E-2</v>
      </c>
      <c r="P113" s="92">
        <f>INTERBANK!D107</f>
        <v>-2.5999999999999998E-4</v>
      </c>
      <c r="R113" s="91">
        <v>43616</v>
      </c>
      <c r="S113" s="66">
        <f t="shared" si="41"/>
        <v>-4.4041662139482581E-2</v>
      </c>
      <c r="T113" s="66">
        <f t="shared" si="42"/>
        <v>-0.1383068495826886</v>
      </c>
      <c r="U113" s="66">
        <f t="shared" si="43"/>
        <v>-7.3745560483784986E-2</v>
      </c>
      <c r="V113" s="66">
        <f t="shared" si="44"/>
        <v>-9.1737803015110066E-3</v>
      </c>
      <c r="W113" s="66">
        <f t="shared" si="45"/>
        <v>-5.6915330483087632E-2</v>
      </c>
      <c r="X113" s="66">
        <f t="shared" si="46"/>
        <v>-5.1398393869286546E-2</v>
      </c>
      <c r="Y113" s="66">
        <f t="shared" si="47"/>
        <v>1.6031013593985986E-2</v>
      </c>
      <c r="Z113" s="66">
        <f t="shared" si="48"/>
        <v>-0.11318955264690919</v>
      </c>
      <c r="AA113" s="66">
        <f t="shared" si="49"/>
        <v>-6.7490626215120003E-2</v>
      </c>
      <c r="AB113" s="66">
        <f t="shared" si="50"/>
        <v>-3.1862963759512315E-2</v>
      </c>
      <c r="AC113" s="66">
        <f t="shared" si="51"/>
        <v>-5.8373782572024129E-2</v>
      </c>
      <c r="AD113" s="66">
        <f t="shared" si="52"/>
        <v>4.50801728544677E-3</v>
      </c>
      <c r="AE113" s="66">
        <f t="shared" si="53"/>
        <v>-6.754387810000001E-2</v>
      </c>
    </row>
    <row r="114" spans="2:31" ht="16" customHeight="1" x14ac:dyDescent="0.2">
      <c r="B114" s="91">
        <v>43646</v>
      </c>
      <c r="C114" s="66">
        <f>AIRBUS!D109</f>
        <v>8.5495370201865317E-2</v>
      </c>
      <c r="D114" s="66">
        <f>BNP!D109</f>
        <v>9.6552604072725617E-2</v>
      </c>
      <c r="E114" s="66">
        <f>CAPGEMINI!D109</f>
        <v>9.2407506792568886E-2</v>
      </c>
      <c r="F114" s="66">
        <f>DANONE!D109</f>
        <v>7.2129673677273867E-2</v>
      </c>
      <c r="G114" s="66">
        <f>ENGIE!D109</f>
        <v>0.13424385536294758</v>
      </c>
      <c r="H114" s="66">
        <f>'HERMES INTL'!D109</f>
        <v>6.6240723630786202E-2</v>
      </c>
      <c r="I114" s="66">
        <f>'PERNOD RICARD'!D109</f>
        <v>2.6933045847585903E-2</v>
      </c>
      <c r="J114" s="66">
        <f>RENAULT!D109</f>
        <v>2.540803036693379E-2</v>
      </c>
      <c r="K114" s="66">
        <f>SANOFI!D109</f>
        <v>9.5087948422652752E-2</v>
      </c>
      <c r="L114" s="66">
        <f>'SCHNEIDER ELECTRIC'!D109</f>
        <v>0.12655392027156243</v>
      </c>
      <c r="M114" s="66">
        <f>TOTALENERGIES!D109</f>
        <v>5.6496842305153713E-2</v>
      </c>
      <c r="N114" s="66">
        <f>VINCI!D109</f>
        <v>1.8087254953534197E-2</v>
      </c>
      <c r="O114" s="66">
        <f>MARKET!D109</f>
        <v>6.3625937199999996E-2</v>
      </c>
      <c r="P114" s="92">
        <f>INTERBANK!D108</f>
        <v>-2.741666666666667E-4</v>
      </c>
      <c r="R114" s="91">
        <v>43646</v>
      </c>
      <c r="S114" s="66">
        <f t="shared" si="41"/>
        <v>8.576953686853199E-2</v>
      </c>
      <c r="T114" s="66">
        <f t="shared" si="42"/>
        <v>9.682677073939229E-2</v>
      </c>
      <c r="U114" s="66">
        <f t="shared" si="43"/>
        <v>9.2681673459235558E-2</v>
      </c>
      <c r="V114" s="66">
        <f t="shared" si="44"/>
        <v>7.240384034394054E-2</v>
      </c>
      <c r="W114" s="66">
        <f t="shared" si="45"/>
        <v>0.13451802202961424</v>
      </c>
      <c r="X114" s="66">
        <f t="shared" si="46"/>
        <v>6.6514890297452875E-2</v>
      </c>
      <c r="Y114" s="66">
        <f t="shared" si="47"/>
        <v>2.7207212514252569E-2</v>
      </c>
      <c r="Z114" s="66">
        <f t="shared" si="48"/>
        <v>2.5682197033600456E-2</v>
      </c>
      <c r="AA114" s="66">
        <f t="shared" si="49"/>
        <v>9.5362115089319424E-2</v>
      </c>
      <c r="AB114" s="66">
        <f t="shared" si="50"/>
        <v>0.12682808693822908</v>
      </c>
      <c r="AC114" s="66">
        <f t="shared" si="51"/>
        <v>5.6771008971820379E-2</v>
      </c>
      <c r="AD114" s="66">
        <f t="shared" si="52"/>
        <v>1.8361421620200862E-2</v>
      </c>
      <c r="AE114" s="66">
        <f t="shared" si="53"/>
        <v>6.3900103866666669E-2</v>
      </c>
    </row>
    <row r="115" spans="2:31" ht="16" customHeight="1" x14ac:dyDescent="0.2">
      <c r="B115" s="91">
        <v>43677</v>
      </c>
      <c r="C115" s="66">
        <f>AIRBUS!D110</f>
        <v>2.7109372866504659E-2</v>
      </c>
      <c r="D115" s="66">
        <f>BNP!D110</f>
        <v>9.9366528126943535E-3</v>
      </c>
      <c r="E115" s="66">
        <f>CAPGEMINI!D110</f>
        <v>7.2599679111974527E-2</v>
      </c>
      <c r="F115" s="66">
        <f>DANONE!D110</f>
        <v>5.2348875600901866E-2</v>
      </c>
      <c r="G115" s="66">
        <f>ENGIE!D110</f>
        <v>4.3478342995176063E-2</v>
      </c>
      <c r="H115" s="66">
        <f>'HERMES INTL'!D110</f>
        <v>8.8520739358834959E-3</v>
      </c>
      <c r="I115" s="66">
        <f>'PERNOD RICARD'!D110</f>
        <v>-1.8512958146998382E-2</v>
      </c>
      <c r="J115" s="66">
        <f>RENAULT!D110</f>
        <v>-2.4265198555531553E-2</v>
      </c>
      <c r="K115" s="66">
        <f>SANOFI!D110</f>
        <v>-5.9279862179785342E-3</v>
      </c>
      <c r="L115" s="66">
        <f>'SCHNEIDER ELECTRIC'!D110</f>
        <v>-2.1063395949365942E-2</v>
      </c>
      <c r="M115" s="66">
        <f>TOTALENERGIES!D110</f>
        <v>-3.2627481101579411E-2</v>
      </c>
      <c r="N115" s="66">
        <f>VINCI!D110</f>
        <v>3.5309661175841708E-2</v>
      </c>
      <c r="O115" s="66">
        <f>MARKET!D110</f>
        <v>-3.6234736000000001E-3</v>
      </c>
      <c r="P115" s="92">
        <f>INTERBANK!D109</f>
        <v>-3.0416666666666667E-4</v>
      </c>
      <c r="R115" s="91">
        <v>43677</v>
      </c>
      <c r="S115" s="66">
        <f t="shared" si="41"/>
        <v>2.7413539533171327E-2</v>
      </c>
      <c r="T115" s="66">
        <f t="shared" si="42"/>
        <v>1.024081947936102E-2</v>
      </c>
      <c r="U115" s="66">
        <f t="shared" si="43"/>
        <v>7.2903845778641188E-2</v>
      </c>
      <c r="V115" s="66">
        <f t="shared" si="44"/>
        <v>5.2653042267568534E-2</v>
      </c>
      <c r="W115" s="66">
        <f t="shared" si="45"/>
        <v>4.3782509661842731E-2</v>
      </c>
      <c r="X115" s="66">
        <f t="shared" si="46"/>
        <v>9.1562406025501621E-3</v>
      </c>
      <c r="Y115" s="66">
        <f t="shared" si="47"/>
        <v>-1.8208791480331714E-2</v>
      </c>
      <c r="Z115" s="66">
        <f t="shared" si="48"/>
        <v>-2.3961031888864885E-2</v>
      </c>
      <c r="AA115" s="66">
        <f t="shared" si="49"/>
        <v>-5.6238195513118672E-3</v>
      </c>
      <c r="AB115" s="66">
        <f t="shared" si="50"/>
        <v>-2.0759229282699274E-2</v>
      </c>
      <c r="AC115" s="66">
        <f t="shared" si="51"/>
        <v>-3.2323314434912744E-2</v>
      </c>
      <c r="AD115" s="66">
        <f t="shared" si="52"/>
        <v>3.5613827842508376E-2</v>
      </c>
      <c r="AE115" s="66">
        <f t="shared" si="53"/>
        <v>-3.3193069333333335E-3</v>
      </c>
    </row>
    <row r="116" spans="2:31" ht="16" customHeight="1" x14ac:dyDescent="0.2">
      <c r="B116" s="91">
        <v>43708</v>
      </c>
      <c r="C116" s="66">
        <f>AIRBUS!D111</f>
        <v>-2.1240051655959567E-2</v>
      </c>
      <c r="D116" s="66">
        <f>BNP!D111</f>
        <v>-2.7145651200726421E-2</v>
      </c>
      <c r="E116" s="66">
        <f>CAPGEMINI!D111</f>
        <v>-5.2928413055467478E-2</v>
      </c>
      <c r="F116" s="66">
        <f>DANONE!D111</f>
        <v>3.9030613095059799E-2</v>
      </c>
      <c r="G116" s="66">
        <f>ENGIE!D111</f>
        <v>-6.8246998562111411E-3</v>
      </c>
      <c r="H116" s="66">
        <f>'HERMES INTL'!D111</f>
        <v>-2.4505327168634967E-2</v>
      </c>
      <c r="I116" s="66">
        <f>'PERNOD RICARD'!D111</f>
        <v>0.10014734904942967</v>
      </c>
      <c r="J116" s="66">
        <f>RENAULT!D111</f>
        <v>3.2053907688412722E-2</v>
      </c>
      <c r="K116" s="66">
        <f>SANOFI!D111</f>
        <v>3.5250481477749528E-2</v>
      </c>
      <c r="L116" s="66">
        <f>'SCHNEIDER ELECTRIC'!D111</f>
        <v>-2.4589982006329558E-2</v>
      </c>
      <c r="M116" s="66">
        <f>TOTALENERGIES!D111</f>
        <v>-3.4973988435308849E-2</v>
      </c>
      <c r="N116" s="66">
        <f>VINCI!D111</f>
        <v>6.7138835744288375E-2</v>
      </c>
      <c r="O116" s="66">
        <f>MARKET!D111</f>
        <v>-6.9615181999999999E-3</v>
      </c>
      <c r="P116" s="92">
        <f>INTERBANK!D110</f>
        <v>-3.3999999999999997E-4</v>
      </c>
      <c r="R116" s="91">
        <v>43708</v>
      </c>
      <c r="S116" s="66">
        <f t="shared" si="41"/>
        <v>-2.0900051655959567E-2</v>
      </c>
      <c r="T116" s="66">
        <f t="shared" si="42"/>
        <v>-2.6805651200726421E-2</v>
      </c>
      <c r="U116" s="66">
        <f t="shared" si="43"/>
        <v>-5.2588413055467478E-2</v>
      </c>
      <c r="V116" s="66">
        <f t="shared" si="44"/>
        <v>3.9370613095059799E-2</v>
      </c>
      <c r="W116" s="66">
        <f t="shared" si="45"/>
        <v>-6.4846998562111411E-3</v>
      </c>
      <c r="X116" s="66">
        <f t="shared" si="46"/>
        <v>-2.4165327168634967E-2</v>
      </c>
      <c r="Y116" s="66">
        <f t="shared" si="47"/>
        <v>0.10048734904942966</v>
      </c>
      <c r="Z116" s="66">
        <f t="shared" si="48"/>
        <v>3.2393907688412722E-2</v>
      </c>
      <c r="AA116" s="66">
        <f t="shared" si="49"/>
        <v>3.5590481477749528E-2</v>
      </c>
      <c r="AB116" s="66">
        <f t="shared" si="50"/>
        <v>-2.4249982006329558E-2</v>
      </c>
      <c r="AC116" s="66">
        <f t="shared" si="51"/>
        <v>-3.4633988435308849E-2</v>
      </c>
      <c r="AD116" s="66">
        <f t="shared" si="52"/>
        <v>6.7478835744288368E-2</v>
      </c>
      <c r="AE116" s="66">
        <f t="shared" si="53"/>
        <v>-6.6215181999999999E-3</v>
      </c>
    </row>
    <row r="117" spans="2:31" ht="16" customHeight="1" x14ac:dyDescent="0.2">
      <c r="B117" s="91">
        <v>43738</v>
      </c>
      <c r="C117" s="66">
        <f>AIRBUS!D112</f>
        <v>-4.8986745961510175E-2</v>
      </c>
      <c r="D117" s="66">
        <f>BNP!D112</f>
        <v>8.8582911581809101E-2</v>
      </c>
      <c r="E117" s="66">
        <f>CAPGEMINI!D112</f>
        <v>-9.6198088994713712E-3</v>
      </c>
      <c r="F117" s="66">
        <f>DANONE!D112</f>
        <v>-7.8565218237992267E-3</v>
      </c>
      <c r="G117" s="66">
        <f>ENGIE!D112</f>
        <v>8.3544226124455209E-2</v>
      </c>
      <c r="H117" s="66">
        <f>'HERMES INTL'!D112</f>
        <v>2.0934017237598305E-2</v>
      </c>
      <c r="I117" s="66">
        <f>'PERNOD RICARD'!D112</f>
        <v>-5.9297613975242684E-2</v>
      </c>
      <c r="J117" s="66">
        <f>RENAULT!D112</f>
        <v>9.5858499176856172E-3</v>
      </c>
      <c r="K117" s="66">
        <f>SANOFI!D112</f>
        <v>8.8837549539842228E-2</v>
      </c>
      <c r="L117" s="66">
        <f>'SCHNEIDER ELECTRIC'!D112</f>
        <v>5.6984991069323601E-2</v>
      </c>
      <c r="M117" s="66">
        <f>TOTALENERGIES!D112</f>
        <v>5.4967542093338269E-2</v>
      </c>
      <c r="N117" s="66">
        <f>VINCI!D112</f>
        <v>-6.8343663411198239E-3</v>
      </c>
      <c r="O117" s="66">
        <f>MARKET!D112</f>
        <v>3.6002331800000002E-2</v>
      </c>
      <c r="P117" s="92">
        <f>INTERBANK!D111</f>
        <v>-3.4833333333333331E-4</v>
      </c>
      <c r="R117" s="91">
        <v>43738</v>
      </c>
      <c r="S117" s="66">
        <f t="shared" si="41"/>
        <v>-4.8638412628176843E-2</v>
      </c>
      <c r="T117" s="66">
        <f t="shared" si="42"/>
        <v>8.8931244915142441E-2</v>
      </c>
      <c r="U117" s="66">
        <f t="shared" si="43"/>
        <v>-9.271475566138037E-3</v>
      </c>
      <c r="V117" s="66">
        <f t="shared" si="44"/>
        <v>-7.5081884904658934E-3</v>
      </c>
      <c r="W117" s="66">
        <f t="shared" si="45"/>
        <v>8.3892559457788549E-2</v>
      </c>
      <c r="X117" s="66">
        <f t="shared" si="46"/>
        <v>2.1282350570931637E-2</v>
      </c>
      <c r="Y117" s="66">
        <f t="shared" si="47"/>
        <v>-5.8949280641909352E-2</v>
      </c>
      <c r="Z117" s="66">
        <f t="shared" si="48"/>
        <v>9.9341832510189514E-3</v>
      </c>
      <c r="AA117" s="66">
        <f t="shared" si="49"/>
        <v>8.9185882873175568E-2</v>
      </c>
      <c r="AB117" s="66">
        <f t="shared" si="50"/>
        <v>5.7333324402656934E-2</v>
      </c>
      <c r="AC117" s="66">
        <f t="shared" si="51"/>
        <v>5.5315875426671601E-2</v>
      </c>
      <c r="AD117" s="66">
        <f t="shared" si="52"/>
        <v>-6.4860330077864906E-3</v>
      </c>
      <c r="AE117" s="66">
        <f t="shared" si="53"/>
        <v>3.6350665133333335E-2</v>
      </c>
    </row>
    <row r="118" spans="2:31" ht="16" customHeight="1" x14ac:dyDescent="0.2">
      <c r="B118" s="91">
        <v>43769</v>
      </c>
      <c r="C118" s="66">
        <f>AIRBUS!D113</f>
        <v>7.7348995771126819E-2</v>
      </c>
      <c r="D118" s="66">
        <f>BNP!D113</f>
        <v>4.790690838836785E-2</v>
      </c>
      <c r="E118" s="66">
        <f>CAPGEMINI!D113</f>
        <v>-6.6142634056145441E-2</v>
      </c>
      <c r="F118" s="66">
        <f>DANONE!D113</f>
        <v>-7.9930736320595566E-2</v>
      </c>
      <c r="G118" s="66">
        <f>ENGIE!D113</f>
        <v>1.0014070722641026E-3</v>
      </c>
      <c r="H118" s="66">
        <f>'HERMES INTL'!D113</f>
        <v>1.7350058175995622E-2</v>
      </c>
      <c r="I118" s="66">
        <f>'PERNOD RICARD'!D113</f>
        <v>1.2851859367130073E-2</v>
      </c>
      <c r="J118" s="66">
        <f>RENAULT!D113</f>
        <v>-0.13102924813471734</v>
      </c>
      <c r="K118" s="66">
        <f>SANOFI!D113</f>
        <v>-2.868566647046961E-2</v>
      </c>
      <c r="L118" s="66">
        <f>'SCHNEIDER ELECTRIC'!D113</f>
        <v>3.4285914803606078E-2</v>
      </c>
      <c r="M118" s="66">
        <f>TOTALENERGIES!D113</f>
        <v>-1.7569677648912622E-3</v>
      </c>
      <c r="N118" s="66">
        <f>VINCI!D113</f>
        <v>1.8012512284316027E-2</v>
      </c>
      <c r="O118" s="66">
        <f>MARKET!D113</f>
        <v>9.1707907000000005E-3</v>
      </c>
      <c r="P118" s="92">
        <f>INTERBANK!D112</f>
        <v>-3.4416666666666667E-4</v>
      </c>
      <c r="R118" s="91">
        <v>43769</v>
      </c>
      <c r="S118" s="66">
        <f t="shared" si="41"/>
        <v>7.7693162437793492E-2</v>
      </c>
      <c r="T118" s="66">
        <f t="shared" si="42"/>
        <v>4.8251075055034516E-2</v>
      </c>
      <c r="U118" s="66">
        <f t="shared" si="43"/>
        <v>-6.5798467389478768E-2</v>
      </c>
      <c r="V118" s="66">
        <f t="shared" si="44"/>
        <v>-7.9586569653928893E-2</v>
      </c>
      <c r="W118" s="66">
        <f t="shared" si="45"/>
        <v>1.3455737389307693E-3</v>
      </c>
      <c r="X118" s="66">
        <f t="shared" si="46"/>
        <v>1.7694224842662289E-2</v>
      </c>
      <c r="Y118" s="66">
        <f t="shared" si="47"/>
        <v>1.3196026033796739E-2</v>
      </c>
      <c r="Z118" s="66">
        <f t="shared" si="48"/>
        <v>-0.13068508146805066</v>
      </c>
      <c r="AA118" s="66">
        <f t="shared" si="49"/>
        <v>-2.8341499803802944E-2</v>
      </c>
      <c r="AB118" s="66">
        <f t="shared" si="50"/>
        <v>3.4630081470272744E-2</v>
      </c>
      <c r="AC118" s="66">
        <f t="shared" si="51"/>
        <v>-1.4128010982245955E-3</v>
      </c>
      <c r="AD118" s="66">
        <f t="shared" si="52"/>
        <v>1.8356678950982693E-2</v>
      </c>
      <c r="AE118" s="66">
        <f t="shared" si="53"/>
        <v>9.5149573666666667E-3</v>
      </c>
    </row>
    <row r="119" spans="2:31" ht="16" customHeight="1" x14ac:dyDescent="0.2">
      <c r="B119" s="91">
        <v>43799</v>
      </c>
      <c r="C119" s="66">
        <f>AIRBUS!D114</f>
        <v>3.8779030021636102E-2</v>
      </c>
      <c r="D119" s="66">
        <f>BNP!D114</f>
        <v>8.8870004930809418E-2</v>
      </c>
      <c r="E119" s="66">
        <f>CAPGEMINI!D114</f>
        <v>6.3397844062563047E-2</v>
      </c>
      <c r="F119" s="66">
        <f>DANONE!D114</f>
        <v>4.8413713629867437E-3</v>
      </c>
      <c r="G119" s="66">
        <f>ENGIE!D114</f>
        <v>-4.2347501913573643E-2</v>
      </c>
      <c r="H119" s="66">
        <f>'HERMES INTL'!D114</f>
        <v>5.426341300784987E-2</v>
      </c>
      <c r="I119" s="66">
        <f>'PERNOD RICARD'!D114</f>
        <v>7.2508887558084762E-3</v>
      </c>
      <c r="J119" s="66">
        <f>RENAULT!D114</f>
        <v>-5.0371545356685497E-2</v>
      </c>
      <c r="K119" s="66">
        <f>SANOFI!D114</f>
        <v>2.2875857789250095E-2</v>
      </c>
      <c r="L119" s="66">
        <f>'SCHNEIDER ELECTRIC'!D114</f>
        <v>5.212580654326323E-2</v>
      </c>
      <c r="M119" s="66">
        <f>TOTALENERGIES!D114</f>
        <v>1.0713939785197394E-2</v>
      </c>
      <c r="N119" s="66">
        <f>VINCI!D114</f>
        <v>-1.6103085809720294E-2</v>
      </c>
      <c r="O119" s="66">
        <f>MARKET!D114</f>
        <v>3.0595871899999998E-2</v>
      </c>
      <c r="P119" s="92">
        <f>INTERBANK!D113</f>
        <v>-3.3416666666666669E-4</v>
      </c>
      <c r="R119" s="91">
        <v>43799</v>
      </c>
      <c r="S119" s="66">
        <f t="shared" si="41"/>
        <v>3.9113196688302772E-2</v>
      </c>
      <c r="T119" s="66">
        <f t="shared" si="42"/>
        <v>8.9204171597476081E-2</v>
      </c>
      <c r="U119" s="66">
        <f t="shared" si="43"/>
        <v>6.373201072922971E-2</v>
      </c>
      <c r="V119" s="66">
        <f t="shared" si="44"/>
        <v>5.1755380296534103E-3</v>
      </c>
      <c r="W119" s="66">
        <f t="shared" si="45"/>
        <v>-4.2013335246906973E-2</v>
      </c>
      <c r="X119" s="66">
        <f t="shared" si="46"/>
        <v>5.459757967451654E-2</v>
      </c>
      <c r="Y119" s="66">
        <f t="shared" si="47"/>
        <v>7.5850554224751428E-3</v>
      </c>
      <c r="Z119" s="66">
        <f t="shared" si="48"/>
        <v>-5.0037378690018827E-2</v>
      </c>
      <c r="AA119" s="66">
        <f t="shared" si="49"/>
        <v>2.3210024455916762E-2</v>
      </c>
      <c r="AB119" s="66">
        <f t="shared" si="50"/>
        <v>5.24599732099299E-2</v>
      </c>
      <c r="AC119" s="66">
        <f t="shared" si="51"/>
        <v>1.104810645186406E-2</v>
      </c>
      <c r="AD119" s="66">
        <f t="shared" si="52"/>
        <v>-1.5768919143053627E-2</v>
      </c>
      <c r="AE119" s="66">
        <f t="shared" si="53"/>
        <v>3.0930038566666665E-2</v>
      </c>
    </row>
    <row r="120" spans="2:31" ht="16" customHeight="1" x14ac:dyDescent="0.2">
      <c r="B120" s="91">
        <v>43830</v>
      </c>
      <c r="C120" s="66">
        <f>AIRBUS!D115</f>
        <v>-2.1889037834855702E-2</v>
      </c>
      <c r="D120" s="66">
        <f>BNP!D115</f>
        <v>3.6492007847629584E-2</v>
      </c>
      <c r="E120" s="66">
        <f>CAPGEMINI!D115</f>
        <v>1.4438767525655536E-2</v>
      </c>
      <c r="F120" s="66">
        <f>DANONE!D115</f>
        <v>-1.097435352426925E-2</v>
      </c>
      <c r="G120" s="66">
        <f>ENGIE!D115</f>
        <v>2.7854229952352272E-3</v>
      </c>
      <c r="H120" s="66">
        <f>'HERMES INTL'!D115</f>
        <v>-2.0293965110995193E-2</v>
      </c>
      <c r="I120" s="66">
        <f>'PERNOD RICARD'!D115</f>
        <v>-3.2518369390510303E-2</v>
      </c>
      <c r="J120" s="66">
        <f>RENAULT!D115</f>
        <v>-2.9340776049666888E-2</v>
      </c>
      <c r="K120" s="66">
        <f>SANOFI!D115</f>
        <v>6.0466390027673754E-2</v>
      </c>
      <c r="L120" s="66">
        <f>'SCHNEIDER ELECTRIC'!D115</f>
        <v>4.4520380940248232E-2</v>
      </c>
      <c r="M120" s="66">
        <f>TOTALENERGIES!D115</f>
        <v>3.2745613777142218E-2</v>
      </c>
      <c r="N120" s="66">
        <f>VINCI!D115</f>
        <v>7.9783759628394586E-3</v>
      </c>
      <c r="O120" s="66">
        <f>MARKET!D115</f>
        <v>1.23434444E-2</v>
      </c>
      <c r="P120" s="92">
        <f>INTERBANK!D114</f>
        <v>-3.2916666666666668E-4</v>
      </c>
      <c r="R120" s="91">
        <v>43830</v>
      </c>
      <c r="S120" s="66">
        <f t="shared" si="41"/>
        <v>-2.1559871168189037E-2</v>
      </c>
      <c r="T120" s="66">
        <f t="shared" si="42"/>
        <v>3.682117451429625E-2</v>
      </c>
      <c r="U120" s="66">
        <f t="shared" si="43"/>
        <v>1.4767934192322203E-2</v>
      </c>
      <c r="V120" s="66">
        <f t="shared" si="44"/>
        <v>-1.0645186857602584E-2</v>
      </c>
      <c r="W120" s="66">
        <f t="shared" si="45"/>
        <v>3.114589661901894E-3</v>
      </c>
      <c r="X120" s="66">
        <f t="shared" si="46"/>
        <v>-1.9964798444328528E-2</v>
      </c>
      <c r="Y120" s="66">
        <f t="shared" si="47"/>
        <v>-3.2189202723843638E-2</v>
      </c>
      <c r="Z120" s="66">
        <f t="shared" si="48"/>
        <v>-2.9011609383000223E-2</v>
      </c>
      <c r="AA120" s="66">
        <f t="shared" si="49"/>
        <v>6.0795556694340419E-2</v>
      </c>
      <c r="AB120" s="66">
        <f t="shared" si="50"/>
        <v>4.4849547606914897E-2</v>
      </c>
      <c r="AC120" s="66">
        <f t="shared" si="51"/>
        <v>3.3074780443808884E-2</v>
      </c>
      <c r="AD120" s="66">
        <f t="shared" si="52"/>
        <v>8.3075426295061254E-3</v>
      </c>
      <c r="AE120" s="66">
        <f t="shared" si="53"/>
        <v>1.2672611066666667E-2</v>
      </c>
    </row>
    <row r="121" spans="2:31" ht="16" customHeight="1" x14ac:dyDescent="0.2">
      <c r="B121" s="91">
        <v>43861</v>
      </c>
      <c r="C121" s="66">
        <f>AIRBUS!D116</f>
        <v>2.1152681367366331E-2</v>
      </c>
      <c r="D121" s="66">
        <f>BNP!D116</f>
        <v>-9.0573594116093878E-2</v>
      </c>
      <c r="E121" s="66">
        <f>CAPGEMINI!D116</f>
        <v>3.1680452404552979E-2</v>
      </c>
      <c r="F121" s="66">
        <f>DANONE!D116</f>
        <v>-2.0297693528289199E-2</v>
      </c>
      <c r="G121" s="66">
        <f>ENGIE!D116</f>
        <v>8.0555809391233857E-2</v>
      </c>
      <c r="H121" s="66">
        <f>'HERMES INTL'!D116</f>
        <v>1.5610958068146807E-2</v>
      </c>
      <c r="I121" s="66">
        <f>'PERNOD RICARD'!D116</f>
        <v>-1.8193237545101961E-2</v>
      </c>
      <c r="J121" s="66">
        <f>RENAULT!D116</f>
        <v>-0.16441441441441587</v>
      </c>
      <c r="K121" s="66">
        <f>SANOFI!D116</f>
        <v>-2.9792584362595027E-2</v>
      </c>
      <c r="L121" s="66">
        <f>'SCHNEIDER ELECTRIC'!D116</f>
        <v>-1.0710341135607071E-2</v>
      </c>
      <c r="M121" s="66">
        <f>TOTALENERGIES!D116</f>
        <v>-0.10274394587864175</v>
      </c>
      <c r="N121" s="66">
        <f>VINCI!D116</f>
        <v>1.2121300281355819E-2</v>
      </c>
      <c r="O121" s="66">
        <f>MARKET!D116</f>
        <v>-2.87250735E-2</v>
      </c>
      <c r="P121" s="92">
        <f>INTERBANK!D115</f>
        <v>-3.2583333333333336E-4</v>
      </c>
      <c r="R121" s="91">
        <v>43861</v>
      </c>
      <c r="S121" s="66">
        <f t="shared" si="41"/>
        <v>2.1478514700699666E-2</v>
      </c>
      <c r="T121" s="66">
        <f t="shared" si="42"/>
        <v>-9.0247760782760547E-2</v>
      </c>
      <c r="U121" s="66">
        <f t="shared" si="43"/>
        <v>3.200628573788631E-2</v>
      </c>
      <c r="V121" s="66">
        <f t="shared" si="44"/>
        <v>-1.9971860194955865E-2</v>
      </c>
      <c r="W121" s="66">
        <f t="shared" si="45"/>
        <v>8.0881642724567188E-2</v>
      </c>
      <c r="X121" s="66">
        <f t="shared" si="46"/>
        <v>1.593679140148014E-2</v>
      </c>
      <c r="Y121" s="66">
        <f t="shared" si="47"/>
        <v>-1.7867404211768627E-2</v>
      </c>
      <c r="Z121" s="66">
        <f t="shared" si="48"/>
        <v>-0.16408858108108254</v>
      </c>
      <c r="AA121" s="66">
        <f t="shared" si="49"/>
        <v>-2.9466751029261693E-2</v>
      </c>
      <c r="AB121" s="66">
        <f t="shared" si="50"/>
        <v>-1.0384507802273738E-2</v>
      </c>
      <c r="AC121" s="66">
        <f t="shared" si="51"/>
        <v>-0.10241811254530842</v>
      </c>
      <c r="AD121" s="66">
        <f t="shared" si="52"/>
        <v>1.2447133614689153E-2</v>
      </c>
      <c r="AE121" s="66">
        <f t="shared" si="53"/>
        <v>-2.8399240166666666E-2</v>
      </c>
    </row>
    <row r="122" spans="2:31" ht="16" customHeight="1" x14ac:dyDescent="0.2">
      <c r="B122" s="91">
        <v>43890</v>
      </c>
      <c r="C122" s="66">
        <f>AIRBUS!D117</f>
        <v>-0.18868216366391899</v>
      </c>
      <c r="D122" s="66">
        <f>BNP!D117</f>
        <v>-8.8666833354337074E-2</v>
      </c>
      <c r="E122" s="66">
        <f>CAPGEMINI!D117</f>
        <v>-0.11686691193689584</v>
      </c>
      <c r="F122" s="66">
        <f>DANONE!D117</f>
        <v>-0.11988945416301365</v>
      </c>
      <c r="G122" s="66">
        <f>ENGIE!D117</f>
        <v>-3.4061889831353755E-2</v>
      </c>
      <c r="H122" s="66">
        <f>'HERMES INTL'!D117</f>
        <v>-6.8873796530546996E-2</v>
      </c>
      <c r="I122" s="66">
        <f>'PERNOD RICARD'!D117</f>
        <v>-6.453687768280858E-2</v>
      </c>
      <c r="J122" s="66">
        <f>RENAULT!D117</f>
        <v>-0.24826207103716322</v>
      </c>
      <c r="K122" s="66">
        <f>SANOFI!D117</f>
        <v>-3.4732595179123645E-2</v>
      </c>
      <c r="L122" s="66">
        <f>'SCHNEIDER ELECTRIC'!D117</f>
        <v>-2.2074161332564764E-4</v>
      </c>
      <c r="M122" s="66">
        <f>TOTALENERGIES!D117</f>
        <v>-0.11905134725891428</v>
      </c>
      <c r="N122" s="66">
        <f>VINCI!D117</f>
        <v>-9.2016012686121376E-2</v>
      </c>
      <c r="O122" s="66">
        <f>MARKET!D117</f>
        <v>-8.5499635700000007E-2</v>
      </c>
      <c r="P122" s="92">
        <f>INTERBANK!D116</f>
        <v>-3.4083333333333329E-4</v>
      </c>
      <c r="R122" s="91">
        <v>43890</v>
      </c>
      <c r="S122" s="66">
        <f t="shared" si="41"/>
        <v>-0.18834133033058564</v>
      </c>
      <c r="T122" s="66">
        <f t="shared" si="42"/>
        <v>-8.8326000021003742E-2</v>
      </c>
      <c r="U122" s="66">
        <f t="shared" si="43"/>
        <v>-0.11652607860356251</v>
      </c>
      <c r="V122" s="66">
        <f t="shared" si="44"/>
        <v>-0.11954862082968032</v>
      </c>
      <c r="W122" s="66">
        <f t="shared" si="45"/>
        <v>-3.3721056498020423E-2</v>
      </c>
      <c r="X122" s="66">
        <f t="shared" si="46"/>
        <v>-6.8532963197213664E-2</v>
      </c>
      <c r="Y122" s="66">
        <f t="shared" si="47"/>
        <v>-6.4196044349475248E-2</v>
      </c>
      <c r="Z122" s="66">
        <f t="shared" si="48"/>
        <v>-0.24792123770382987</v>
      </c>
      <c r="AA122" s="66">
        <f t="shared" si="49"/>
        <v>-3.4391761845790313E-2</v>
      </c>
      <c r="AB122" s="66">
        <f t="shared" si="50"/>
        <v>1.2009172000768565E-4</v>
      </c>
      <c r="AC122" s="66">
        <f t="shared" si="51"/>
        <v>-0.11871051392558095</v>
      </c>
      <c r="AD122" s="66">
        <f t="shared" si="52"/>
        <v>-9.1675179352788044E-2</v>
      </c>
      <c r="AE122" s="66">
        <f t="shared" si="53"/>
        <v>-8.5158802366666675E-2</v>
      </c>
    </row>
    <row r="123" spans="2:31" ht="16" customHeight="1" x14ac:dyDescent="0.2">
      <c r="B123" s="91">
        <v>43921</v>
      </c>
      <c r="C123" s="66">
        <f>AIRBUS!D118</f>
        <v>-0.45106382368030196</v>
      </c>
      <c r="D123" s="66">
        <f>BNP!D118</f>
        <v>-0.37170258956443919</v>
      </c>
      <c r="E123" s="66">
        <f>CAPGEMINI!D118</f>
        <v>-0.22394690126708786</v>
      </c>
      <c r="F123" s="66">
        <f>DANONE!D118</f>
        <v>-7.9723778488272265E-2</v>
      </c>
      <c r="G123" s="66">
        <f>ENGIE!D118</f>
        <v>-0.37378579558260916</v>
      </c>
      <c r="H123" s="66">
        <f>'HERMES INTL'!D118</f>
        <v>-1.9048046167435577E-3</v>
      </c>
      <c r="I123" s="66">
        <f>'PERNOD RICARD'!D118</f>
        <v>-0.1157785038884262</v>
      </c>
      <c r="J123" s="66">
        <f>RENAULT!D118</f>
        <v>-0.33164757986668414</v>
      </c>
      <c r="K123" s="66">
        <f>SANOFI!D118</f>
        <v>-4.5156647156403412E-2</v>
      </c>
      <c r="L123" s="66">
        <f>'SCHNEIDER ELECTRIC'!D118</f>
        <v>-0.13171274237031017</v>
      </c>
      <c r="M123" s="66">
        <f>TOTALENERGIES!D118</f>
        <v>-7.7905378699617472E-2</v>
      </c>
      <c r="N123" s="66">
        <f>VINCI!D118</f>
        <v>-0.17124655878771994</v>
      </c>
      <c r="O123" s="66">
        <f>MARKET!D118</f>
        <v>-0.17208983259999999</v>
      </c>
      <c r="P123" s="92">
        <f>INTERBANK!D117</f>
        <v>-3.4749999999999999E-4</v>
      </c>
      <c r="R123" s="91">
        <v>43921</v>
      </c>
      <c r="S123" s="66">
        <f t="shared" ref="S123:S154" si="54">C123-$P123</f>
        <v>-0.45071632368030196</v>
      </c>
      <c r="T123" s="66">
        <f t="shared" ref="T123:T154" si="55">D123-$P123</f>
        <v>-0.37135508956443919</v>
      </c>
      <c r="U123" s="66">
        <f t="shared" ref="U123:U154" si="56">E123-$P123</f>
        <v>-0.22359940126708786</v>
      </c>
      <c r="V123" s="66">
        <f t="shared" ref="V123:V154" si="57">F123-$P123</f>
        <v>-7.9376278488272264E-2</v>
      </c>
      <c r="W123" s="66">
        <f t="shared" ref="W123:W154" si="58">G123-$P123</f>
        <v>-0.37343829558260916</v>
      </c>
      <c r="X123" s="66">
        <f t="shared" ref="X123:X154" si="59">H123-$P123</f>
        <v>-1.5573046167435577E-3</v>
      </c>
      <c r="Y123" s="66">
        <f t="shared" ref="Y123:Y154" si="60">I123-$P123</f>
        <v>-0.1154310038884262</v>
      </c>
      <c r="Z123" s="66">
        <f t="shared" ref="Z123:Z154" si="61">J123-$P123</f>
        <v>-0.33130007986668414</v>
      </c>
      <c r="AA123" s="66">
        <f t="shared" ref="AA123:AA154" si="62">K123-$P123</f>
        <v>-4.4809147156403412E-2</v>
      </c>
      <c r="AB123" s="66">
        <f t="shared" ref="AB123:AB154" si="63">L123-$P123</f>
        <v>-0.13136524237031016</v>
      </c>
      <c r="AC123" s="66">
        <f t="shared" ref="AC123:AC154" si="64">M123-$P123</f>
        <v>-7.7557878699617472E-2</v>
      </c>
      <c r="AD123" s="66">
        <f t="shared" ref="AD123:AD154" si="65">N123-$P123</f>
        <v>-0.17089905878771994</v>
      </c>
      <c r="AE123" s="66">
        <f t="shared" ref="AE123:AE154" si="66">O123-$P123</f>
        <v>-0.17174233259999999</v>
      </c>
    </row>
    <row r="124" spans="2:31" ht="16" customHeight="1" x14ac:dyDescent="0.2">
      <c r="B124" s="91">
        <v>43951</v>
      </c>
      <c r="C124" s="66">
        <f>AIRBUS!D119</f>
        <v>-2.4603890009327601E-2</v>
      </c>
      <c r="D124" s="66">
        <f>BNP!D119</f>
        <v>4.2348156765712096E-2</v>
      </c>
      <c r="E124" s="66">
        <f>CAPGEMINI!D119</f>
        <v>0.11350650429409738</v>
      </c>
      <c r="F124" s="66">
        <f>DANONE!D119</f>
        <v>7.8785728124324342E-2</v>
      </c>
      <c r="G124" s="66">
        <f>ENGIE!D119</f>
        <v>5.227391477201556E-2</v>
      </c>
      <c r="H124" s="66">
        <f>'HERMES INTL'!D119</f>
        <v>6.4538264406494308E-2</v>
      </c>
      <c r="I124" s="66">
        <f>'PERNOD RICARD'!D119</f>
        <v>7.4546060069790504E-2</v>
      </c>
      <c r="J124" s="66">
        <f>RENAULT!D119</f>
        <v>2.247594924434896E-2</v>
      </c>
      <c r="K124" s="66">
        <f>SANOFI!D119</f>
        <v>0.11292733295738283</v>
      </c>
      <c r="L124" s="66">
        <f>'SCHNEIDER ELECTRIC'!D119</f>
        <v>6.2102297475368454E-2</v>
      </c>
      <c r="M124" s="66">
        <f>TOTALENERGIES!D119</f>
        <v>-5.1778310852745001E-2</v>
      </c>
      <c r="N124" s="66">
        <f>VINCI!D119</f>
        <v>-9.28379585038752E-3</v>
      </c>
      <c r="O124" s="66">
        <f>MARKET!D119</f>
        <v>4.0048964499999999E-2</v>
      </c>
      <c r="P124" s="92">
        <f>INTERBANK!D118</f>
        <v>-2.1166666666666667E-4</v>
      </c>
      <c r="R124" s="91">
        <v>43951</v>
      </c>
      <c r="S124" s="66">
        <f t="shared" si="54"/>
        <v>-2.4392223342660935E-2</v>
      </c>
      <c r="T124" s="66">
        <f t="shared" si="55"/>
        <v>4.2559823432378761E-2</v>
      </c>
      <c r="U124" s="66">
        <f t="shared" si="56"/>
        <v>0.11371817096076405</v>
      </c>
      <c r="V124" s="66">
        <f t="shared" si="57"/>
        <v>7.8997394790991007E-2</v>
      </c>
      <c r="W124" s="66">
        <f t="shared" si="58"/>
        <v>5.2485581438682226E-2</v>
      </c>
      <c r="X124" s="66">
        <f t="shared" si="59"/>
        <v>6.4749931073160974E-2</v>
      </c>
      <c r="Y124" s="66">
        <f t="shared" si="60"/>
        <v>7.475772673645717E-2</v>
      </c>
      <c r="Z124" s="66">
        <f t="shared" si="61"/>
        <v>2.2687615911015625E-2</v>
      </c>
      <c r="AA124" s="66">
        <f t="shared" si="62"/>
        <v>0.1131389996240495</v>
      </c>
      <c r="AB124" s="66">
        <f t="shared" si="63"/>
        <v>6.2313964142035119E-2</v>
      </c>
      <c r="AC124" s="66">
        <f t="shared" si="64"/>
        <v>-5.1566644186078335E-2</v>
      </c>
      <c r="AD124" s="66">
        <f t="shared" si="65"/>
        <v>-9.0721291837208527E-3</v>
      </c>
      <c r="AE124" s="66">
        <f t="shared" si="66"/>
        <v>4.0260631166666665E-2</v>
      </c>
    </row>
    <row r="125" spans="2:31" ht="16" customHeight="1" x14ac:dyDescent="0.2">
      <c r="B125" s="91">
        <v>43982</v>
      </c>
      <c r="C125" s="66">
        <f>AIRBUS!D120</f>
        <v>-2.0387009966099132E-2</v>
      </c>
      <c r="D125" s="66">
        <f>BNP!D120</f>
        <v>0.12484744223318892</v>
      </c>
      <c r="E125" s="66">
        <f>CAPGEMINI!D120</f>
        <v>7.4177739720264341E-2</v>
      </c>
      <c r="F125" s="66">
        <f>DANONE!D120</f>
        <v>-2.6873203810255489E-2</v>
      </c>
      <c r="G125" s="66">
        <f>ENGIE!D120</f>
        <v>7.3808500744179759E-2</v>
      </c>
      <c r="H125" s="66">
        <f>'HERMES INTL'!D120</f>
        <v>0.12480028281986724</v>
      </c>
      <c r="I125" s="66">
        <f>'PERNOD RICARD'!D120</f>
        <v>7.1889683585519958E-3</v>
      </c>
      <c r="J125" s="66">
        <f>RENAULT!D120</f>
        <v>0.11592827986281305</v>
      </c>
      <c r="K125" s="66">
        <f>SANOFI!D120</f>
        <v>-1.8611886603384378E-2</v>
      </c>
      <c r="L125" s="66">
        <f>'SCHNEIDER ELECTRIC'!D120</f>
        <v>6.9254515806647793E-2</v>
      </c>
      <c r="M125" s="66">
        <f>TOTALENERGIES!D120</f>
        <v>2.3592355119668652E-2</v>
      </c>
      <c r="N125" s="66">
        <f>VINCI!D120</f>
        <v>0.11164659443736272</v>
      </c>
      <c r="O125" s="66">
        <f>MARKET!D120</f>
        <v>2.69586414E-2</v>
      </c>
      <c r="P125" s="92">
        <f>INTERBANK!D119</f>
        <v>-2.2666666666666668E-4</v>
      </c>
      <c r="R125" s="91">
        <v>43982</v>
      </c>
      <c r="S125" s="66">
        <f t="shared" si="54"/>
        <v>-2.0160343299432466E-2</v>
      </c>
      <c r="T125" s="66">
        <f t="shared" si="55"/>
        <v>0.1250741088998556</v>
      </c>
      <c r="U125" s="66">
        <f t="shared" si="56"/>
        <v>7.4404406386931007E-2</v>
      </c>
      <c r="V125" s="66">
        <f t="shared" si="57"/>
        <v>-2.6646537143588823E-2</v>
      </c>
      <c r="W125" s="66">
        <f t="shared" si="58"/>
        <v>7.4035167410846425E-2</v>
      </c>
      <c r="X125" s="66">
        <f t="shared" si="59"/>
        <v>0.12502694948653392</v>
      </c>
      <c r="Y125" s="66">
        <f t="shared" si="60"/>
        <v>7.4156350252186625E-3</v>
      </c>
      <c r="Z125" s="66">
        <f t="shared" si="61"/>
        <v>0.11615494652947972</v>
      </c>
      <c r="AA125" s="66">
        <f t="shared" si="62"/>
        <v>-1.8385219936717712E-2</v>
      </c>
      <c r="AB125" s="66">
        <f t="shared" si="63"/>
        <v>6.948118247331446E-2</v>
      </c>
      <c r="AC125" s="66">
        <f t="shared" si="64"/>
        <v>2.3819021786335319E-2</v>
      </c>
      <c r="AD125" s="66">
        <f t="shared" si="65"/>
        <v>0.11187326110402938</v>
      </c>
      <c r="AE125" s="66">
        <f t="shared" si="66"/>
        <v>2.7185308066666667E-2</v>
      </c>
    </row>
    <row r="126" spans="2:31" ht="16" customHeight="1" x14ac:dyDescent="0.2">
      <c r="B126" s="91">
        <v>44012</v>
      </c>
      <c r="C126" s="66">
        <f>AIRBUS!D121</f>
        <v>0.12028223413806392</v>
      </c>
      <c r="D126" s="66">
        <f>BNP!D121</f>
        <v>9.6574077846282899E-2</v>
      </c>
      <c r="E126" s="66">
        <f>CAPGEMINI!D121</f>
        <v>0.10694911921851204</v>
      </c>
      <c r="F126" s="66">
        <f>DANONE!D121</f>
        <v>0</v>
      </c>
      <c r="G126" s="66">
        <f>ENGIE!D121</f>
        <v>3.4320602793289225E-2</v>
      </c>
      <c r="H126" s="66">
        <f>'HERMES INTL'!D121</f>
        <v>-5.3490446024265122E-3</v>
      </c>
      <c r="I126" s="66">
        <f>'PERNOD RICARD'!D121</f>
        <v>-3.5672492794897921E-4</v>
      </c>
      <c r="J126" s="66">
        <f>RENAULT!D121</f>
        <v>0.117545153112359</v>
      </c>
      <c r="K126" s="66">
        <f>SANOFI!D121</f>
        <v>7.3775450984450347E-2</v>
      </c>
      <c r="L126" s="66">
        <f>'SCHNEIDER ELECTRIC'!D121</f>
        <v>0.14425187122252625</v>
      </c>
      <c r="M126" s="66">
        <f>TOTALENERGIES!D121</f>
        <v>1.040884169444195E-2</v>
      </c>
      <c r="N126" s="66">
        <f>VINCI!D121</f>
        <v>-1.2524087473148336E-2</v>
      </c>
      <c r="O126" s="66">
        <f>MARKET!D121</f>
        <v>5.12306186E-2</v>
      </c>
      <c r="P126" s="92">
        <f>INTERBANK!D120</f>
        <v>-3.1333333333333332E-4</v>
      </c>
      <c r="R126" s="91">
        <v>44012</v>
      </c>
      <c r="S126" s="66">
        <f t="shared" si="54"/>
        <v>0.12059556747139726</v>
      </c>
      <c r="T126" s="66">
        <f t="shared" si="55"/>
        <v>9.6887411179616231E-2</v>
      </c>
      <c r="U126" s="66">
        <f t="shared" si="56"/>
        <v>0.10726245255184537</v>
      </c>
      <c r="V126" s="66">
        <f t="shared" si="57"/>
        <v>3.1333333333333332E-4</v>
      </c>
      <c r="W126" s="66">
        <f t="shared" si="58"/>
        <v>3.4633936126622557E-2</v>
      </c>
      <c r="X126" s="66">
        <f t="shared" si="59"/>
        <v>-5.0357112690931792E-3</v>
      </c>
      <c r="Y126" s="66">
        <f t="shared" si="60"/>
        <v>-4.3391594615645884E-5</v>
      </c>
      <c r="Z126" s="66">
        <f t="shared" si="61"/>
        <v>0.11785848644569233</v>
      </c>
      <c r="AA126" s="66">
        <f t="shared" si="62"/>
        <v>7.4088784317783679E-2</v>
      </c>
      <c r="AB126" s="66">
        <f t="shared" si="63"/>
        <v>0.14456520455585958</v>
      </c>
      <c r="AC126" s="66">
        <f t="shared" si="64"/>
        <v>1.0722175027775284E-2</v>
      </c>
      <c r="AD126" s="66">
        <f t="shared" si="65"/>
        <v>-1.2210754139815002E-2</v>
      </c>
      <c r="AE126" s="66">
        <f t="shared" si="66"/>
        <v>5.1543951933333332E-2</v>
      </c>
    </row>
    <row r="127" spans="2:31" ht="16" customHeight="1" x14ac:dyDescent="0.2">
      <c r="B127" s="91">
        <v>44043</v>
      </c>
      <c r="C127" s="66">
        <f>AIRBUS!D122</f>
        <v>-2.3772135799788381E-2</v>
      </c>
      <c r="D127" s="66">
        <f>BNP!D122</f>
        <v>-3.548194975606004E-2</v>
      </c>
      <c r="E127" s="66">
        <f>CAPGEMINI!D122</f>
        <v>8.9783975119990908E-2</v>
      </c>
      <c r="F127" s="66">
        <f>DANONE!D122</f>
        <v>-8.1546437070834962E-2</v>
      </c>
      <c r="G127" s="66">
        <f>ENGIE!D122</f>
        <v>2.6363557750732104E-2</v>
      </c>
      <c r="H127" s="66">
        <f>'HERMES INTL'!D122</f>
        <v>-7.7440082188216575E-2</v>
      </c>
      <c r="I127" s="66">
        <f>'PERNOD RICARD'!D122</f>
        <v>4.2484871524983495E-2</v>
      </c>
      <c r="J127" s="66">
        <f>RENAULT!D122</f>
        <v>-0.11182464520463431</v>
      </c>
      <c r="K127" s="66">
        <f>SANOFI!D122</f>
        <v>-2.3166009306892887E-2</v>
      </c>
      <c r="L127" s="66">
        <f>'SCHNEIDER ELECTRIC'!D122</f>
        <v>-6.4724768053670435E-3</v>
      </c>
      <c r="M127" s="66">
        <f>TOTALENERGIES!D122</f>
        <v>-6.0557650432168895E-2</v>
      </c>
      <c r="N127" s="66">
        <f>VINCI!D122</f>
        <v>-9.9013460536156436E-2</v>
      </c>
      <c r="O127" s="66">
        <f>MARKET!D122</f>
        <v>-3.0855063700000001E-2</v>
      </c>
      <c r="P127" s="92">
        <f>INTERBANK!D121</f>
        <v>-3.6999999999999999E-4</v>
      </c>
      <c r="R127" s="91">
        <v>44043</v>
      </c>
      <c r="S127" s="66">
        <f t="shared" si="54"/>
        <v>-2.3402135799788382E-2</v>
      </c>
      <c r="T127" s="66">
        <f t="shared" si="55"/>
        <v>-3.5111949756060037E-2</v>
      </c>
      <c r="U127" s="66">
        <f t="shared" si="56"/>
        <v>9.0153975119990903E-2</v>
      </c>
      <c r="V127" s="66">
        <f t="shared" si="57"/>
        <v>-8.1176437070834967E-2</v>
      </c>
      <c r="W127" s="66">
        <f t="shared" si="58"/>
        <v>2.6733557750732103E-2</v>
      </c>
      <c r="X127" s="66">
        <f t="shared" si="59"/>
        <v>-7.7070082188216579E-2</v>
      </c>
      <c r="Y127" s="66">
        <f t="shared" si="60"/>
        <v>4.2854871524983497E-2</v>
      </c>
      <c r="Z127" s="66">
        <f t="shared" si="61"/>
        <v>-0.11145464520463431</v>
      </c>
      <c r="AA127" s="66">
        <f t="shared" si="62"/>
        <v>-2.2796009306892889E-2</v>
      </c>
      <c r="AB127" s="66">
        <f t="shared" si="63"/>
        <v>-6.1024768053670438E-3</v>
      </c>
      <c r="AC127" s="66">
        <f t="shared" si="64"/>
        <v>-6.0187650432168893E-2</v>
      </c>
      <c r="AD127" s="66">
        <f t="shared" si="65"/>
        <v>-9.8643460536156441E-2</v>
      </c>
      <c r="AE127" s="66">
        <f t="shared" si="66"/>
        <v>-3.0485063700000002E-2</v>
      </c>
    </row>
    <row r="128" spans="2:31" ht="16" customHeight="1" x14ac:dyDescent="0.2">
      <c r="B128" s="91">
        <v>44074</v>
      </c>
      <c r="C128" s="66">
        <f>AIRBUS!D123</f>
        <v>0.11014347969010857</v>
      </c>
      <c r="D128" s="66">
        <f>BNP!D123</f>
        <v>7.1815972800597275E-2</v>
      </c>
      <c r="E128" s="66">
        <f>CAPGEMINI!D123</f>
        <v>5.9360634186238888E-2</v>
      </c>
      <c r="F128" s="66">
        <f>DANONE!D123</f>
        <v>9.0191991259468193E-3</v>
      </c>
      <c r="G128" s="66">
        <f>ENGIE!D123</f>
        <v>3.2329464267558686E-2</v>
      </c>
      <c r="H128" s="66">
        <f>'HERMES INTL'!D123</f>
        <v>4.8382469205364938E-2</v>
      </c>
      <c r="I128" s="66">
        <f>'PERNOD RICARD'!D123</f>
        <v>-8.8728329881637112E-3</v>
      </c>
      <c r="J128" s="66">
        <f>RENAULT!D123</f>
        <v>0.18873101994858127</v>
      </c>
      <c r="K128" s="66">
        <f>SANOFI!D123</f>
        <v>-4.1558304117310256E-2</v>
      </c>
      <c r="L128" s="66">
        <f>'SCHNEIDER ELECTRIC'!D123</f>
        <v>5.6087165961749855E-2</v>
      </c>
      <c r="M128" s="66">
        <f>TOTALENERGIES!D123</f>
        <v>5.7508015826313229E-2</v>
      </c>
      <c r="N128" s="66">
        <f>VINCI!D123</f>
        <v>7.9395598073271734E-2</v>
      </c>
      <c r="O128" s="66">
        <f>MARKET!D123</f>
        <v>3.4184964999999998E-2</v>
      </c>
      <c r="P128" s="92">
        <f>INTERBANK!D122</f>
        <v>-3.9999999999999996E-4</v>
      </c>
      <c r="R128" s="91">
        <v>44074</v>
      </c>
      <c r="S128" s="66">
        <f t="shared" si="54"/>
        <v>0.11054347969010857</v>
      </c>
      <c r="T128" s="66">
        <f t="shared" si="55"/>
        <v>7.2215972800597272E-2</v>
      </c>
      <c r="U128" s="66">
        <f t="shared" si="56"/>
        <v>5.9760634186238885E-2</v>
      </c>
      <c r="V128" s="66">
        <f t="shared" si="57"/>
        <v>9.4191991259468186E-3</v>
      </c>
      <c r="W128" s="66">
        <f t="shared" si="58"/>
        <v>3.2729464267558683E-2</v>
      </c>
      <c r="X128" s="66">
        <f t="shared" si="59"/>
        <v>4.8782469205364935E-2</v>
      </c>
      <c r="Y128" s="66">
        <f t="shared" si="60"/>
        <v>-8.4728329881637119E-3</v>
      </c>
      <c r="Z128" s="66">
        <f t="shared" si="61"/>
        <v>0.18913101994858128</v>
      </c>
      <c r="AA128" s="66">
        <f t="shared" si="62"/>
        <v>-4.1158304117310258E-2</v>
      </c>
      <c r="AB128" s="66">
        <f t="shared" si="63"/>
        <v>5.6487165961749852E-2</v>
      </c>
      <c r="AC128" s="66">
        <f t="shared" si="64"/>
        <v>5.7908015826313226E-2</v>
      </c>
      <c r="AD128" s="66">
        <f t="shared" si="65"/>
        <v>7.9795598073271731E-2</v>
      </c>
      <c r="AE128" s="66">
        <f t="shared" si="66"/>
        <v>3.4584964999999995E-2</v>
      </c>
    </row>
    <row r="129" spans="2:31" ht="16" customHeight="1" x14ac:dyDescent="0.2">
      <c r="B129" s="91">
        <v>44104</v>
      </c>
      <c r="C129" s="66">
        <f>AIRBUS!D124</f>
        <v>-9.8343927800504716E-2</v>
      </c>
      <c r="D129" s="66">
        <f>BNP!D124</f>
        <v>-0.15287845662115998</v>
      </c>
      <c r="E129" s="66">
        <f>CAPGEMINI!D124</f>
        <v>-5.3879216713671962E-2</v>
      </c>
      <c r="F129" s="66">
        <f>DANONE!D124</f>
        <v>2.1779493647023024E-3</v>
      </c>
      <c r="G129" s="66">
        <f>ENGIE!D124</f>
        <v>-2.0162909379871592E-2</v>
      </c>
      <c r="H129" s="66">
        <f>'HERMES INTL'!D124</f>
        <v>2.3352722525107266E-2</v>
      </c>
      <c r="I129" s="66">
        <f>'PERNOD RICARD'!D124</f>
        <v>-5.1219366654693128E-2</v>
      </c>
      <c r="J129" s="66">
        <f>RENAULT!D124</f>
        <v>-6.9001696182016417E-2</v>
      </c>
      <c r="K129" s="66">
        <f>SANOFI!D124</f>
        <v>5.4199259560867357E-3</v>
      </c>
      <c r="L129" s="66">
        <f>'SCHNEIDER ELECTRIC'!D124</f>
        <v>2.2168680077400055E-2</v>
      </c>
      <c r="M129" s="66">
        <f>TOTALENERGIES!D124</f>
        <v>-0.1178247755857196</v>
      </c>
      <c r="N129" s="66">
        <f>VINCI!D124</f>
        <v>-8.9844843605732652E-2</v>
      </c>
      <c r="O129" s="66">
        <f>MARKET!D124</f>
        <v>-2.90628408E-2</v>
      </c>
      <c r="P129" s="92">
        <f>INTERBANK!D123</f>
        <v>-4.0916666666666667E-4</v>
      </c>
      <c r="R129" s="91">
        <v>44104</v>
      </c>
      <c r="S129" s="66">
        <f t="shared" si="54"/>
        <v>-9.7934761133838047E-2</v>
      </c>
      <c r="T129" s="66">
        <f t="shared" si="55"/>
        <v>-0.15246928995449333</v>
      </c>
      <c r="U129" s="66">
        <f t="shared" si="56"/>
        <v>-5.3470050047005294E-2</v>
      </c>
      <c r="V129" s="66">
        <f t="shared" si="57"/>
        <v>2.587116031368969E-3</v>
      </c>
      <c r="W129" s="66">
        <f t="shared" si="58"/>
        <v>-1.9753742713204927E-2</v>
      </c>
      <c r="X129" s="66">
        <f t="shared" si="59"/>
        <v>2.3761889191773931E-2</v>
      </c>
      <c r="Y129" s="66">
        <f t="shared" si="60"/>
        <v>-5.081019998802646E-2</v>
      </c>
      <c r="Z129" s="66">
        <f t="shared" si="61"/>
        <v>-6.8592529515349748E-2</v>
      </c>
      <c r="AA129" s="66">
        <f t="shared" si="62"/>
        <v>5.8290926227534028E-3</v>
      </c>
      <c r="AB129" s="66">
        <f t="shared" si="63"/>
        <v>2.257784674406672E-2</v>
      </c>
      <c r="AC129" s="66">
        <f t="shared" si="64"/>
        <v>-0.11741560891905294</v>
      </c>
      <c r="AD129" s="66">
        <f t="shared" si="65"/>
        <v>-8.9435676939065983E-2</v>
      </c>
      <c r="AE129" s="66">
        <f t="shared" si="66"/>
        <v>-2.8653674133333334E-2</v>
      </c>
    </row>
    <row r="130" spans="2:31" ht="16" customHeight="1" x14ac:dyDescent="0.2">
      <c r="B130" s="91">
        <v>44135</v>
      </c>
      <c r="C130" s="66">
        <f>AIRBUS!D125</f>
        <v>8.3777107588981735E-3</v>
      </c>
      <c r="D130" s="66">
        <f>BNP!D125</f>
        <v>-3.6158231758204047E-2</v>
      </c>
      <c r="E130" s="66">
        <f>CAPGEMINI!D125</f>
        <v>-9.6674196562721026E-2</v>
      </c>
      <c r="F130" s="66">
        <f>DANONE!D125</f>
        <v>-0.14161542160117133</v>
      </c>
      <c r="G130" s="66">
        <f>ENGIE!D125</f>
        <v>-9.0630424981447494E-2</v>
      </c>
      <c r="H130" s="66">
        <f>'HERMES INTL'!D125</f>
        <v>8.530299050297506E-2</v>
      </c>
      <c r="I130" s="66">
        <f>'PERNOD RICARD'!D125</f>
        <v>1.6525885781581644E-2</v>
      </c>
      <c r="J130" s="66">
        <f>RENAULT!D125</f>
        <v>-4.2351933572071801E-2</v>
      </c>
      <c r="K130" s="66">
        <f>SANOFI!D125</f>
        <v>-9.3284929756160845E-2</v>
      </c>
      <c r="L130" s="66">
        <f>'SCHNEIDER ELECTRIC'!D125</f>
        <v>-1.7444684863623793E-2</v>
      </c>
      <c r="M130" s="66">
        <f>TOTALENERGIES!D125</f>
        <v>-9.5178737817550499E-2</v>
      </c>
      <c r="N130" s="66">
        <f>VINCI!D125</f>
        <v>-5.173383330909663E-2</v>
      </c>
      <c r="O130" s="66">
        <f>MARKET!D125</f>
        <v>-4.3552060500000003E-2</v>
      </c>
      <c r="P130" s="92">
        <f>INTERBANK!D124</f>
        <v>-4.2416666666666666E-4</v>
      </c>
      <c r="R130" s="91">
        <v>44135</v>
      </c>
      <c r="S130" s="66">
        <f t="shared" si="54"/>
        <v>8.8018774255648399E-3</v>
      </c>
      <c r="T130" s="66">
        <f t="shared" si="55"/>
        <v>-3.5734065091537377E-2</v>
      </c>
      <c r="U130" s="66">
        <f t="shared" si="56"/>
        <v>-9.6250029896054357E-2</v>
      </c>
      <c r="V130" s="66">
        <f t="shared" si="57"/>
        <v>-0.14119125493450466</v>
      </c>
      <c r="W130" s="66">
        <f t="shared" si="58"/>
        <v>-9.0206258314780824E-2</v>
      </c>
      <c r="X130" s="66">
        <f t="shared" si="59"/>
        <v>8.5727157169641729E-2</v>
      </c>
      <c r="Y130" s="66">
        <f t="shared" si="60"/>
        <v>1.695005244824831E-2</v>
      </c>
      <c r="Z130" s="66">
        <f t="shared" si="61"/>
        <v>-4.1927766905405131E-2</v>
      </c>
      <c r="AA130" s="66">
        <f t="shared" si="62"/>
        <v>-9.2860763089494175E-2</v>
      </c>
      <c r="AB130" s="66">
        <f t="shared" si="63"/>
        <v>-1.7020518196957126E-2</v>
      </c>
      <c r="AC130" s="66">
        <f t="shared" si="64"/>
        <v>-9.4754571150883829E-2</v>
      </c>
      <c r="AD130" s="66">
        <f t="shared" si="65"/>
        <v>-5.130966664242996E-2</v>
      </c>
      <c r="AE130" s="66">
        <f t="shared" si="66"/>
        <v>-4.3127893833333333E-2</v>
      </c>
    </row>
    <row r="131" spans="2:31" ht="16" customHeight="1" x14ac:dyDescent="0.2">
      <c r="B131" s="91">
        <v>44165</v>
      </c>
      <c r="C131" s="66">
        <f>AIRBUS!D126</f>
        <v>0.40166164765774698</v>
      </c>
      <c r="D131" s="66">
        <f>BNP!D126</f>
        <v>0.43912256900193219</v>
      </c>
      <c r="E131" s="66">
        <f>CAPGEMINI!D126</f>
        <v>0.17308850862981559</v>
      </c>
      <c r="F131" s="66">
        <f>DANONE!D126</f>
        <v>0.13628695119959625</v>
      </c>
      <c r="G131" s="66">
        <f>ENGIE!D126</f>
        <v>0.1911411069457809</v>
      </c>
      <c r="H131" s="66">
        <f>'HERMES INTL'!D126</f>
        <v>2.3028681282688698E-2</v>
      </c>
      <c r="I131" s="66">
        <f>'PERNOD RICARD'!D126</f>
        <v>0.1560692183239405</v>
      </c>
      <c r="J131" s="66">
        <f>RENAULT!D126</f>
        <v>0.56927796511952233</v>
      </c>
      <c r="K131" s="66">
        <f>SANOFI!D126</f>
        <v>9.486877236493417E-2</v>
      </c>
      <c r="L131" s="66">
        <f>'SCHNEIDER ELECTRIC'!D126</f>
        <v>0.11948188484454211</v>
      </c>
      <c r="M131" s="66">
        <f>TOTALENERGIES!D126</f>
        <v>0.3874903259932661</v>
      </c>
      <c r="N131" s="66">
        <f>VINCI!D126</f>
        <v>0.26069027221591173</v>
      </c>
      <c r="O131" s="66">
        <f>MARKET!D126</f>
        <v>0.2011887762</v>
      </c>
      <c r="P131" s="92">
        <f>INTERBANK!D125</f>
        <v>-4.3416666666666669E-4</v>
      </c>
      <c r="R131" s="91">
        <v>44165</v>
      </c>
      <c r="S131" s="66">
        <f t="shared" si="54"/>
        <v>0.40209581432441366</v>
      </c>
      <c r="T131" s="66">
        <f t="shared" si="55"/>
        <v>0.43955673566859887</v>
      </c>
      <c r="U131" s="66">
        <f t="shared" si="56"/>
        <v>0.17352267529648227</v>
      </c>
      <c r="V131" s="66">
        <f t="shared" si="57"/>
        <v>0.13672111786626293</v>
      </c>
      <c r="W131" s="66">
        <f t="shared" si="58"/>
        <v>0.19157527361244758</v>
      </c>
      <c r="X131" s="66">
        <f t="shared" si="59"/>
        <v>2.3462847949355364E-2</v>
      </c>
      <c r="Y131" s="66">
        <f t="shared" si="60"/>
        <v>0.15650338499060718</v>
      </c>
      <c r="Z131" s="66">
        <f t="shared" si="61"/>
        <v>0.56971213178618896</v>
      </c>
      <c r="AA131" s="66">
        <f t="shared" si="62"/>
        <v>9.5302939031600836E-2</v>
      </c>
      <c r="AB131" s="66">
        <f t="shared" si="63"/>
        <v>0.11991605151120878</v>
      </c>
      <c r="AC131" s="66">
        <f t="shared" si="64"/>
        <v>0.38792449265993278</v>
      </c>
      <c r="AD131" s="66">
        <f t="shared" si="65"/>
        <v>0.26112443888257841</v>
      </c>
      <c r="AE131" s="66">
        <f t="shared" si="66"/>
        <v>0.20162294286666668</v>
      </c>
    </row>
    <row r="132" spans="2:31" ht="16" customHeight="1" x14ac:dyDescent="0.2">
      <c r="B132" s="91">
        <v>44196</v>
      </c>
      <c r="C132" s="66">
        <f>AIRBUS!D127</f>
        <v>2.3366994987468269E-2</v>
      </c>
      <c r="D132" s="66">
        <f>BNP!D127</f>
        <v>3.2582262189068587E-3</v>
      </c>
      <c r="E132" s="66">
        <f>CAPGEMINI!D127</f>
        <v>9.0283775363438762E-2</v>
      </c>
      <c r="F132" s="66">
        <f>DANONE!D127</f>
        <v>-1.8566173671493858E-3</v>
      </c>
      <c r="G132" s="66">
        <f>ENGIE!D127</f>
        <v>1.2126076246981907E-2</v>
      </c>
      <c r="H132" s="66">
        <f>'HERMES INTL'!D127</f>
        <v>7.609490091432744E-2</v>
      </c>
      <c r="I132" s="66">
        <f>'PERNOD RICARD'!D127</f>
        <v>-1.9999809177823364E-2</v>
      </c>
      <c r="J132" s="66">
        <f>RENAULT!D127</f>
        <v>7.2103017494254101E-2</v>
      </c>
      <c r="K132" s="66">
        <f>SANOFI!D127</f>
        <v>-7.0947721581989032E-2</v>
      </c>
      <c r="L132" s="66">
        <f>'SCHNEIDER ELECTRIC'!D127</f>
        <v>1.4144808961710073E-2</v>
      </c>
      <c r="M132" s="66">
        <f>TOTALENERGIES!D127</f>
        <v>-1.4654427141877757E-2</v>
      </c>
      <c r="N132" s="66">
        <f>VINCI!D127</f>
        <v>-4.8421241987355965E-2</v>
      </c>
      <c r="O132" s="66">
        <f>MARKET!D127</f>
        <v>5.9545266000000001E-3</v>
      </c>
      <c r="P132" s="92">
        <f>INTERBANK!D126</f>
        <v>-4.4833333333333335E-4</v>
      </c>
      <c r="R132" s="91">
        <v>44196</v>
      </c>
      <c r="S132" s="66">
        <f t="shared" si="54"/>
        <v>2.3815328320801601E-2</v>
      </c>
      <c r="T132" s="66">
        <f t="shared" si="55"/>
        <v>3.7065595522401918E-3</v>
      </c>
      <c r="U132" s="66">
        <f t="shared" si="56"/>
        <v>9.073210869677209E-2</v>
      </c>
      <c r="V132" s="66">
        <f t="shared" si="57"/>
        <v>-1.4082840338160525E-3</v>
      </c>
      <c r="W132" s="66">
        <f t="shared" si="58"/>
        <v>1.257440958031524E-2</v>
      </c>
      <c r="X132" s="66">
        <f t="shared" si="59"/>
        <v>7.6543234247660769E-2</v>
      </c>
      <c r="Y132" s="66">
        <f t="shared" si="60"/>
        <v>-1.9551475844490032E-2</v>
      </c>
      <c r="Z132" s="66">
        <f t="shared" si="61"/>
        <v>7.255135082758743E-2</v>
      </c>
      <c r="AA132" s="66">
        <f t="shared" si="62"/>
        <v>-7.0499388248655703E-2</v>
      </c>
      <c r="AB132" s="66">
        <f t="shared" si="63"/>
        <v>1.4593142295043406E-2</v>
      </c>
      <c r="AC132" s="66">
        <f t="shared" si="64"/>
        <v>-1.4206093808544424E-2</v>
      </c>
      <c r="AD132" s="66">
        <f t="shared" si="65"/>
        <v>-4.7972908654022629E-2</v>
      </c>
      <c r="AE132" s="66">
        <f t="shared" si="66"/>
        <v>6.4028599333333337E-3</v>
      </c>
    </row>
    <row r="133" spans="2:31" ht="16" customHeight="1" x14ac:dyDescent="0.2">
      <c r="B133" s="91">
        <v>44227</v>
      </c>
      <c r="C133" s="66">
        <f>AIRBUS!D128</f>
        <v>-7.3290190374511871E-2</v>
      </c>
      <c r="D133" s="66">
        <f>BNP!D128</f>
        <v>-7.7137084895726418E-2</v>
      </c>
      <c r="E133" s="66">
        <f>CAPGEMINI!D128</f>
        <v>-5.7571018365494803E-2</v>
      </c>
      <c r="F133" s="66">
        <f>DANONE!D128</f>
        <v>2.2321436429643696E-2</v>
      </c>
      <c r="G133" s="66">
        <f>ENGIE!D128</f>
        <v>2.3961592397553036E-2</v>
      </c>
      <c r="H133" s="66">
        <f>'HERMES INTL'!D128</f>
        <v>-4.2064521009235516E-2</v>
      </c>
      <c r="I133" s="66">
        <f>'PERNOD RICARD'!D128</f>
        <v>2.4404464154824277E-3</v>
      </c>
      <c r="J133" s="66">
        <f>RENAULT!D128</f>
        <v>-1.4541146902907743E-2</v>
      </c>
      <c r="K133" s="66">
        <f>SANOFI!D128</f>
        <v>-1.9695186468997268E-2</v>
      </c>
      <c r="L133" s="66">
        <f>'SCHNEIDER ELECTRIC'!D128</f>
        <v>2.2400611675024881E-2</v>
      </c>
      <c r="M133" s="66">
        <f>TOTALENERGIES!D128</f>
        <v>-1.1473038480339846E-2</v>
      </c>
      <c r="N133" s="66">
        <f>VINCI!D128</f>
        <v>-5.8750984029133618E-2</v>
      </c>
      <c r="O133" s="66">
        <f>MARKET!D128</f>
        <v>-2.7416492600000002E-2</v>
      </c>
      <c r="P133" s="92">
        <f>INTERBANK!D127</f>
        <v>-4.5583333333333337E-4</v>
      </c>
      <c r="R133" s="91">
        <v>44227</v>
      </c>
      <c r="S133" s="66">
        <f t="shared" si="54"/>
        <v>-7.2834357041178535E-2</v>
      </c>
      <c r="T133" s="66">
        <f t="shared" si="55"/>
        <v>-7.6681251562393082E-2</v>
      </c>
      <c r="U133" s="66">
        <f t="shared" si="56"/>
        <v>-5.7115185032161467E-2</v>
      </c>
      <c r="V133" s="66">
        <f t="shared" si="57"/>
        <v>2.2777269762977028E-2</v>
      </c>
      <c r="W133" s="66">
        <f t="shared" si="58"/>
        <v>2.4417425730886368E-2</v>
      </c>
      <c r="X133" s="66">
        <f t="shared" si="59"/>
        <v>-4.160868767590218E-2</v>
      </c>
      <c r="Y133" s="66">
        <f t="shared" si="60"/>
        <v>2.896279748815761E-3</v>
      </c>
      <c r="Z133" s="66">
        <f t="shared" si="61"/>
        <v>-1.4085313569574409E-2</v>
      </c>
      <c r="AA133" s="66">
        <f t="shared" si="62"/>
        <v>-1.9239353135663936E-2</v>
      </c>
      <c r="AB133" s="66">
        <f t="shared" si="63"/>
        <v>2.2856445008358213E-2</v>
      </c>
      <c r="AC133" s="66">
        <f t="shared" si="64"/>
        <v>-1.1017205147006512E-2</v>
      </c>
      <c r="AD133" s="66">
        <f t="shared" si="65"/>
        <v>-5.8295150695800282E-2</v>
      </c>
      <c r="AE133" s="66">
        <f t="shared" si="66"/>
        <v>-2.6960659266666669E-2</v>
      </c>
    </row>
    <row r="134" spans="2:31" ht="16" customHeight="1" x14ac:dyDescent="0.2">
      <c r="B134" s="91">
        <v>44255</v>
      </c>
      <c r="C134" s="66">
        <f>AIRBUS!D129</f>
        <v>0.15276438731295683</v>
      </c>
      <c r="D134" s="66">
        <f>BNP!D129</f>
        <v>0.23868775733074812</v>
      </c>
      <c r="E134" s="66">
        <f>CAPGEMINI!D129</f>
        <v>0.11422590741305387</v>
      </c>
      <c r="F134" s="66">
        <f>DANONE!D129</f>
        <v>2.7292442333818508E-2</v>
      </c>
      <c r="G134" s="66">
        <f>ENGIE!D129</f>
        <v>-5.7332372419591493E-2</v>
      </c>
      <c r="H134" s="66">
        <f>'HERMES INTL'!D129</f>
        <v>9.565624467383374E-2</v>
      </c>
      <c r="I134" s="66">
        <f>'PERNOD RICARD'!D129</f>
        <v>1.059726421815485E-2</v>
      </c>
      <c r="J134" s="66">
        <f>RENAULT!D129</f>
        <v>5.3490183457934173E-2</v>
      </c>
      <c r="K134" s="66">
        <f>SANOFI!D129</f>
        <v>-1.7498308281968002E-2</v>
      </c>
      <c r="L134" s="66">
        <f>'SCHNEIDER ELECTRIC'!D129</f>
        <v>1.5709045470994599E-2</v>
      </c>
      <c r="M134" s="66">
        <f>TOTALENERGIES!D129</f>
        <v>0.12068085679823737</v>
      </c>
      <c r="N134" s="66">
        <f>VINCI!D129</f>
        <v>0.12353087025464711</v>
      </c>
      <c r="O134" s="66">
        <f>MARKET!D129</f>
        <v>5.6306433000000003E-2</v>
      </c>
      <c r="P134" s="92">
        <f>INTERBANK!D128</f>
        <v>-4.5083333333333336E-4</v>
      </c>
      <c r="R134" s="91">
        <v>44255</v>
      </c>
      <c r="S134" s="66">
        <f t="shared" si="54"/>
        <v>0.15321522064629017</v>
      </c>
      <c r="T134" s="66">
        <f t="shared" si="55"/>
        <v>0.23913859066408147</v>
      </c>
      <c r="U134" s="66">
        <f t="shared" si="56"/>
        <v>0.1146767407463872</v>
      </c>
      <c r="V134" s="66">
        <f t="shared" si="57"/>
        <v>2.7743275667151842E-2</v>
      </c>
      <c r="W134" s="66">
        <f t="shared" si="58"/>
        <v>-5.6881539086258162E-2</v>
      </c>
      <c r="X134" s="66">
        <f t="shared" si="59"/>
        <v>9.6107078007167071E-2</v>
      </c>
      <c r="Y134" s="66">
        <f t="shared" si="60"/>
        <v>1.1048097551488183E-2</v>
      </c>
      <c r="Z134" s="66">
        <f t="shared" si="61"/>
        <v>5.3941016791267504E-2</v>
      </c>
      <c r="AA134" s="66">
        <f t="shared" si="62"/>
        <v>-1.7047474948634667E-2</v>
      </c>
      <c r="AB134" s="66">
        <f t="shared" si="63"/>
        <v>1.6159878804327933E-2</v>
      </c>
      <c r="AC134" s="66">
        <f t="shared" si="64"/>
        <v>0.1211316901315707</v>
      </c>
      <c r="AD134" s="66">
        <f t="shared" si="65"/>
        <v>0.12398170358798044</v>
      </c>
      <c r="AE134" s="66">
        <f t="shared" si="66"/>
        <v>5.6757266333333334E-2</v>
      </c>
    </row>
    <row r="135" spans="2:31" ht="16" customHeight="1" x14ac:dyDescent="0.2">
      <c r="B135" s="91">
        <v>44286</v>
      </c>
      <c r="C135" s="66">
        <f>AIRBUS!D130</f>
        <v>6.5687117746360841E-3</v>
      </c>
      <c r="D135" s="66">
        <f>BNP!D130</f>
        <v>5.2866665257517674E-2</v>
      </c>
      <c r="E135" s="66">
        <f>CAPGEMINI!D130</f>
        <v>8.9748556692245796E-2</v>
      </c>
      <c r="F135" s="66">
        <f>DANONE!D130</f>
        <v>3.6131847734943913E-2</v>
      </c>
      <c r="G135" s="66">
        <f>ENGIE!D130</f>
        <v>1.6549473566415075E-3</v>
      </c>
      <c r="H135" s="66">
        <f>'HERMES INTL'!D130</f>
        <v>2.2530361350217964E-2</v>
      </c>
      <c r="I135" s="66">
        <f>'PERNOD RICARD'!D130</f>
        <v>1.7159208188136672E-2</v>
      </c>
      <c r="J135" s="66">
        <f>RENAULT!D130</f>
        <v>-5.2524239765759234E-3</v>
      </c>
      <c r="K135" s="66">
        <f>SANOFI!D130</f>
        <v>0.11147753368525994</v>
      </c>
      <c r="L135" s="66">
        <f>'SCHNEIDER ELECTRIC'!D130</f>
        <v>6.0236144992723083E-2</v>
      </c>
      <c r="M135" s="66">
        <f>TOTALENERGIES!D130</f>
        <v>3.6482241321248297E-2</v>
      </c>
      <c r="N135" s="66">
        <f>VINCI!D130</f>
        <v>1.5341670666577489E-2</v>
      </c>
      <c r="O135" s="66">
        <f>MARKET!D130</f>
        <v>6.3825304299999996E-2</v>
      </c>
      <c r="P135" s="92">
        <f>INTERBANK!D129</f>
        <v>-4.4916666666666667E-4</v>
      </c>
      <c r="R135" s="91">
        <v>44286</v>
      </c>
      <c r="S135" s="66">
        <f t="shared" si="54"/>
        <v>7.0178784413027504E-3</v>
      </c>
      <c r="T135" s="66">
        <f t="shared" si="55"/>
        <v>5.3315831924184341E-2</v>
      </c>
      <c r="U135" s="66">
        <f t="shared" si="56"/>
        <v>9.0197723358912463E-2</v>
      </c>
      <c r="V135" s="66">
        <f t="shared" si="57"/>
        <v>3.658101440161058E-2</v>
      </c>
      <c r="W135" s="66">
        <f t="shared" si="58"/>
        <v>2.1041140233081742E-3</v>
      </c>
      <c r="X135" s="66">
        <f t="shared" si="59"/>
        <v>2.2979528016884632E-2</v>
      </c>
      <c r="Y135" s="66">
        <f t="shared" si="60"/>
        <v>1.7608374854803339E-2</v>
      </c>
      <c r="Z135" s="66">
        <f t="shared" si="61"/>
        <v>-4.8032573099092571E-3</v>
      </c>
      <c r="AA135" s="66">
        <f t="shared" si="62"/>
        <v>0.1119267003519266</v>
      </c>
      <c r="AB135" s="66">
        <f t="shared" si="63"/>
        <v>6.068531165938975E-2</v>
      </c>
      <c r="AC135" s="66">
        <f t="shared" si="64"/>
        <v>3.6931407987914965E-2</v>
      </c>
      <c r="AD135" s="66">
        <f t="shared" si="65"/>
        <v>1.5790837333244157E-2</v>
      </c>
      <c r="AE135" s="66">
        <f t="shared" si="66"/>
        <v>6.4274470966666664E-2</v>
      </c>
    </row>
    <row r="136" spans="2:31" ht="16" customHeight="1" x14ac:dyDescent="0.2">
      <c r="B136" s="91">
        <v>44316</v>
      </c>
      <c r="C136" s="66">
        <f>AIRBUS!D131</f>
        <v>3.5218572854671462E-2</v>
      </c>
      <c r="D136" s="66">
        <f>BNP!D131</f>
        <v>2.910568828303816E-2</v>
      </c>
      <c r="E136" s="66">
        <f>CAPGEMINI!D131</f>
        <v>5.0309933684951985E-2</v>
      </c>
      <c r="F136" s="66">
        <f>DANONE!D131</f>
        <v>2.2222956568334691E-3</v>
      </c>
      <c r="G136" s="66">
        <f>ENGIE!D131</f>
        <v>2.189196721709618E-2</v>
      </c>
      <c r="H136" s="66">
        <f>'HERMES INTL'!D131</f>
        <v>0.10772117644044073</v>
      </c>
      <c r="I136" s="66">
        <f>'PERNOD RICARD'!D131</f>
        <v>6.6541625208807506E-2</v>
      </c>
      <c r="J136" s="66">
        <f>RENAULT!D131</f>
        <v>-9.2201524408636049E-2</v>
      </c>
      <c r="K136" s="66">
        <f>SANOFI!D131</f>
        <v>3.5845753859127194E-2</v>
      </c>
      <c r="L136" s="66">
        <f>'SCHNEIDER ELECTRIC'!D131</f>
        <v>2.1266760083875291E-2</v>
      </c>
      <c r="M136" s="66">
        <f>TOTALENERGIES!D131</f>
        <v>-5.8660370260020675E-2</v>
      </c>
      <c r="N136" s="66">
        <f>VINCI!D131</f>
        <v>4.6245396293895256E-2</v>
      </c>
      <c r="O136" s="66">
        <f>MARKET!D131</f>
        <v>3.33348168E-2</v>
      </c>
      <c r="P136" s="92">
        <f>INTERBANK!D130</f>
        <v>-4.4833333333333335E-4</v>
      </c>
      <c r="R136" s="91">
        <v>44316</v>
      </c>
      <c r="S136" s="66">
        <f t="shared" si="54"/>
        <v>3.5666906188004797E-2</v>
      </c>
      <c r="T136" s="66">
        <f t="shared" si="55"/>
        <v>2.9554021616371492E-2</v>
      </c>
      <c r="U136" s="66">
        <f t="shared" si="56"/>
        <v>5.075826701828532E-2</v>
      </c>
      <c r="V136" s="66">
        <f t="shared" si="57"/>
        <v>2.6706289901668023E-3</v>
      </c>
      <c r="W136" s="66">
        <f t="shared" si="58"/>
        <v>2.2340300550429511E-2</v>
      </c>
      <c r="X136" s="66">
        <f t="shared" si="59"/>
        <v>0.10816950977377406</v>
      </c>
      <c r="Y136" s="66">
        <f t="shared" si="60"/>
        <v>6.6989958542140834E-2</v>
      </c>
      <c r="Z136" s="66">
        <f t="shared" si="61"/>
        <v>-9.175319107530272E-2</v>
      </c>
      <c r="AA136" s="66">
        <f t="shared" si="62"/>
        <v>3.6294087192460529E-2</v>
      </c>
      <c r="AB136" s="66">
        <f t="shared" si="63"/>
        <v>2.1715093417208623E-2</v>
      </c>
      <c r="AC136" s="66">
        <f t="shared" si="64"/>
        <v>-5.821203692668734E-2</v>
      </c>
      <c r="AD136" s="66">
        <f t="shared" si="65"/>
        <v>4.6693729627228592E-2</v>
      </c>
      <c r="AE136" s="66">
        <f t="shared" si="66"/>
        <v>3.3783150133333335E-2</v>
      </c>
    </row>
    <row r="137" spans="2:31" ht="16" customHeight="1" x14ac:dyDescent="0.2">
      <c r="B137" s="91">
        <v>44347</v>
      </c>
      <c r="C137" s="66">
        <f>AIRBUS!D132</f>
        <v>6.7240344533522345E-2</v>
      </c>
      <c r="D137" s="66">
        <f>BNP!D132</f>
        <v>4.6075919478631162E-2</v>
      </c>
      <c r="E137" s="66">
        <f>CAPGEMINI!D132</f>
        <v>1.6405349200311989E-3</v>
      </c>
      <c r="F137" s="66">
        <f>DANONE!D132</f>
        <v>-5.6286561112778811E-3</v>
      </c>
      <c r="G137" s="66">
        <f>ENGIE!D132</f>
        <v>-1.778510798513486E-2</v>
      </c>
      <c r="H137" s="66">
        <f>'HERMES INTL'!D132</f>
        <v>0.10392717779658056</v>
      </c>
      <c r="I137" s="66">
        <f>'PERNOD RICARD'!D132</f>
        <v>5.5360161028491894E-2</v>
      </c>
      <c r="J137" s="66">
        <f>RENAULT!D132</f>
        <v>9.246770638338668E-3</v>
      </c>
      <c r="K137" s="66">
        <f>SANOFI!D132</f>
        <v>-3.4376048984030181E-3</v>
      </c>
      <c r="L137" s="66">
        <f>'SCHNEIDER ELECTRIC'!D132</f>
        <v>-2.721404727842678E-2</v>
      </c>
      <c r="M137" s="66">
        <f>TOTALENERGIES!D132</f>
        <v>2.9327778226589579E-2</v>
      </c>
      <c r="N137" s="66">
        <f>VINCI!D132</f>
        <v>3.966344805480989E-2</v>
      </c>
      <c r="O137" s="66">
        <f>MARKET!D132</f>
        <v>2.8342054200000001E-2</v>
      </c>
      <c r="P137" s="92">
        <f>INTERBANK!D131</f>
        <v>-4.5000000000000004E-4</v>
      </c>
      <c r="R137" s="91">
        <v>44347</v>
      </c>
      <c r="S137" s="66">
        <f t="shared" si="54"/>
        <v>6.7690344533522351E-2</v>
      </c>
      <c r="T137" s="66">
        <f t="shared" si="55"/>
        <v>4.6525919478631161E-2</v>
      </c>
      <c r="U137" s="66">
        <f t="shared" si="56"/>
        <v>2.090534920031199E-3</v>
      </c>
      <c r="V137" s="66">
        <f t="shared" si="57"/>
        <v>-5.1786561112778812E-3</v>
      </c>
      <c r="W137" s="66">
        <f t="shared" si="58"/>
        <v>-1.7335107985134861E-2</v>
      </c>
      <c r="X137" s="66">
        <f t="shared" si="59"/>
        <v>0.10437717779658057</v>
      </c>
      <c r="Y137" s="66">
        <f t="shared" si="60"/>
        <v>5.5810161028491893E-2</v>
      </c>
      <c r="Z137" s="66">
        <f t="shared" si="61"/>
        <v>9.6967706383386688E-3</v>
      </c>
      <c r="AA137" s="66">
        <f t="shared" si="62"/>
        <v>-2.9876048984030183E-3</v>
      </c>
      <c r="AB137" s="66">
        <f t="shared" si="63"/>
        <v>-2.6764047278426781E-2</v>
      </c>
      <c r="AC137" s="66">
        <f t="shared" si="64"/>
        <v>2.9777778226589578E-2</v>
      </c>
      <c r="AD137" s="66">
        <f t="shared" si="65"/>
        <v>4.0113448054809889E-2</v>
      </c>
      <c r="AE137" s="66">
        <f t="shared" si="66"/>
        <v>2.87920542E-2</v>
      </c>
    </row>
    <row r="138" spans="2:31" ht="16" customHeight="1" x14ac:dyDescent="0.2">
      <c r="B138" s="91">
        <v>44377</v>
      </c>
      <c r="C138" s="66">
        <f>AIRBUS!D133</f>
        <v>1.668852761713906E-2</v>
      </c>
      <c r="D138" s="66">
        <f>BNP!D133</f>
        <v>-3.4297346414708718E-2</v>
      </c>
      <c r="E138" s="66">
        <f>CAPGEMINI!D133</f>
        <v>6.1251068736111317E-2</v>
      </c>
      <c r="F138" s="66">
        <f>DANONE!D133</f>
        <v>5.2879931320027537E-2</v>
      </c>
      <c r="G138" s="66">
        <f>ENGIE!D133</f>
        <v>-9.0975853452390319E-3</v>
      </c>
      <c r="H138" s="66">
        <f>'HERMES INTL'!D133</f>
        <v>6.8986458385240548E-2</v>
      </c>
      <c r="I138" s="66">
        <f>'PERNOD RICARD'!D133</f>
        <v>3.9134237877624677E-2</v>
      </c>
      <c r="J138" s="66">
        <f>RENAULT!D133</f>
        <v>7.3887689770862873E-3</v>
      </c>
      <c r="K138" s="66">
        <f>SANOFI!D133</f>
        <v>5.5069007428279845E-2</v>
      </c>
      <c r="L138" s="66">
        <f>'SCHNEIDER ELECTRIC'!D133</f>
        <v>4.548905072382551E-2</v>
      </c>
      <c r="M138" s="66">
        <f>TOTALENERGIES!D133</f>
        <v>6.5953625692876817E-3</v>
      </c>
      <c r="N138" s="66">
        <f>VINCI!D133</f>
        <v>-3.1532477602184673E-2</v>
      </c>
      <c r="O138" s="66">
        <f>MARKET!D133</f>
        <v>9.4088036999999992E-3</v>
      </c>
      <c r="P138" s="92">
        <f>INTERBANK!D132</f>
        <v>-4.5250000000000005E-4</v>
      </c>
      <c r="R138" s="91">
        <v>44377</v>
      </c>
      <c r="S138" s="66">
        <f t="shared" si="54"/>
        <v>1.7141027617139062E-2</v>
      </c>
      <c r="T138" s="66">
        <f t="shared" si="55"/>
        <v>-3.3844846414708717E-2</v>
      </c>
      <c r="U138" s="66">
        <f t="shared" si="56"/>
        <v>6.1703568736111318E-2</v>
      </c>
      <c r="V138" s="66">
        <f t="shared" si="57"/>
        <v>5.3332431320027539E-2</v>
      </c>
      <c r="W138" s="66">
        <f t="shared" si="58"/>
        <v>-8.6450853452390321E-3</v>
      </c>
      <c r="X138" s="66">
        <f t="shared" si="59"/>
        <v>6.9438958385240543E-2</v>
      </c>
      <c r="Y138" s="66">
        <f t="shared" si="60"/>
        <v>3.9586737877624678E-2</v>
      </c>
      <c r="Z138" s="66">
        <f t="shared" si="61"/>
        <v>7.8412689770862871E-3</v>
      </c>
      <c r="AA138" s="66">
        <f t="shared" si="62"/>
        <v>5.5521507428279847E-2</v>
      </c>
      <c r="AB138" s="66">
        <f t="shared" si="63"/>
        <v>4.5941550723825511E-2</v>
      </c>
      <c r="AC138" s="66">
        <f t="shared" si="64"/>
        <v>7.0478625692876815E-3</v>
      </c>
      <c r="AD138" s="66">
        <f t="shared" si="65"/>
        <v>-3.1079977602184672E-2</v>
      </c>
      <c r="AE138" s="66">
        <f t="shared" si="66"/>
        <v>9.861303699999999E-3</v>
      </c>
    </row>
    <row r="139" spans="2:31" ht="16" customHeight="1" x14ac:dyDescent="0.2">
      <c r="B139" s="91">
        <v>44408</v>
      </c>
      <c r="C139" s="66">
        <f>AIRBUS!D134</f>
        <v>6.6949399233455456E-2</v>
      </c>
      <c r="D139" s="66">
        <f>BNP!D134</f>
        <v>-2.6858226740878358E-2</v>
      </c>
      <c r="E139" s="66">
        <f>CAPGEMINI!D134</f>
        <v>0.13956197158270248</v>
      </c>
      <c r="F139" s="66">
        <f>DANONE!D134</f>
        <v>4.5309107123704687E-2</v>
      </c>
      <c r="G139" s="66">
        <f>ENGIE!D134</f>
        <v>-2.6138220717119898E-2</v>
      </c>
      <c r="H139" s="66">
        <f>'HERMES INTL'!D134</f>
        <v>4.9247051550433414E-2</v>
      </c>
      <c r="I139" s="66">
        <f>'PERNOD RICARD'!D134</f>
        <v>-5.876047395743325E-3</v>
      </c>
      <c r="J139" s="66">
        <f>RENAULT!D134</f>
        <v>-6.0437064250596556E-2</v>
      </c>
      <c r="K139" s="66">
        <f>SANOFI!D134</f>
        <v>-1.6749630621191849E-2</v>
      </c>
      <c r="L139" s="66">
        <f>'SCHNEIDER ELECTRIC'!D134</f>
        <v>6.496849860705825E-2</v>
      </c>
      <c r="M139" s="66">
        <f>TOTALENERGIES!D134</f>
        <v>-2.2013057894687639E-2</v>
      </c>
      <c r="N139" s="66">
        <f>VINCI!D134</f>
        <v>-8.6674777587999758E-3</v>
      </c>
      <c r="O139" s="66">
        <f>MARKET!D134</f>
        <v>1.6123605900000001E-2</v>
      </c>
      <c r="P139" s="92">
        <f>INTERBANK!D133</f>
        <v>-4.5416666666666668E-4</v>
      </c>
      <c r="R139" s="91">
        <v>44408</v>
      </c>
      <c r="S139" s="66">
        <f t="shared" si="54"/>
        <v>6.7403565900122128E-2</v>
      </c>
      <c r="T139" s="66">
        <f t="shared" si="55"/>
        <v>-2.6404060074211692E-2</v>
      </c>
      <c r="U139" s="66">
        <f t="shared" si="56"/>
        <v>0.14001613824936915</v>
      </c>
      <c r="V139" s="66">
        <f t="shared" si="57"/>
        <v>4.5763273790371352E-2</v>
      </c>
      <c r="W139" s="66">
        <f t="shared" si="58"/>
        <v>-2.5684054050453233E-2</v>
      </c>
      <c r="X139" s="66">
        <f t="shared" si="59"/>
        <v>4.9701218217100079E-2</v>
      </c>
      <c r="Y139" s="66">
        <f t="shared" si="60"/>
        <v>-5.421880729076658E-3</v>
      </c>
      <c r="Z139" s="66">
        <f t="shared" si="61"/>
        <v>-5.9982897583929891E-2</v>
      </c>
      <c r="AA139" s="66">
        <f t="shared" si="62"/>
        <v>-1.6295463954525184E-2</v>
      </c>
      <c r="AB139" s="66">
        <f t="shared" si="63"/>
        <v>6.5422665273724923E-2</v>
      </c>
      <c r="AC139" s="66">
        <f t="shared" si="64"/>
        <v>-2.1558891228020974E-2</v>
      </c>
      <c r="AD139" s="66">
        <f t="shared" si="65"/>
        <v>-8.2133110921333088E-3</v>
      </c>
      <c r="AE139" s="66">
        <f t="shared" si="66"/>
        <v>1.6577772566666666E-2</v>
      </c>
    </row>
    <row r="140" spans="2:31" ht="16" customHeight="1" x14ac:dyDescent="0.2">
      <c r="B140" s="91">
        <v>44439</v>
      </c>
      <c r="C140" s="66">
        <f>AIRBUS!D135</f>
        <v>0</v>
      </c>
      <c r="D140" s="66">
        <f>BNP!D135</f>
        <v>4.4314745781114412E-2</v>
      </c>
      <c r="E140" s="66">
        <f>CAPGEMINI!D135</f>
        <v>4.3347051199375507E-2</v>
      </c>
      <c r="F140" s="66">
        <f>DANONE!D135</f>
        <v>-3.0615862435523062E-3</v>
      </c>
      <c r="G140" s="66">
        <f>ENGIE!D135</f>
        <v>7.8208288110077948E-2</v>
      </c>
      <c r="H140" s="66">
        <f>'HERMES INTL'!D135</f>
        <v>-3.4523047973176506E-2</v>
      </c>
      <c r="I140" s="66">
        <f>'PERNOD RICARD'!D135</f>
        <v>-3.6835570851227899E-2</v>
      </c>
      <c r="J140" s="66">
        <f>RENAULT!D135</f>
        <v>-1.7954734969932516E-2</v>
      </c>
      <c r="K140" s="66">
        <f>SANOFI!D135</f>
        <v>8.517479953642753E-3</v>
      </c>
      <c r="L140" s="66">
        <f>'SCHNEIDER ELECTRIC'!D135</f>
        <v>7.0771364250083291E-2</v>
      </c>
      <c r="M140" s="66">
        <f>TOTALENERGIES!D135</f>
        <v>1.757495423171624E-2</v>
      </c>
      <c r="N140" s="66">
        <f>VINCI!D135</f>
        <v>1.8831806246602849E-2</v>
      </c>
      <c r="O140" s="66">
        <f>MARKET!D135</f>
        <v>1.0195502699999999E-2</v>
      </c>
      <c r="P140" s="92">
        <f>INTERBANK!D134</f>
        <v>-4.5666666666666669E-4</v>
      </c>
      <c r="R140" s="91">
        <v>44439</v>
      </c>
      <c r="S140" s="66">
        <f t="shared" si="54"/>
        <v>4.5666666666666669E-4</v>
      </c>
      <c r="T140" s="66">
        <f t="shared" si="55"/>
        <v>4.477141244778108E-2</v>
      </c>
      <c r="U140" s="66">
        <f t="shared" si="56"/>
        <v>4.3803717866042174E-2</v>
      </c>
      <c r="V140" s="66">
        <f t="shared" si="57"/>
        <v>-2.6049195768856393E-3</v>
      </c>
      <c r="W140" s="66">
        <f t="shared" si="58"/>
        <v>7.8664954776744608E-2</v>
      </c>
      <c r="X140" s="66">
        <f t="shared" si="59"/>
        <v>-3.4066381306509838E-2</v>
      </c>
      <c r="Y140" s="66">
        <f t="shared" si="60"/>
        <v>-3.6378904184561231E-2</v>
      </c>
      <c r="Z140" s="66">
        <f t="shared" si="61"/>
        <v>-1.7498068303265848E-2</v>
      </c>
      <c r="AA140" s="66">
        <f t="shared" si="62"/>
        <v>8.974146620309419E-3</v>
      </c>
      <c r="AB140" s="66">
        <f t="shared" si="63"/>
        <v>7.1228030916749951E-2</v>
      </c>
      <c r="AC140" s="66">
        <f t="shared" si="64"/>
        <v>1.8031620898382908E-2</v>
      </c>
      <c r="AD140" s="66">
        <f t="shared" si="65"/>
        <v>1.9288472913269517E-2</v>
      </c>
      <c r="AE140" s="66">
        <f t="shared" si="66"/>
        <v>1.0652169366666665E-2</v>
      </c>
    </row>
    <row r="141" spans="2:31" ht="16" customHeight="1" x14ac:dyDescent="0.2">
      <c r="B141" s="91">
        <v>44469</v>
      </c>
      <c r="C141" s="66">
        <f>AIRBUS!D136</f>
        <v>-5.1858107106769139E-3</v>
      </c>
      <c r="D141" s="66">
        <f>BNP!D136</f>
        <v>3.1825809498043395E-2</v>
      </c>
      <c r="E141" s="66">
        <f>CAPGEMINI!D136</f>
        <v>-5.2590039134686094E-2</v>
      </c>
      <c r="F141" s="66">
        <f>DANONE!D136</f>
        <v>-4.5579387168968769E-2</v>
      </c>
      <c r="G141" s="66">
        <f>ENGIE!D136</f>
        <v>-6.5117152584053886E-2</v>
      </c>
      <c r="H141" s="66">
        <f>'HERMES INTL'!D136</f>
        <v>-3.8569622559831436E-2</v>
      </c>
      <c r="I141" s="66">
        <f>'PERNOD RICARD'!D136</f>
        <v>7.1649267853479928E-2</v>
      </c>
      <c r="J141" s="66">
        <f>RENAULT!D136</f>
        <v>-1.7647015349756996E-2</v>
      </c>
      <c r="K141" s="66">
        <f>SANOFI!D136</f>
        <v>-5.1814751580877033E-2</v>
      </c>
      <c r="L141" s="66">
        <f>'SCHNEIDER ELECTRIC'!D136</f>
        <v>-4.8909564368548999E-2</v>
      </c>
      <c r="M141" s="66">
        <f>TOTALENERGIES!D136</f>
        <v>0.10684144618267857</v>
      </c>
      <c r="N141" s="66">
        <f>VINCI!D136</f>
        <v>-8.141675655956155E-3</v>
      </c>
      <c r="O141" s="66">
        <f>MARKET!D136</f>
        <v>-2.39769596E-2</v>
      </c>
      <c r="P141" s="92">
        <f>INTERBANK!D135</f>
        <v>-4.5416666666666668E-4</v>
      </c>
      <c r="R141" s="91">
        <v>44469</v>
      </c>
      <c r="S141" s="66">
        <f t="shared" si="54"/>
        <v>-4.731644044010247E-3</v>
      </c>
      <c r="T141" s="66">
        <f t="shared" si="55"/>
        <v>3.227997616471006E-2</v>
      </c>
      <c r="U141" s="66">
        <f t="shared" si="56"/>
        <v>-5.2135872468019429E-2</v>
      </c>
      <c r="V141" s="66">
        <f t="shared" si="57"/>
        <v>-4.5125220502302103E-2</v>
      </c>
      <c r="W141" s="66">
        <f t="shared" si="58"/>
        <v>-6.4662985917387214E-2</v>
      </c>
      <c r="X141" s="66">
        <f t="shared" si="59"/>
        <v>-3.8115455893164771E-2</v>
      </c>
      <c r="Y141" s="66">
        <f t="shared" si="60"/>
        <v>7.21034345201466E-2</v>
      </c>
      <c r="Z141" s="66">
        <f t="shared" si="61"/>
        <v>-1.7192848683090331E-2</v>
      </c>
      <c r="AA141" s="66">
        <f t="shared" si="62"/>
        <v>-5.1360584914210368E-2</v>
      </c>
      <c r="AB141" s="66">
        <f t="shared" si="63"/>
        <v>-4.8455397701882334E-2</v>
      </c>
      <c r="AC141" s="66">
        <f t="shared" si="64"/>
        <v>0.10729561284934525</v>
      </c>
      <c r="AD141" s="66">
        <f t="shared" si="65"/>
        <v>-7.687508989289488E-3</v>
      </c>
      <c r="AE141" s="66">
        <f t="shared" si="66"/>
        <v>-2.3522792933333335E-2</v>
      </c>
    </row>
    <row r="142" spans="2:31" ht="16" customHeight="1" x14ac:dyDescent="0.2">
      <c r="B142" s="91">
        <v>44500</v>
      </c>
      <c r="C142" s="66">
        <f>AIRBUS!D137</f>
        <v>-3.9096503827288243E-2</v>
      </c>
      <c r="D142" s="66">
        <f>BNP!D137</f>
        <v>7.3831425769910516E-2</v>
      </c>
      <c r="E142" s="66">
        <f>CAPGEMINI!D137</f>
        <v>0.11740217837123507</v>
      </c>
      <c r="F142" s="66">
        <f>DANONE!D137</f>
        <v>-4.5724033615454955E-2</v>
      </c>
      <c r="G142" s="66">
        <f>ENGIE!D137</f>
        <v>8.4112322222337832E-2</v>
      </c>
      <c r="H142" s="66">
        <f>'HERMES INTL'!D137</f>
        <v>0.14542421996233992</v>
      </c>
      <c r="I142" s="66">
        <f>'PERNOD RICARD'!D137</f>
        <v>4.1950737858946534E-2</v>
      </c>
      <c r="J142" s="66">
        <f>RENAULT!D137</f>
        <v>5.3405302222378076E-3</v>
      </c>
      <c r="K142" s="66">
        <f>SANOFI!D137</f>
        <v>4.0322563265046567E-2</v>
      </c>
      <c r="L142" s="66">
        <f>'SCHNEIDER ELECTRIC'!D137</f>
        <v>3.4746392724147528E-2</v>
      </c>
      <c r="M142" s="66">
        <f>TOTALENERGIES!D137</f>
        <v>6.785474111338051E-2</v>
      </c>
      <c r="N142" s="66">
        <f>VINCI!D137</f>
        <v>2.4625718570791384E-2</v>
      </c>
      <c r="O142" s="66">
        <f>MARKET!D137</f>
        <v>4.75965665E-2</v>
      </c>
      <c r="P142" s="92">
        <f>INTERBANK!D136</f>
        <v>-4.5833333333333338E-4</v>
      </c>
      <c r="R142" s="91">
        <v>44500</v>
      </c>
      <c r="S142" s="66">
        <f t="shared" si="54"/>
        <v>-3.8638170493954911E-2</v>
      </c>
      <c r="T142" s="66">
        <f t="shared" si="55"/>
        <v>7.4289759103243855E-2</v>
      </c>
      <c r="U142" s="66">
        <f t="shared" si="56"/>
        <v>0.1178605117045684</v>
      </c>
      <c r="V142" s="66">
        <f t="shared" si="57"/>
        <v>-4.5265700282121624E-2</v>
      </c>
      <c r="W142" s="66">
        <f t="shared" si="58"/>
        <v>8.457065555567117E-2</v>
      </c>
      <c r="X142" s="66">
        <f t="shared" si="59"/>
        <v>0.14588255329567326</v>
      </c>
      <c r="Y142" s="66">
        <f t="shared" si="60"/>
        <v>4.2409071192279865E-2</v>
      </c>
      <c r="Z142" s="66">
        <f t="shared" si="61"/>
        <v>5.7988635555711408E-3</v>
      </c>
      <c r="AA142" s="66">
        <f t="shared" si="62"/>
        <v>4.0780896598379898E-2</v>
      </c>
      <c r="AB142" s="66">
        <f t="shared" si="63"/>
        <v>3.5204726057480859E-2</v>
      </c>
      <c r="AC142" s="66">
        <f t="shared" si="64"/>
        <v>6.8313074446713848E-2</v>
      </c>
      <c r="AD142" s="66">
        <f t="shared" si="65"/>
        <v>2.5084051904124719E-2</v>
      </c>
      <c r="AE142" s="66">
        <f t="shared" si="66"/>
        <v>4.8054899833333331E-2</v>
      </c>
    </row>
    <row r="143" spans="2:31" ht="16" customHeight="1" x14ac:dyDescent="0.2">
      <c r="B143" s="91">
        <v>44530</v>
      </c>
      <c r="C143" s="66">
        <f>AIRBUS!D138</f>
        <v>-0.1074139981354571</v>
      </c>
      <c r="D143" s="66">
        <f>BNP!D138</f>
        <v>-4.8704561093718783E-2</v>
      </c>
      <c r="E143" s="66">
        <f>CAPGEMINI!D138</f>
        <v>1.390961418084774E-2</v>
      </c>
      <c r="F143" s="66">
        <f>DANONE!D138</f>
        <v>-7.7373420817805114E-2</v>
      </c>
      <c r="G143" s="66">
        <f>ENGIE!D138</f>
        <v>4.1802236981207296E-2</v>
      </c>
      <c r="H143" s="66">
        <f>'HERMES INTL'!D138</f>
        <v>0.20612921408371984</v>
      </c>
      <c r="I143" s="66">
        <f>'PERNOD RICARD'!D138</f>
        <v>1.9124392747536696E-2</v>
      </c>
      <c r="J143" s="66">
        <f>RENAULT!D138</f>
        <v>-8.3708916123752197E-2</v>
      </c>
      <c r="K143" s="66">
        <f>SANOFI!D138</f>
        <v>-2.9734946807474825E-2</v>
      </c>
      <c r="L143" s="66">
        <f>'SCHNEIDER ELECTRIC'!D138</f>
        <v>4.9160611691318447E-2</v>
      </c>
      <c r="M143" s="66">
        <f>TOTALENERGIES!D138</f>
        <v>-6.3638280070752146E-2</v>
      </c>
      <c r="N143" s="66">
        <f>VINCI!D138</f>
        <v>-9.4294731961588496E-2</v>
      </c>
      <c r="O143" s="66">
        <f>MARKET!D138</f>
        <v>-1.5984517600000001E-2</v>
      </c>
      <c r="P143" s="92">
        <f>INTERBANK!D137</f>
        <v>-4.7249999999999994E-4</v>
      </c>
      <c r="R143" s="91">
        <v>44530</v>
      </c>
      <c r="S143" s="66">
        <f t="shared" si="54"/>
        <v>-0.1069414981354571</v>
      </c>
      <c r="T143" s="66">
        <f t="shared" si="55"/>
        <v>-4.8232061093718782E-2</v>
      </c>
      <c r="U143" s="66">
        <f t="shared" si="56"/>
        <v>1.4382114180847741E-2</v>
      </c>
      <c r="V143" s="66">
        <f t="shared" si="57"/>
        <v>-7.6900920817805113E-2</v>
      </c>
      <c r="W143" s="66">
        <f t="shared" si="58"/>
        <v>4.2274736981207296E-2</v>
      </c>
      <c r="X143" s="66">
        <f t="shared" si="59"/>
        <v>0.20660171408371983</v>
      </c>
      <c r="Y143" s="66">
        <f t="shared" si="60"/>
        <v>1.9596892747536697E-2</v>
      </c>
      <c r="Z143" s="66">
        <f t="shared" si="61"/>
        <v>-8.3236416123752197E-2</v>
      </c>
      <c r="AA143" s="66">
        <f t="shared" si="62"/>
        <v>-2.9262446807474824E-2</v>
      </c>
      <c r="AB143" s="66">
        <f t="shared" si="63"/>
        <v>4.9633111691318448E-2</v>
      </c>
      <c r="AC143" s="66">
        <f t="shared" si="64"/>
        <v>-6.3165780070752145E-2</v>
      </c>
      <c r="AD143" s="66">
        <f t="shared" si="65"/>
        <v>-9.3822231961588495E-2</v>
      </c>
      <c r="AE143" s="66">
        <f t="shared" si="66"/>
        <v>-1.5512017600000001E-2</v>
      </c>
    </row>
    <row r="144" spans="2:31" ht="16" customHeight="1" x14ac:dyDescent="0.2">
      <c r="B144" s="91">
        <v>44561</v>
      </c>
      <c r="C144" s="66">
        <f>AIRBUS!D139</f>
        <v>0.13816852623536174</v>
      </c>
      <c r="D144" s="66">
        <f>BNP!D139</f>
        <v>0.10330412423086453</v>
      </c>
      <c r="E144" s="66">
        <f>CAPGEMINI!D139</f>
        <v>5.585488263010166E-2</v>
      </c>
      <c r="F144" s="66">
        <f>DANONE!D139</f>
        <v>5.0009523356029074E-2</v>
      </c>
      <c r="G144" s="66">
        <f>ENGIE!D139</f>
        <v>1.5924939920580066E-2</v>
      </c>
      <c r="H144" s="66">
        <f>'HERMES INTL'!D139</f>
        <v>-7.0780469779523958E-2</v>
      </c>
      <c r="I144" s="66">
        <f>'PERNOD RICARD'!D139</f>
        <v>5.332965437222386E-2</v>
      </c>
      <c r="J144" s="66">
        <f>RENAULT!D139</f>
        <v>7.3260773180015393E-2</v>
      </c>
      <c r="K144" s="66">
        <f>SANOFI!D139</f>
        <v>5.6284142738370298E-2</v>
      </c>
      <c r="L144" s="66">
        <f>'SCHNEIDER ELECTRIC'!D139</f>
        <v>0.10395594779652084</v>
      </c>
      <c r="M144" s="66">
        <f>TOTALENERGIES!D139</f>
        <v>9.8990441079434513E-2</v>
      </c>
      <c r="N144" s="66">
        <f>VINCI!D139</f>
        <v>0.11824764389765464</v>
      </c>
      <c r="O144" s="66">
        <f>MARKET!D139</f>
        <v>6.4255220700000004E-2</v>
      </c>
      <c r="P144" s="92">
        <f>INTERBANK!D138</f>
        <v>-4.8499999999999997E-4</v>
      </c>
      <c r="R144" s="91">
        <v>44561</v>
      </c>
      <c r="S144" s="66">
        <f t="shared" si="54"/>
        <v>0.13865352623536176</v>
      </c>
      <c r="T144" s="66">
        <f t="shared" si="55"/>
        <v>0.10378912423086453</v>
      </c>
      <c r="U144" s="66">
        <f t="shared" si="56"/>
        <v>5.6339882630101659E-2</v>
      </c>
      <c r="V144" s="66">
        <f t="shared" si="57"/>
        <v>5.0494523356029074E-2</v>
      </c>
      <c r="W144" s="66">
        <f t="shared" si="58"/>
        <v>1.6409939920580065E-2</v>
      </c>
      <c r="X144" s="66">
        <f t="shared" si="59"/>
        <v>-7.0295469779523959E-2</v>
      </c>
      <c r="Y144" s="66">
        <f t="shared" si="60"/>
        <v>5.3814654372223859E-2</v>
      </c>
      <c r="Z144" s="66">
        <f t="shared" si="61"/>
        <v>7.3745773180015392E-2</v>
      </c>
      <c r="AA144" s="66">
        <f t="shared" si="62"/>
        <v>5.6769142738370297E-2</v>
      </c>
      <c r="AB144" s="66">
        <f t="shared" si="63"/>
        <v>0.10444094779652084</v>
      </c>
      <c r="AC144" s="66">
        <f t="shared" si="64"/>
        <v>9.9475441079434512E-2</v>
      </c>
      <c r="AD144" s="66">
        <f t="shared" si="65"/>
        <v>0.11873264389765464</v>
      </c>
      <c r="AE144" s="66">
        <f t="shared" si="66"/>
        <v>6.4740220700000004E-2</v>
      </c>
    </row>
    <row r="145" spans="2:31" ht="16" customHeight="1" x14ac:dyDescent="0.2">
      <c r="B145" s="91">
        <v>44592</v>
      </c>
      <c r="C145" s="66">
        <f>AIRBUS!D140</f>
        <v>-2.1360434551246079E-3</v>
      </c>
      <c r="D145" s="66">
        <f>BNP!D140</f>
        <v>3.6695722230189097E-2</v>
      </c>
      <c r="E145" s="66">
        <f>CAPGEMINI!D140</f>
        <v>-8.3758737361122507E-2</v>
      </c>
      <c r="F145" s="66">
        <f>DANONE!D140</f>
        <v>1.209011338024193E-2</v>
      </c>
      <c r="G145" s="66">
        <f>ENGIE!D140</f>
        <v>4.1493860316311228E-2</v>
      </c>
      <c r="H145" s="66">
        <f>'HERMES INTL'!D140</f>
        <v>-0.14160156024964954</v>
      </c>
      <c r="I145" s="66">
        <f>'PERNOD RICARD'!D140</f>
        <v>-0.10638295462570706</v>
      </c>
      <c r="J145" s="66">
        <f>RENAULT!D140</f>
        <v>0.14306759433240723</v>
      </c>
      <c r="K145" s="66">
        <f>SANOFI!D140</f>
        <v>4.7076149812997167E-2</v>
      </c>
      <c r="L145" s="66">
        <f>'SCHNEIDER ELECTRIC'!D140</f>
        <v>-0.13394416248789628</v>
      </c>
      <c r="M145" s="66">
        <f>TOTALENERGIES!D140</f>
        <v>0.12525179114172424</v>
      </c>
      <c r="N145" s="66">
        <f>VINCI!D140</f>
        <v>4.0361622005370391E-2</v>
      </c>
      <c r="O145" s="66">
        <f>MARKET!D140</f>
        <v>-2.1505515100000001E-2</v>
      </c>
      <c r="P145" s="92">
        <f>INTERBANK!D139</f>
        <v>-4.6666666666666672E-4</v>
      </c>
      <c r="R145" s="91">
        <v>44592</v>
      </c>
      <c r="S145" s="66">
        <f t="shared" si="54"/>
        <v>-1.6693767884579413E-3</v>
      </c>
      <c r="T145" s="66">
        <f t="shared" si="55"/>
        <v>3.7162388896855761E-2</v>
      </c>
      <c r="U145" s="66">
        <f t="shared" si="56"/>
        <v>-8.3292070694455836E-2</v>
      </c>
      <c r="V145" s="66">
        <f t="shared" si="57"/>
        <v>1.2556780046908597E-2</v>
      </c>
      <c r="W145" s="66">
        <f t="shared" si="58"/>
        <v>4.1960526982977892E-2</v>
      </c>
      <c r="X145" s="66">
        <f t="shared" si="59"/>
        <v>-0.14113489358298287</v>
      </c>
      <c r="Y145" s="66">
        <f t="shared" si="60"/>
        <v>-0.10591628795904039</v>
      </c>
      <c r="Z145" s="66">
        <f t="shared" si="61"/>
        <v>0.1435342609990739</v>
      </c>
      <c r="AA145" s="66">
        <f t="shared" si="62"/>
        <v>4.7542816479663831E-2</v>
      </c>
      <c r="AB145" s="66">
        <f t="shared" si="63"/>
        <v>-0.13347749582122961</v>
      </c>
      <c r="AC145" s="66">
        <f t="shared" si="64"/>
        <v>0.12571845780839092</v>
      </c>
      <c r="AD145" s="66">
        <f t="shared" si="65"/>
        <v>4.0828288672037055E-2</v>
      </c>
      <c r="AE145" s="66">
        <f t="shared" si="66"/>
        <v>-2.1038848433333333E-2</v>
      </c>
    </row>
    <row r="146" spans="2:31" ht="16" customHeight="1" x14ac:dyDescent="0.2">
      <c r="B146" s="91">
        <v>44620</v>
      </c>
      <c r="C146" s="66">
        <f>AIRBUS!D141</f>
        <v>2.4794921364379087E-2</v>
      </c>
      <c r="D146" s="66">
        <f>BNP!D141</f>
        <v>-0.16650790874163193</v>
      </c>
      <c r="E146" s="66">
        <f>CAPGEMINI!D141</f>
        <v>-4.6340721876499631E-2</v>
      </c>
      <c r="F146" s="66">
        <f>DANONE!D141</f>
        <v>-1.7013554171721214E-2</v>
      </c>
      <c r="G146" s="66">
        <f>ENGIE!D141</f>
        <v>5.2678132570977122E-2</v>
      </c>
      <c r="H146" s="66">
        <f>'HERMES INTL'!D141</f>
        <v>-5.8020421861587228E-2</v>
      </c>
      <c r="I146" s="66">
        <f>'PERNOD RICARD'!D141</f>
        <v>3.5185136231774841E-2</v>
      </c>
      <c r="J146" s="66">
        <f>RENAULT!D141</f>
        <v>-0.18258623414329028</v>
      </c>
      <c r="K146" s="66">
        <f>SANOFI!D141</f>
        <v>7.7628891313966508E-3</v>
      </c>
      <c r="L146" s="66">
        <f>'SCHNEIDER ELECTRIC'!D141</f>
        <v>-6.4140454092825747E-2</v>
      </c>
      <c r="M146" s="66">
        <f>TOTALENERGIES!D141</f>
        <v>-7.8567996985798083E-2</v>
      </c>
      <c r="N146" s="66">
        <f>VINCI!D141</f>
        <v>-2.2139547341537471E-2</v>
      </c>
      <c r="O146" s="66">
        <f>MARKET!D141</f>
        <v>-4.8629858800000002E-2</v>
      </c>
      <c r="P146" s="92">
        <f>INTERBANK!D140</f>
        <v>-4.4333333333333334E-4</v>
      </c>
      <c r="R146" s="91">
        <v>44620</v>
      </c>
      <c r="S146" s="66">
        <f t="shared" si="54"/>
        <v>2.5238254697712421E-2</v>
      </c>
      <c r="T146" s="66">
        <f t="shared" si="55"/>
        <v>-0.16606457540829861</v>
      </c>
      <c r="U146" s="66">
        <f t="shared" si="56"/>
        <v>-4.5897388543166301E-2</v>
      </c>
      <c r="V146" s="66">
        <f t="shared" si="57"/>
        <v>-1.657022083838788E-2</v>
      </c>
      <c r="W146" s="66">
        <f t="shared" si="58"/>
        <v>5.3121465904310453E-2</v>
      </c>
      <c r="X146" s="66">
        <f t="shared" si="59"/>
        <v>-5.7577088528253897E-2</v>
      </c>
      <c r="Y146" s="66">
        <f t="shared" si="60"/>
        <v>3.5628469565108171E-2</v>
      </c>
      <c r="Z146" s="66">
        <f t="shared" si="61"/>
        <v>-0.18214290080995696</v>
      </c>
      <c r="AA146" s="66">
        <f t="shared" si="62"/>
        <v>8.2062224647299845E-3</v>
      </c>
      <c r="AB146" s="66">
        <f t="shared" si="63"/>
        <v>-6.3697120759492409E-2</v>
      </c>
      <c r="AC146" s="66">
        <f t="shared" si="64"/>
        <v>-7.8124663652464746E-2</v>
      </c>
      <c r="AD146" s="66">
        <f t="shared" si="65"/>
        <v>-2.1696214008204137E-2</v>
      </c>
      <c r="AE146" s="66">
        <f t="shared" si="66"/>
        <v>-4.8186525466666671E-2</v>
      </c>
    </row>
    <row r="147" spans="2:31" ht="16" customHeight="1" x14ac:dyDescent="0.2">
      <c r="B147" s="91">
        <v>44651</v>
      </c>
      <c r="C147" s="66">
        <f>AIRBUS!D142</f>
        <v>-3.9512622019494716E-2</v>
      </c>
      <c r="D147" s="66">
        <f>BNP!D142</f>
        <v>-1.1045487337595921E-2</v>
      </c>
      <c r="E147" s="66">
        <f>CAPGEMINI!D142</f>
        <v>7.5411594080562028E-2</v>
      </c>
      <c r="F147" s="66">
        <f>DANONE!D142</f>
        <v>-7.8806956209386311E-2</v>
      </c>
      <c r="G147" s="66">
        <f>ENGIE!D142</f>
        <v>-0.16358284145793717</v>
      </c>
      <c r="H147" s="66">
        <f>'HERMES INTL'!D142</f>
        <v>4.2020542643586109E-2</v>
      </c>
      <c r="I147" s="66">
        <f>'PERNOD RICARD'!D142</f>
        <v>1.8655871906912029E-2</v>
      </c>
      <c r="J147" s="66">
        <f>RENAULT!D142</f>
        <v>-0.16345488434502159</v>
      </c>
      <c r="K147" s="66">
        <f>SANOFI!D142</f>
        <v>-1.0270628223430172E-2</v>
      </c>
      <c r="L147" s="66">
        <f>'SCHNEIDER ELECTRIC'!D142</f>
        <v>8.8567951465580275E-2</v>
      </c>
      <c r="M147" s="66">
        <f>TOTALENERGIES!D142</f>
        <v>9.6512700796451151E-3</v>
      </c>
      <c r="N147" s="66">
        <f>VINCI!D142</f>
        <v>-1.6187053066520796E-2</v>
      </c>
      <c r="O147" s="66">
        <f>MARKET!D142</f>
        <v>1.561895E-4</v>
      </c>
      <c r="P147" s="92">
        <f>INTERBANK!D141</f>
        <v>-4.125E-4</v>
      </c>
      <c r="R147" s="91">
        <v>44651</v>
      </c>
      <c r="S147" s="66">
        <f t="shared" si="54"/>
        <v>-3.9100122019494712E-2</v>
      </c>
      <c r="T147" s="66">
        <f t="shared" si="55"/>
        <v>-1.0632987337595922E-2</v>
      </c>
      <c r="U147" s="66">
        <f t="shared" si="56"/>
        <v>7.5824094080562024E-2</v>
      </c>
      <c r="V147" s="66">
        <f t="shared" si="57"/>
        <v>-7.8394456209386315E-2</v>
      </c>
      <c r="W147" s="66">
        <f t="shared" si="58"/>
        <v>-0.16317034145793716</v>
      </c>
      <c r="X147" s="66">
        <f t="shared" si="59"/>
        <v>4.2433042643586112E-2</v>
      </c>
      <c r="Y147" s="66">
        <f t="shared" si="60"/>
        <v>1.9068371906912029E-2</v>
      </c>
      <c r="Z147" s="66">
        <f t="shared" si="61"/>
        <v>-0.16304238434502158</v>
      </c>
      <c r="AA147" s="66">
        <f t="shared" si="62"/>
        <v>-9.8581282234301727E-3</v>
      </c>
      <c r="AB147" s="66">
        <f t="shared" si="63"/>
        <v>8.8980451465580271E-2</v>
      </c>
      <c r="AC147" s="66">
        <f t="shared" si="64"/>
        <v>1.0063770079645115E-2</v>
      </c>
      <c r="AD147" s="66">
        <f t="shared" si="65"/>
        <v>-1.5774553066520796E-2</v>
      </c>
      <c r="AE147" s="66">
        <f t="shared" si="66"/>
        <v>5.686895E-4</v>
      </c>
    </row>
    <row r="148" spans="2:31" ht="16" customHeight="1" x14ac:dyDescent="0.2">
      <c r="B148" s="91">
        <v>44681</v>
      </c>
      <c r="C148" s="66">
        <f>AIRBUS!D143</f>
        <v>-4.3675234973153135E-2</v>
      </c>
      <c r="D148" s="66">
        <f>BNP!D143</f>
        <v>-4.2846200799789798E-2</v>
      </c>
      <c r="E148" s="66">
        <f>CAPGEMINI!D143</f>
        <v>-3.1604858026986406E-2</v>
      </c>
      <c r="F148" s="66">
        <f>DANONE!D143</f>
        <v>0.15210886721891448</v>
      </c>
      <c r="G148" s="66">
        <f>ENGIE!D143</f>
        <v>-5.128212344336016E-2</v>
      </c>
      <c r="H148" s="66">
        <f>'HERMES INTL'!D143</f>
        <v>-8.1300803478811245E-2</v>
      </c>
      <c r="I148" s="66">
        <f>'PERNOD RICARD'!D143</f>
        <v>-8.2790980226021254E-3</v>
      </c>
      <c r="J148" s="66">
        <f>RENAULT!D143</f>
        <v>-1.2565324717069769E-2</v>
      </c>
      <c r="K148" s="66">
        <f>SANOFI!D143</f>
        <v>9.3719453146176565E-2</v>
      </c>
      <c r="L148" s="66">
        <f>'SCHNEIDER ELECTRIC'!D143</f>
        <v>-9.503161760817215E-2</v>
      </c>
      <c r="M148" s="66">
        <f>TOTALENERGIES!D143</f>
        <v>4.0970634182491236E-2</v>
      </c>
      <c r="N148" s="66">
        <f>VINCI!D143</f>
        <v>-1.6129269738934307E-3</v>
      </c>
      <c r="O148" s="66">
        <f>MARKET!D143</f>
        <v>-1.8934317900000001E-2</v>
      </c>
      <c r="P148" s="92">
        <f>INTERBANK!D142</f>
        <v>-3.7333333333333332E-4</v>
      </c>
      <c r="R148" s="91">
        <v>44681</v>
      </c>
      <c r="S148" s="66">
        <f t="shared" si="54"/>
        <v>-4.3301901639819798E-2</v>
      </c>
      <c r="T148" s="66">
        <f t="shared" si="55"/>
        <v>-4.2472867466456461E-2</v>
      </c>
      <c r="U148" s="66">
        <f t="shared" si="56"/>
        <v>-3.1231524693653073E-2</v>
      </c>
      <c r="V148" s="66">
        <f t="shared" si="57"/>
        <v>0.15248220055224782</v>
      </c>
      <c r="W148" s="66">
        <f t="shared" si="58"/>
        <v>-5.0908790110026823E-2</v>
      </c>
      <c r="X148" s="66">
        <f t="shared" si="59"/>
        <v>-8.0927470145477909E-2</v>
      </c>
      <c r="Y148" s="66">
        <f t="shared" si="60"/>
        <v>-7.9057646892687922E-3</v>
      </c>
      <c r="Z148" s="66">
        <f t="shared" si="61"/>
        <v>-1.2191991383736436E-2</v>
      </c>
      <c r="AA148" s="66">
        <f t="shared" si="62"/>
        <v>9.4092786479509902E-2</v>
      </c>
      <c r="AB148" s="66">
        <f t="shared" si="63"/>
        <v>-9.4658284274838814E-2</v>
      </c>
      <c r="AC148" s="66">
        <f t="shared" si="64"/>
        <v>4.1343967515824573E-2</v>
      </c>
      <c r="AD148" s="66">
        <f t="shared" si="65"/>
        <v>-1.2395936405600974E-3</v>
      </c>
      <c r="AE148" s="66">
        <f t="shared" si="66"/>
        <v>-1.8560984566666668E-2</v>
      </c>
    </row>
    <row r="149" spans="2:31" ht="16" customHeight="1" x14ac:dyDescent="0.2">
      <c r="B149" s="91">
        <v>44712</v>
      </c>
      <c r="C149" s="66">
        <f>AIRBUS!D144</f>
        <v>4.5477005998207108E-2</v>
      </c>
      <c r="D149" s="66">
        <f>BNP!D144</f>
        <v>6.8504254545252885E-2</v>
      </c>
      <c r="E149" s="66">
        <f>CAPGEMINI!D144</f>
        <v>-7.9551354785263914E-2</v>
      </c>
      <c r="F149" s="66">
        <f>DANONE!D144</f>
        <v>-5.0485897777230886E-2</v>
      </c>
      <c r="G149" s="66">
        <f>ENGIE!D144</f>
        <v>0.18724557799470626</v>
      </c>
      <c r="H149" s="66">
        <f>'HERMES INTL'!D144</f>
        <v>-6.0281805864236121E-2</v>
      </c>
      <c r="I149" s="66">
        <f>'PERNOD RICARD'!D144</f>
        <v>-7.6650513311040891E-2</v>
      </c>
      <c r="J149" s="66">
        <f>RENAULT!D144</f>
        <v>8.3775009817087562E-2</v>
      </c>
      <c r="K149" s="66">
        <f>SANOFI!D144</f>
        <v>-1.2424214485944185E-2</v>
      </c>
      <c r="L149" s="66">
        <f>'SCHNEIDER ELECTRIC'!D144</f>
        <v>-6.2890378254333815E-2</v>
      </c>
      <c r="M149" s="66">
        <f>TOTALENERGIES!D144</f>
        <v>0.17713065919768908</v>
      </c>
      <c r="N149" s="66">
        <f>VINCI!D144</f>
        <v>-1.0374363075990843E-2</v>
      </c>
      <c r="O149" s="66">
        <f>MARKET!D144</f>
        <v>-9.9437559999999998E-3</v>
      </c>
      <c r="P149" s="92">
        <f>INTERBANK!D143</f>
        <v>-3.2166666666666666E-4</v>
      </c>
      <c r="R149" s="91">
        <v>44712</v>
      </c>
      <c r="S149" s="66">
        <f t="shared" si="54"/>
        <v>4.5798672664873773E-2</v>
      </c>
      <c r="T149" s="66">
        <f t="shared" si="55"/>
        <v>6.882592121191955E-2</v>
      </c>
      <c r="U149" s="66">
        <f t="shared" si="56"/>
        <v>-7.922968811859725E-2</v>
      </c>
      <c r="V149" s="66">
        <f t="shared" si="57"/>
        <v>-5.0164231110564221E-2</v>
      </c>
      <c r="W149" s="66">
        <f t="shared" si="58"/>
        <v>0.18756724466137292</v>
      </c>
      <c r="X149" s="66">
        <f t="shared" si="59"/>
        <v>-5.9960139197569456E-2</v>
      </c>
      <c r="Y149" s="66">
        <f t="shared" si="60"/>
        <v>-7.6328846644374226E-2</v>
      </c>
      <c r="Z149" s="66">
        <f t="shared" si="61"/>
        <v>8.4096676483754226E-2</v>
      </c>
      <c r="AA149" s="66">
        <f t="shared" si="62"/>
        <v>-1.2102547819277519E-2</v>
      </c>
      <c r="AB149" s="66">
        <f t="shared" si="63"/>
        <v>-6.256871158766715E-2</v>
      </c>
      <c r="AC149" s="66">
        <f t="shared" si="64"/>
        <v>0.17745232586435575</v>
      </c>
      <c r="AD149" s="66">
        <f t="shared" si="65"/>
        <v>-1.0052696409324177E-2</v>
      </c>
      <c r="AE149" s="66">
        <f t="shared" si="66"/>
        <v>-9.6220893333333335E-3</v>
      </c>
    </row>
    <row r="150" spans="2:31" ht="16" customHeight="1" x14ac:dyDescent="0.2">
      <c r="B150" s="91">
        <v>44742</v>
      </c>
      <c r="C150" s="66">
        <f>AIRBUS!D145</f>
        <v>-0.15011959505144506</v>
      </c>
      <c r="D150" s="66">
        <f>BNP!D145</f>
        <v>-8.3183317205570984E-2</v>
      </c>
      <c r="E150" s="66">
        <f>CAPGEMINI!D145</f>
        <v>-9.4459781733817846E-2</v>
      </c>
      <c r="F150" s="66">
        <f>DANONE!D145</f>
        <v>8.1343576569043782E-3</v>
      </c>
      <c r="G150" s="66">
        <f>ENGIE!D145</f>
        <v>-0.12243927902490261</v>
      </c>
      <c r="H150" s="66">
        <f>'HERMES INTL'!D145</f>
        <v>-3.8739009050717782E-2</v>
      </c>
      <c r="I150" s="66">
        <f>'PERNOD RICARD'!D145</f>
        <v>-3.9452045393370126E-2</v>
      </c>
      <c r="J150" s="66">
        <f>RENAULT!D145</f>
        <v>-6.8884386020067315E-2</v>
      </c>
      <c r="K150" s="66">
        <f>SANOFI!D145</f>
        <v>2.9854292560239082E-3</v>
      </c>
      <c r="L150" s="66">
        <f>'SCHNEIDER ELECTRIC'!D145</f>
        <v>-0.10473362256941932</v>
      </c>
      <c r="M150" s="66">
        <f>TOTALENERGIES!D145</f>
        <v>-9.3901856403292822E-2</v>
      </c>
      <c r="N150" s="66">
        <f>VINCI!D145</f>
        <v>-5.263157894736737E-2</v>
      </c>
      <c r="O150" s="66">
        <f>MARKET!D145</f>
        <v>-8.4395862899999993E-2</v>
      </c>
      <c r="P150" s="92">
        <f>INTERBANK!D144</f>
        <v>-1.9916666666666667E-4</v>
      </c>
      <c r="R150" s="91">
        <v>44742</v>
      </c>
      <c r="S150" s="66">
        <f t="shared" si="54"/>
        <v>-0.1499204283847784</v>
      </c>
      <c r="T150" s="66">
        <f t="shared" si="55"/>
        <v>-8.2984150538904317E-2</v>
      </c>
      <c r="U150" s="66">
        <f t="shared" si="56"/>
        <v>-9.4260615067151179E-2</v>
      </c>
      <c r="V150" s="66">
        <f t="shared" si="57"/>
        <v>8.3335243235710451E-3</v>
      </c>
      <c r="W150" s="66">
        <f t="shared" si="58"/>
        <v>-0.12224011235823594</v>
      </c>
      <c r="X150" s="66">
        <f t="shared" si="59"/>
        <v>-3.8539842384051115E-2</v>
      </c>
      <c r="Y150" s="66">
        <f t="shared" si="60"/>
        <v>-3.9252878726703459E-2</v>
      </c>
      <c r="Z150" s="66">
        <f t="shared" si="61"/>
        <v>-6.8685219353400648E-2</v>
      </c>
      <c r="AA150" s="66">
        <f t="shared" si="62"/>
        <v>3.1845959226905747E-3</v>
      </c>
      <c r="AB150" s="66">
        <f t="shared" si="63"/>
        <v>-0.10453445590275265</v>
      </c>
      <c r="AC150" s="66">
        <f t="shared" si="64"/>
        <v>-9.3702689736626155E-2</v>
      </c>
      <c r="AD150" s="66">
        <f t="shared" si="65"/>
        <v>-5.2432412280700703E-2</v>
      </c>
      <c r="AE150" s="66">
        <f t="shared" si="66"/>
        <v>-8.4196696233333326E-2</v>
      </c>
    </row>
    <row r="151" spans="2:31" ht="16" customHeight="1" x14ac:dyDescent="0.2">
      <c r="B151" s="91">
        <v>44773</v>
      </c>
      <c r="C151" s="66">
        <f>AIRBUS!D146</f>
        <v>0.13445118035677431</v>
      </c>
      <c r="D151" s="66">
        <f>BNP!D146</f>
        <v>1.3997533414707346E-2</v>
      </c>
      <c r="E151" s="66">
        <f>CAPGEMINI!D146</f>
        <v>0.14926700525604975</v>
      </c>
      <c r="F151" s="66">
        <f>DANONE!D146</f>
        <v>1.0326734139717408E-2</v>
      </c>
      <c r="G151" s="66">
        <f>ENGIE!D146</f>
        <v>9.9763080862166051E-2</v>
      </c>
      <c r="H151" s="66">
        <f>'HERMES INTL'!D146</f>
        <v>0.25023433906497428</v>
      </c>
      <c r="I151" s="66">
        <f>'PERNOD RICARD'!D146</f>
        <v>9.2412763737028267E-2</v>
      </c>
      <c r="J151" s="66">
        <f>RENAULT!D146</f>
        <v>0.2082807269434388</v>
      </c>
      <c r="K151" s="66">
        <f>SANOFI!D146</f>
        <v>9.0306574460104101E-3</v>
      </c>
      <c r="L151" s="66">
        <f>'SCHNEIDER ELECTRIC'!D146</f>
        <v>0.19167395423849026</v>
      </c>
      <c r="M151" s="66">
        <f>TOTALENERGIES!D146</f>
        <v>1.0376105004547445E-3</v>
      </c>
      <c r="N151" s="66">
        <f>VINCI!D146</f>
        <v>9.9105263598723667E-2</v>
      </c>
      <c r="O151" s="66">
        <f>MARKET!D146</f>
        <v>8.8747691000000004E-2</v>
      </c>
      <c r="P151" s="92">
        <f>INTERBANK!D145</f>
        <v>3.0833333333333335E-5</v>
      </c>
      <c r="R151" s="91">
        <v>44773</v>
      </c>
      <c r="S151" s="66">
        <f t="shared" si="54"/>
        <v>0.13442034702344097</v>
      </c>
      <c r="T151" s="66">
        <f t="shared" si="55"/>
        <v>1.3966700081374012E-2</v>
      </c>
      <c r="U151" s="66">
        <f t="shared" si="56"/>
        <v>0.1492361719227164</v>
      </c>
      <c r="V151" s="66">
        <f t="shared" si="57"/>
        <v>1.0295900806384074E-2</v>
      </c>
      <c r="W151" s="66">
        <f t="shared" si="58"/>
        <v>9.9732247528832724E-2</v>
      </c>
      <c r="X151" s="66">
        <f t="shared" si="59"/>
        <v>0.25020350573164096</v>
      </c>
      <c r="Y151" s="66">
        <f t="shared" si="60"/>
        <v>9.238193040369494E-2</v>
      </c>
      <c r="Z151" s="66">
        <f t="shared" si="61"/>
        <v>0.20824989361010546</v>
      </c>
      <c r="AA151" s="66">
        <f t="shared" si="62"/>
        <v>8.999824112677076E-3</v>
      </c>
      <c r="AB151" s="66">
        <f t="shared" si="63"/>
        <v>0.19164312090515692</v>
      </c>
      <c r="AC151" s="66">
        <f t="shared" si="64"/>
        <v>1.0067771671214113E-3</v>
      </c>
      <c r="AD151" s="66">
        <f t="shared" si="65"/>
        <v>9.907443026539034E-2</v>
      </c>
      <c r="AE151" s="66">
        <f t="shared" si="66"/>
        <v>8.8716857666666676E-2</v>
      </c>
    </row>
    <row r="152" spans="2:31" ht="16" customHeight="1" x14ac:dyDescent="0.2">
      <c r="B152" s="91">
        <v>44804</v>
      </c>
      <c r="C152" s="66">
        <f>AIRBUS!D147</f>
        <v>-6.6647632248909197E-2</v>
      </c>
      <c r="D152" s="66">
        <f>BNP!D147</f>
        <v>1.0543350384563516E-2</v>
      </c>
      <c r="E152" s="66">
        <f>CAPGEMINI!D147</f>
        <v>-6.6630647816587188E-2</v>
      </c>
      <c r="F152" s="66">
        <f>DANONE!D147</f>
        <v>-2.4159066716027182E-2</v>
      </c>
      <c r="G152" s="66">
        <f>ENGIE!D147</f>
        <v>-1.5920483945929455E-2</v>
      </c>
      <c r="H152" s="66">
        <f>'HERMES INTL'!D147</f>
        <v>-3.8605531803607894E-2</v>
      </c>
      <c r="I152" s="66">
        <f>'PERNOD RICARD'!D147</f>
        <v>-3.2964657869657743E-2</v>
      </c>
      <c r="J152" s="66">
        <f>RENAULT!D147</f>
        <v>-4.6964454966455672E-3</v>
      </c>
      <c r="K152" s="66">
        <f>SANOFI!D147</f>
        <v>-0.15461382088450545</v>
      </c>
      <c r="L152" s="66">
        <f>'SCHNEIDER ELECTRIC'!D147</f>
        <v>-0.11713984588515453</v>
      </c>
      <c r="M152" s="66">
        <f>TOTALENERGIES!D147</f>
        <v>1.8689742935055178E-2</v>
      </c>
      <c r="N152" s="66">
        <f>VINCI!D147</f>
        <v>-1.210094307823676E-2</v>
      </c>
      <c r="O152" s="66">
        <f>MARKET!D147</f>
        <v>-5.0151182799999999E-2</v>
      </c>
      <c r="P152" s="92">
        <f>INTERBANK!D146</f>
        <v>3.2916666666666668E-4</v>
      </c>
      <c r="R152" s="91">
        <v>44804</v>
      </c>
      <c r="S152" s="66">
        <f t="shared" si="54"/>
        <v>-6.6976798915575869E-2</v>
      </c>
      <c r="T152" s="66">
        <f t="shared" si="55"/>
        <v>1.021418371789685E-2</v>
      </c>
      <c r="U152" s="66">
        <f t="shared" si="56"/>
        <v>-6.695981448325386E-2</v>
      </c>
      <c r="V152" s="66">
        <f t="shared" si="57"/>
        <v>-2.4488233382693847E-2</v>
      </c>
      <c r="W152" s="66">
        <f t="shared" si="58"/>
        <v>-1.6249650612596121E-2</v>
      </c>
      <c r="X152" s="66">
        <f t="shared" si="59"/>
        <v>-3.8934698470274559E-2</v>
      </c>
      <c r="Y152" s="66">
        <f t="shared" si="60"/>
        <v>-3.3293824536324408E-2</v>
      </c>
      <c r="Z152" s="66">
        <f t="shared" si="61"/>
        <v>-5.025612163312234E-3</v>
      </c>
      <c r="AA152" s="66">
        <f t="shared" si="62"/>
        <v>-0.15494298755117211</v>
      </c>
      <c r="AB152" s="66">
        <f t="shared" si="63"/>
        <v>-0.1174690125518212</v>
      </c>
      <c r="AC152" s="66">
        <f t="shared" si="64"/>
        <v>1.8360576268388513E-2</v>
      </c>
      <c r="AD152" s="66">
        <f t="shared" si="65"/>
        <v>-1.2430109744903427E-2</v>
      </c>
      <c r="AE152" s="66">
        <f t="shared" si="66"/>
        <v>-5.0480349466666664E-2</v>
      </c>
    </row>
    <row r="153" spans="2:31" ht="16" customHeight="1" x14ac:dyDescent="0.2">
      <c r="B153" s="91">
        <v>44834</v>
      </c>
      <c r="C153" s="66">
        <f>AIRBUS!D148</f>
        <v>-9.1939954653836406E-2</v>
      </c>
      <c r="D153" s="66">
        <f>BNP!D148</f>
        <v>-6.1955505142945601E-2</v>
      </c>
      <c r="E153" s="66">
        <f>CAPGEMINI!D148</f>
        <v>-4.335265555981508E-2</v>
      </c>
      <c r="F153" s="66">
        <f>DANONE!D148</f>
        <v>-7.5033402483176692E-2</v>
      </c>
      <c r="G153" s="66">
        <f>ENGIE!D148</f>
        <v>-2.19080998409094E-3</v>
      </c>
      <c r="H153" s="66">
        <f>'HERMES INTL'!D148</f>
        <v>-5.1072211912664811E-2</v>
      </c>
      <c r="I153" s="66">
        <f>'PERNOD RICARD'!D148</f>
        <v>2.8875027914587455E-2</v>
      </c>
      <c r="J153" s="66">
        <f>RENAULT!D148</f>
        <v>-2.2369867436225283E-2</v>
      </c>
      <c r="K153" s="66">
        <f>SANOFI!D148</f>
        <v>-4.599646618428526E-2</v>
      </c>
      <c r="L153" s="66">
        <f>'SCHNEIDER ELECTRIC'!D148</f>
        <v>-1.549076266534239E-2</v>
      </c>
      <c r="M153" s="66">
        <f>TOTALENERGIES!D148</f>
        <v>-4.7642484613094116E-2</v>
      </c>
      <c r="N153" s="66">
        <f>VINCI!D148</f>
        <v>-9.8428156034839218E-2</v>
      </c>
      <c r="O153" s="66">
        <f>MARKET!D148</f>
        <v>-5.9225196000000001E-2</v>
      </c>
      <c r="P153" s="92">
        <f>INTERBANK!D147</f>
        <v>8.4249999999999993E-4</v>
      </c>
      <c r="R153" s="91">
        <v>44834</v>
      </c>
      <c r="S153" s="66">
        <f t="shared" si="54"/>
        <v>-9.2782454653836402E-2</v>
      </c>
      <c r="T153" s="66">
        <f t="shared" si="55"/>
        <v>-6.2798005142945604E-2</v>
      </c>
      <c r="U153" s="66">
        <f t="shared" si="56"/>
        <v>-4.4195155559815083E-2</v>
      </c>
      <c r="V153" s="66">
        <f t="shared" si="57"/>
        <v>-7.5875902483176688E-2</v>
      </c>
      <c r="W153" s="66">
        <f t="shared" si="58"/>
        <v>-3.0333099840909399E-3</v>
      </c>
      <c r="X153" s="66">
        <f t="shared" si="59"/>
        <v>-5.1914711912664814E-2</v>
      </c>
      <c r="Y153" s="66">
        <f t="shared" si="60"/>
        <v>2.8032527914587456E-2</v>
      </c>
      <c r="Z153" s="66">
        <f t="shared" si="61"/>
        <v>-2.3212367436225283E-2</v>
      </c>
      <c r="AA153" s="66">
        <f t="shared" si="62"/>
        <v>-4.6838966184285263E-2</v>
      </c>
      <c r="AB153" s="66">
        <f t="shared" si="63"/>
        <v>-1.633326266534239E-2</v>
      </c>
      <c r="AC153" s="66">
        <f t="shared" si="64"/>
        <v>-4.8484984613094119E-2</v>
      </c>
      <c r="AD153" s="66">
        <f t="shared" si="65"/>
        <v>-9.9270656034839214E-2</v>
      </c>
      <c r="AE153" s="66">
        <f t="shared" si="66"/>
        <v>-6.0067696000000004E-2</v>
      </c>
    </row>
    <row r="154" spans="2:31" ht="16" customHeight="1" x14ac:dyDescent="0.2">
      <c r="B154" s="91">
        <v>44865</v>
      </c>
      <c r="C154" s="66">
        <f>AIRBUS!D149</f>
        <v>0.23275962307509923</v>
      </c>
      <c r="D154" s="66">
        <f>BNP!D149</f>
        <v>8.9210074485644469E-2</v>
      </c>
      <c r="E154" s="66">
        <f>CAPGEMINI!D149</f>
        <v>4.5317182095981874E-3</v>
      </c>
      <c r="F154" s="66">
        <f>DANONE!D149</f>
        <v>3.6442294099547821E-2</v>
      </c>
      <c r="G154" s="66">
        <f>ENGIE!D149</f>
        <v>0.11079218131842246</v>
      </c>
      <c r="H154" s="66">
        <f>'HERMES INTL'!D149</f>
        <v>7.6828306716775305E-2</v>
      </c>
      <c r="I154" s="66">
        <f>'PERNOD RICARD'!D149</f>
        <v>-5.9041482121532159E-2</v>
      </c>
      <c r="J154" s="66">
        <f>RENAULT!D149</f>
        <v>0.11440834390495985</v>
      </c>
      <c r="K154" s="66">
        <f>SANOFI!D149</f>
        <v>0.11390297259887526</v>
      </c>
      <c r="L154" s="66">
        <f>'SCHNEIDER ELECTRIC'!D149</f>
        <v>9.6801672940615147E-2</v>
      </c>
      <c r="M154" s="66">
        <f>TOTALENERGIES!D149</f>
        <v>0.15772330485424926</v>
      </c>
      <c r="N154" s="66">
        <f>VINCI!D149</f>
        <v>0.12035595186917947</v>
      </c>
      <c r="O154" s="66">
        <f>MARKET!D149</f>
        <v>8.7539122900000002E-2</v>
      </c>
      <c r="P154" s="92">
        <f>INTERBANK!D148</f>
        <v>1.1899999999999999E-3</v>
      </c>
      <c r="R154" s="91">
        <v>44865</v>
      </c>
      <c r="S154" s="66">
        <f t="shared" si="54"/>
        <v>0.23156962307509923</v>
      </c>
      <c r="T154" s="66">
        <f t="shared" si="55"/>
        <v>8.8020074485644473E-2</v>
      </c>
      <c r="U154" s="66">
        <f t="shared" si="56"/>
        <v>3.3417182095981874E-3</v>
      </c>
      <c r="V154" s="66">
        <f t="shared" si="57"/>
        <v>3.5252294099547825E-2</v>
      </c>
      <c r="W154" s="66">
        <f t="shared" si="58"/>
        <v>0.10960218131842246</v>
      </c>
      <c r="X154" s="66">
        <f t="shared" si="59"/>
        <v>7.5638306716775308E-2</v>
      </c>
      <c r="Y154" s="66">
        <f t="shared" si="60"/>
        <v>-6.0231482121532155E-2</v>
      </c>
      <c r="Z154" s="66">
        <f t="shared" si="61"/>
        <v>0.11321834390495986</v>
      </c>
      <c r="AA154" s="66">
        <f t="shared" si="62"/>
        <v>0.11271297259887526</v>
      </c>
      <c r="AB154" s="66">
        <f t="shared" si="63"/>
        <v>9.561167294061515E-2</v>
      </c>
      <c r="AC154" s="66">
        <f t="shared" si="64"/>
        <v>0.15653330485424927</v>
      </c>
      <c r="AD154" s="66">
        <f t="shared" si="65"/>
        <v>0.11916595186917947</v>
      </c>
      <c r="AE154" s="66">
        <f t="shared" si="66"/>
        <v>8.6349122900000005E-2</v>
      </c>
    </row>
    <row r="155" spans="2:31" ht="16" customHeight="1" x14ac:dyDescent="0.2">
      <c r="B155" s="91">
        <v>44895</v>
      </c>
      <c r="C155" s="66">
        <f>AIRBUS!D150</f>
        <v>-3.4677399035008055E-3</v>
      </c>
      <c r="D155" s="66">
        <f>BNP!D150</f>
        <v>0.12496051353298238</v>
      </c>
      <c r="E155" s="66">
        <f>CAPGEMINI!D150</f>
        <v>2.8571339471936547E-2</v>
      </c>
      <c r="F155" s="66">
        <f>DANONE!D150</f>
        <v>-5.1648430631176826E-3</v>
      </c>
      <c r="G155" s="66">
        <f>ENGIE!D150</f>
        <v>0.10384684802808125</v>
      </c>
      <c r="H155" s="66">
        <f>'HERMES INTL'!D150</f>
        <v>0.17703182978550469</v>
      </c>
      <c r="I155" s="66">
        <f>'PERNOD RICARD'!D150</f>
        <v>6.3308699434757518E-2</v>
      </c>
      <c r="J155" s="66">
        <f>RENAULT!D150</f>
        <v>0.11677889347344601</v>
      </c>
      <c r="K155" s="66">
        <f>SANOFI!D150</f>
        <v>-9.7332548933828731E-3</v>
      </c>
      <c r="L155" s="66">
        <f>'SCHNEIDER ELECTRIC'!D150</f>
        <v>8.3112516031861275E-2</v>
      </c>
      <c r="M155" s="66">
        <f>TOTALENERGIES!D150</f>
        <v>9.4555447019623498E-2</v>
      </c>
      <c r="N155" s="66">
        <f>VINCI!D150</f>
        <v>3.6917744282881138E-2</v>
      </c>
      <c r="O155" s="66">
        <f>MARKET!D150</f>
        <v>7.5282766700000003E-2</v>
      </c>
      <c r="P155" s="92">
        <f>INTERBANK!D149</f>
        <v>1.5208333333333332E-3</v>
      </c>
      <c r="R155" s="91">
        <v>44895</v>
      </c>
      <c r="S155" s="66">
        <f t="shared" ref="S155:S188" si="67">C155-$P155</f>
        <v>-4.9885732368341387E-3</v>
      </c>
      <c r="T155" s="66">
        <f t="shared" ref="T155:T188" si="68">D155-$P155</f>
        <v>0.12343968019964904</v>
      </c>
      <c r="U155" s="66">
        <f t="shared" ref="U155:U188" si="69">E155-$P155</f>
        <v>2.7050506138603214E-2</v>
      </c>
      <c r="V155" s="66">
        <f t="shared" ref="V155:V188" si="70">F155-$P155</f>
        <v>-6.6856763964510159E-3</v>
      </c>
      <c r="W155" s="66">
        <f t="shared" ref="W155:W188" si="71">G155-$P155</f>
        <v>0.10232601469474792</v>
      </c>
      <c r="X155" s="66">
        <f t="shared" ref="X155:X188" si="72">H155-$P155</f>
        <v>0.17551099645217136</v>
      </c>
      <c r="Y155" s="66">
        <f t="shared" ref="Y155:Y188" si="73">I155-$P155</f>
        <v>6.1787866101424185E-2</v>
      </c>
      <c r="Z155" s="66">
        <f t="shared" ref="Z155:Z188" si="74">J155-$P155</f>
        <v>0.11525806014011268</v>
      </c>
      <c r="AA155" s="66">
        <f t="shared" ref="AA155:AA188" si="75">K155-$P155</f>
        <v>-1.1254088226716207E-2</v>
      </c>
      <c r="AB155" s="66">
        <f t="shared" ref="AB155:AB188" si="76">L155-$P155</f>
        <v>8.1591682698527943E-2</v>
      </c>
      <c r="AC155" s="66">
        <f t="shared" ref="AC155:AC188" si="77">M155-$P155</f>
        <v>9.3034613686290166E-2</v>
      </c>
      <c r="AD155" s="66">
        <f t="shared" ref="AD155:AD188" si="78">N155-$P155</f>
        <v>3.5396910949547805E-2</v>
      </c>
      <c r="AE155" s="66">
        <f t="shared" ref="AE155:AE188" si="79">O155-$P155</f>
        <v>7.3761933366666671E-2</v>
      </c>
    </row>
    <row r="156" spans="2:31" ht="16" customHeight="1" x14ac:dyDescent="0.2">
      <c r="B156" s="91">
        <v>44926</v>
      </c>
      <c r="C156" s="66">
        <f>AIRBUS!D151</f>
        <v>1.666659909426502E-2</v>
      </c>
      <c r="D156" s="66">
        <f>BNP!D151</f>
        <v>-3.3689124168884642E-3</v>
      </c>
      <c r="E156" s="66">
        <f>CAPGEMINI!D151</f>
        <v>-8.8011616563950443E-2</v>
      </c>
      <c r="F156" s="66">
        <f>DANONE!D151</f>
        <v>-1.6972877184826693E-2</v>
      </c>
      <c r="G156" s="66">
        <f>ENGIE!D151</f>
        <v>-7.7961624148680769E-2</v>
      </c>
      <c r="H156" s="66">
        <f>'HERMES INTL'!D151</f>
        <v>-6.3209265135268936E-2</v>
      </c>
      <c r="I156" s="66">
        <f>'PERNOD RICARD'!D151</f>
        <v>-1.4284562874592338E-2</v>
      </c>
      <c r="J156" s="66">
        <f>RENAULT!D151</f>
        <v>-0.10155120453571499</v>
      </c>
      <c r="K156" s="66">
        <f>SANOFI!D151</f>
        <v>3.8852862509924334E-2</v>
      </c>
      <c r="L156" s="66">
        <f>'SCHNEIDER ELECTRIC'!D151</f>
        <v>-5.9026786819355415E-2</v>
      </c>
      <c r="M156" s="66">
        <f>TOTALENERGIES!D151</f>
        <v>-2.7524415224799034E-2</v>
      </c>
      <c r="N156" s="66">
        <f>VINCI!D151</f>
        <v>-2.420863183996487E-2</v>
      </c>
      <c r="O156" s="66">
        <f>MARKET!D151</f>
        <v>-3.9294810700000002E-2</v>
      </c>
      <c r="P156" s="92">
        <f>INTERBANK!D150</f>
        <v>1.7191666666666668E-3</v>
      </c>
      <c r="R156" s="91">
        <v>44926</v>
      </c>
      <c r="S156" s="66">
        <f t="shared" si="67"/>
        <v>1.4947432427598353E-2</v>
      </c>
      <c r="T156" s="66">
        <f t="shared" si="68"/>
        <v>-5.0880790835551313E-3</v>
      </c>
      <c r="U156" s="66">
        <f t="shared" si="69"/>
        <v>-8.9730783230617103E-2</v>
      </c>
      <c r="V156" s="66">
        <f t="shared" si="70"/>
        <v>-1.869204385149336E-2</v>
      </c>
      <c r="W156" s="66">
        <f t="shared" si="71"/>
        <v>-7.968079081534743E-2</v>
      </c>
      <c r="X156" s="66">
        <f t="shared" si="72"/>
        <v>-6.4928431801935596E-2</v>
      </c>
      <c r="Y156" s="66">
        <f t="shared" si="73"/>
        <v>-1.6003729541259004E-2</v>
      </c>
      <c r="Z156" s="66">
        <f t="shared" si="74"/>
        <v>-0.10327037120238165</v>
      </c>
      <c r="AA156" s="66">
        <f t="shared" si="75"/>
        <v>3.7133695843257666E-2</v>
      </c>
      <c r="AB156" s="66">
        <f t="shared" si="76"/>
        <v>-6.0745953486022082E-2</v>
      </c>
      <c r="AC156" s="66">
        <f t="shared" si="77"/>
        <v>-2.9243581891465701E-2</v>
      </c>
      <c r="AD156" s="66">
        <f t="shared" si="78"/>
        <v>-2.5927798506631537E-2</v>
      </c>
      <c r="AE156" s="66">
        <f t="shared" si="79"/>
        <v>-4.1013977366666669E-2</v>
      </c>
    </row>
    <row r="157" spans="2:31" ht="16" customHeight="1" x14ac:dyDescent="0.2">
      <c r="B157" s="91">
        <v>44957</v>
      </c>
      <c r="C157" s="66">
        <f>AIRBUS!D152</f>
        <v>3.4408226517964401E-2</v>
      </c>
      <c r="D157" s="66">
        <f>BNP!D152</f>
        <v>0.18122062760957652</v>
      </c>
      <c r="E157" s="66">
        <f>CAPGEMINI!D152</f>
        <v>0.11510091050398734</v>
      </c>
      <c r="F157" s="66">
        <f>DANONE!D152</f>
        <v>2.1937901209794469E-2</v>
      </c>
      <c r="G157" s="66">
        <f>ENGIE!D152</f>
        <v>-2.7487221737612495E-2</v>
      </c>
      <c r="H157" s="66">
        <f>'HERMES INTL'!D152</f>
        <v>0.18650521677537421</v>
      </c>
      <c r="I157" s="66">
        <f>'PERNOD RICARD'!D152</f>
        <v>3.3469383666951749E-2</v>
      </c>
      <c r="J157" s="66">
        <f>RENAULT!D152</f>
        <v>0.19072740511361369</v>
      </c>
      <c r="K157" s="66">
        <f>SANOFI!D152</f>
        <v>-1.8922262491071829E-3</v>
      </c>
      <c r="L157" s="66">
        <f>'SCHNEIDER ELECTRIC'!D152</f>
        <v>0.13463900278314864</v>
      </c>
      <c r="M157" s="66">
        <f>TOTALENERGIES!D152</f>
        <v>-1.1654006047598121E-2</v>
      </c>
      <c r="N157" s="66">
        <f>VINCI!D152</f>
        <v>0.11094451945620003</v>
      </c>
      <c r="O157" s="66">
        <f>MARKET!D152</f>
        <v>9.4019577199999996E-2</v>
      </c>
      <c r="P157" s="92">
        <f>INTERBANK!D151</f>
        <v>1.954166666666667E-3</v>
      </c>
      <c r="R157" s="91">
        <v>44957</v>
      </c>
      <c r="S157" s="66">
        <f t="shared" si="67"/>
        <v>3.2454059851297734E-2</v>
      </c>
      <c r="T157" s="66">
        <f t="shared" si="68"/>
        <v>0.17926646094290985</v>
      </c>
      <c r="U157" s="66">
        <f t="shared" si="69"/>
        <v>0.11314674383732067</v>
      </c>
      <c r="V157" s="66">
        <f t="shared" si="70"/>
        <v>1.9983734543127803E-2</v>
      </c>
      <c r="W157" s="66">
        <f t="shared" si="71"/>
        <v>-2.9441388404279161E-2</v>
      </c>
      <c r="X157" s="66">
        <f t="shared" si="72"/>
        <v>0.18455105010870754</v>
      </c>
      <c r="Y157" s="66">
        <f t="shared" si="73"/>
        <v>3.1515217000285083E-2</v>
      </c>
      <c r="Z157" s="66">
        <f t="shared" si="74"/>
        <v>0.18877323844694702</v>
      </c>
      <c r="AA157" s="66">
        <f t="shared" si="75"/>
        <v>-3.8463929157738497E-3</v>
      </c>
      <c r="AB157" s="66">
        <f t="shared" si="76"/>
        <v>0.13268483611648196</v>
      </c>
      <c r="AC157" s="66">
        <f t="shared" si="77"/>
        <v>-1.3608172714264788E-2</v>
      </c>
      <c r="AD157" s="66">
        <f t="shared" si="78"/>
        <v>0.10899035278953335</v>
      </c>
      <c r="AE157" s="66">
        <f t="shared" si="79"/>
        <v>9.2065410533333322E-2</v>
      </c>
    </row>
    <row r="158" spans="2:31" ht="16" customHeight="1" x14ac:dyDescent="0.2">
      <c r="B158" s="91">
        <v>44985</v>
      </c>
      <c r="C158" s="66">
        <f>AIRBUS!D153</f>
        <v>7.9937320994738631E-2</v>
      </c>
      <c r="D158" s="66">
        <f>BNP!D153</f>
        <v>5.1669357386091685E-2</v>
      </c>
      <c r="E158" s="66">
        <f>CAPGEMINI!D153</f>
        <v>2.2714322714323373E-2</v>
      </c>
      <c r="F158" s="66">
        <f>DANONE!D153</f>
        <v>5.8238914083152495E-2</v>
      </c>
      <c r="G158" s="66">
        <f>ENGIE!D153</f>
        <v>6.2672818751231915E-2</v>
      </c>
      <c r="H158" s="66">
        <f>'HERMES INTL'!D153</f>
        <v>5.8327992887987744E-4</v>
      </c>
      <c r="I158" s="66">
        <f>'PERNOD RICARD'!D153</f>
        <v>4.1074337153791794E-2</v>
      </c>
      <c r="J158" s="66">
        <f>RENAULT!D153</f>
        <v>0.14044049518399951</v>
      </c>
      <c r="K158" s="66">
        <f>SANOFI!D153</f>
        <v>-8.6985346457190606E-3</v>
      </c>
      <c r="L158" s="66">
        <f>'SCHNEIDER ELECTRIC'!D153</f>
        <v>2.5620093626332077E-2</v>
      </c>
      <c r="M158" s="66">
        <f>TOTALENERGIES!D153</f>
        <v>4.014159730793343E-2</v>
      </c>
      <c r="N158" s="66">
        <f>VINCI!D153</f>
        <v>4.0524712232412947E-2</v>
      </c>
      <c r="O158" s="66">
        <f>MARKET!D153</f>
        <v>2.6193060600000002E-2</v>
      </c>
      <c r="P158" s="92">
        <f>INTERBANK!D152</f>
        <v>2.2000000000000001E-3</v>
      </c>
      <c r="R158" s="91">
        <v>44985</v>
      </c>
      <c r="S158" s="66">
        <f t="shared" si="67"/>
        <v>7.7737320994738637E-2</v>
      </c>
      <c r="T158" s="66">
        <f t="shared" si="68"/>
        <v>4.9469357386091685E-2</v>
      </c>
      <c r="U158" s="66">
        <f t="shared" si="69"/>
        <v>2.0514322714323373E-2</v>
      </c>
      <c r="V158" s="66">
        <f t="shared" si="70"/>
        <v>5.6038914083152494E-2</v>
      </c>
      <c r="W158" s="66">
        <f t="shared" si="71"/>
        <v>6.0472818751231915E-2</v>
      </c>
      <c r="X158" s="66">
        <f t="shared" si="72"/>
        <v>-1.6167200711201227E-3</v>
      </c>
      <c r="Y158" s="66">
        <f t="shared" si="73"/>
        <v>3.8874337153791794E-2</v>
      </c>
      <c r="Z158" s="66">
        <f t="shared" si="74"/>
        <v>0.1382404951839995</v>
      </c>
      <c r="AA158" s="66">
        <f t="shared" si="75"/>
        <v>-1.0898534645719061E-2</v>
      </c>
      <c r="AB158" s="66">
        <f t="shared" si="76"/>
        <v>2.3420093626332076E-2</v>
      </c>
      <c r="AC158" s="66">
        <f t="shared" si="77"/>
        <v>3.7941597307933429E-2</v>
      </c>
      <c r="AD158" s="66">
        <f t="shared" si="78"/>
        <v>3.8324712232412947E-2</v>
      </c>
      <c r="AE158" s="66">
        <f t="shared" si="79"/>
        <v>2.3993060600000001E-2</v>
      </c>
    </row>
    <row r="159" spans="2:31" ht="16" customHeight="1" x14ac:dyDescent="0.2">
      <c r="B159" s="91">
        <v>45016</v>
      </c>
      <c r="C159" s="66">
        <f>AIRBUS!D154</f>
        <v>-5.9667991042690587E-3</v>
      </c>
      <c r="D159" s="66">
        <f>BNP!D154</f>
        <v>-0.16538174141923426</v>
      </c>
      <c r="E159" s="66">
        <f>CAPGEMINI!D154</f>
        <v>-3.9921343751602674E-2</v>
      </c>
      <c r="F159" s="66">
        <f>DANONE!D154</f>
        <v>7.6446218622729406E-2</v>
      </c>
      <c r="G159" s="66">
        <f>ENGIE!D154</f>
        <v>5.3339187217541786E-2</v>
      </c>
      <c r="H159" s="66">
        <f>'HERMES INTL'!D154</f>
        <v>8.8744933225082701E-2</v>
      </c>
      <c r="I159" s="66">
        <f>'PERNOD RICARD'!D154</f>
        <v>5.563984642812448E-2</v>
      </c>
      <c r="J159" s="66">
        <f>RENAULT!D154</f>
        <v>-0.11466940355848716</v>
      </c>
      <c r="K159" s="66">
        <f>SANOFI!D154</f>
        <v>0.12768593857160188</v>
      </c>
      <c r="L159" s="66">
        <f>'SCHNEIDER ELECTRIC'!D154</f>
        <v>1.0255124654677249E-2</v>
      </c>
      <c r="M159" s="66">
        <f>TOTALENERGIES!D154</f>
        <v>-7.1879811603573165E-2</v>
      </c>
      <c r="N159" s="66">
        <f>VINCI!D154</f>
        <v>-1.9658699364837776E-2</v>
      </c>
      <c r="O159" s="66">
        <f>MARKET!D154</f>
        <v>7.4931870999999997E-3</v>
      </c>
      <c r="P159" s="92">
        <f>INTERBANK!D153</f>
        <v>2.4258333333333332E-3</v>
      </c>
      <c r="R159" s="91">
        <v>45016</v>
      </c>
      <c r="S159" s="66">
        <f t="shared" si="67"/>
        <v>-8.3926324376023924E-3</v>
      </c>
      <c r="T159" s="66">
        <f t="shared" si="68"/>
        <v>-0.16780757475256758</v>
      </c>
      <c r="U159" s="66">
        <f t="shared" si="69"/>
        <v>-4.2347177084936009E-2</v>
      </c>
      <c r="V159" s="66">
        <f t="shared" si="70"/>
        <v>7.4020385289396071E-2</v>
      </c>
      <c r="W159" s="66">
        <f t="shared" si="71"/>
        <v>5.0913353884208451E-2</v>
      </c>
      <c r="X159" s="66">
        <f t="shared" si="72"/>
        <v>8.6319099891749365E-2</v>
      </c>
      <c r="Y159" s="66">
        <f t="shared" si="73"/>
        <v>5.3214013094791145E-2</v>
      </c>
      <c r="Z159" s="66">
        <f t="shared" si="74"/>
        <v>-0.1170952368918205</v>
      </c>
      <c r="AA159" s="66">
        <f t="shared" si="75"/>
        <v>0.12526010523826855</v>
      </c>
      <c r="AB159" s="66">
        <f t="shared" si="76"/>
        <v>7.8292913213439154E-3</v>
      </c>
      <c r="AC159" s="66">
        <f t="shared" si="77"/>
        <v>-7.4305644936906501E-2</v>
      </c>
      <c r="AD159" s="66">
        <f t="shared" si="78"/>
        <v>-2.2084532698171108E-2</v>
      </c>
      <c r="AE159" s="66">
        <f t="shared" si="79"/>
        <v>5.0673537666666661E-3</v>
      </c>
    </row>
    <row r="160" spans="2:31" ht="16" customHeight="1" x14ac:dyDescent="0.2">
      <c r="B160" s="91">
        <v>45046</v>
      </c>
      <c r="C160" s="66">
        <f>AIRBUS!D155</f>
        <v>3.1310839745856765E-2</v>
      </c>
      <c r="D160" s="66">
        <f>BNP!D155</f>
        <v>6.1220862810101029E-2</v>
      </c>
      <c r="E160" s="66">
        <f>CAPGEMINI!D155</f>
        <v>-3.4260719598553389E-2</v>
      </c>
      <c r="F160" s="66">
        <f>DANONE!D155</f>
        <v>4.6763181965669982E-2</v>
      </c>
      <c r="G160" s="66">
        <f>ENGIE!D155</f>
        <v>-3.9798238364777208E-3</v>
      </c>
      <c r="H160" s="66">
        <f>'HERMES INTL'!D155</f>
        <v>5.5150328811920078E-2</v>
      </c>
      <c r="I160" s="66">
        <f>'PERNOD RICARD'!D155</f>
        <v>3.3540224980948305E-3</v>
      </c>
      <c r="J160" s="66">
        <f>RENAULT!D155</f>
        <v>-0.10558495305459287</v>
      </c>
      <c r="K160" s="66">
        <f>SANOFI!D155</f>
        <v>-2.3942198752014594E-3</v>
      </c>
      <c r="L160" s="66">
        <f>'SCHNEIDER ELECTRIC'!D155</f>
        <v>2.6939237549630502E-2</v>
      </c>
      <c r="M160" s="66">
        <f>TOTALENERGIES!D155</f>
        <v>7.934662621288377E-2</v>
      </c>
      <c r="N160" s="66">
        <f>VINCI!D155</f>
        <v>6.1293832726177867E-2</v>
      </c>
      <c r="O160" s="66">
        <f>MARKET!D155</f>
        <v>2.30948994E-2</v>
      </c>
      <c r="P160" s="92">
        <f>INTERBANK!D154</f>
        <v>2.6391666666666664E-3</v>
      </c>
      <c r="R160" s="91">
        <v>45046</v>
      </c>
      <c r="S160" s="66">
        <f t="shared" si="67"/>
        <v>2.8671673079190101E-2</v>
      </c>
      <c r="T160" s="66">
        <f t="shared" si="68"/>
        <v>5.8581696143434364E-2</v>
      </c>
      <c r="U160" s="66">
        <f t="shared" si="69"/>
        <v>-3.6899886265220054E-2</v>
      </c>
      <c r="V160" s="66">
        <f t="shared" si="70"/>
        <v>4.4124015299003318E-2</v>
      </c>
      <c r="W160" s="66">
        <f t="shared" si="71"/>
        <v>-6.6189905031443872E-3</v>
      </c>
      <c r="X160" s="66">
        <f t="shared" si="72"/>
        <v>5.2511162145253414E-2</v>
      </c>
      <c r="Y160" s="66">
        <f t="shared" si="73"/>
        <v>7.1485583142816408E-4</v>
      </c>
      <c r="Z160" s="66">
        <f t="shared" si="74"/>
        <v>-0.10822411972125953</v>
      </c>
      <c r="AA160" s="66">
        <f t="shared" si="75"/>
        <v>-5.0333865418681258E-3</v>
      </c>
      <c r="AB160" s="66">
        <f t="shared" si="76"/>
        <v>2.4300070882963834E-2</v>
      </c>
      <c r="AC160" s="66">
        <f t="shared" si="77"/>
        <v>7.6707459546217105E-2</v>
      </c>
      <c r="AD160" s="66">
        <f t="shared" si="78"/>
        <v>5.8654666059511203E-2</v>
      </c>
      <c r="AE160" s="66">
        <f t="shared" si="79"/>
        <v>2.0455732733333336E-2</v>
      </c>
    </row>
    <row r="161" spans="2:31" ht="16" customHeight="1" x14ac:dyDescent="0.2">
      <c r="B161" s="91">
        <v>45077</v>
      </c>
      <c r="C161" s="66">
        <f>AIRBUS!D156</f>
        <v>-2.2459622254650428E-2</v>
      </c>
      <c r="D161" s="66">
        <f>BNP!D156</f>
        <v>-7.8170373838603632E-2</v>
      </c>
      <c r="E161" s="66">
        <f>CAPGEMINI!D156</f>
        <v>-1.2734922861149679E-2</v>
      </c>
      <c r="F161" s="66">
        <f>DANONE!D156</f>
        <v>-7.7512851681556347E-2</v>
      </c>
      <c r="G161" s="66">
        <f>ENGIE!D156</f>
        <v>6.402591238241763E-2</v>
      </c>
      <c r="H161" s="66">
        <f>'HERMES INTL'!D156</f>
        <v>-2.8465935355551569E-2</v>
      </c>
      <c r="I161" s="66">
        <f>'PERNOD RICARD'!D156</f>
        <v>-3.4861367282018788E-2</v>
      </c>
      <c r="J161" s="66">
        <f>RENAULT!D156</f>
        <v>-6.9729507728199608E-2</v>
      </c>
      <c r="K161" s="66">
        <f>SANOFI!D156</f>
        <v>-5.1199961446331037E-2</v>
      </c>
      <c r="L161" s="66">
        <f>'SCHNEIDER ELECTRIC'!D156</f>
        <v>2.2303769247216252E-2</v>
      </c>
      <c r="M161" s="66">
        <f>TOTALENERGIES!D156</f>
        <v>-8.3879917029438547E-2</v>
      </c>
      <c r="N161" s="66">
        <f>VINCI!D156</f>
        <v>-2.6103721044176395E-2</v>
      </c>
      <c r="O161" s="66">
        <f>MARKET!D156</f>
        <v>-5.2432731099999998E-2</v>
      </c>
      <c r="P161" s="92">
        <f>INTERBANK!D155</f>
        <v>2.8050000000000002E-3</v>
      </c>
      <c r="R161" s="91">
        <v>45077</v>
      </c>
      <c r="S161" s="66">
        <f t="shared" si="67"/>
        <v>-2.5264622254650426E-2</v>
      </c>
      <c r="T161" s="66">
        <f t="shared" si="68"/>
        <v>-8.0975373838603634E-2</v>
      </c>
      <c r="U161" s="66">
        <f t="shared" si="69"/>
        <v>-1.5539922861149679E-2</v>
      </c>
      <c r="V161" s="66">
        <f t="shared" si="70"/>
        <v>-8.0317851681556349E-2</v>
      </c>
      <c r="W161" s="66">
        <f t="shared" si="71"/>
        <v>6.1220912382417628E-2</v>
      </c>
      <c r="X161" s="66">
        <f t="shared" si="72"/>
        <v>-3.1270935355551567E-2</v>
      </c>
      <c r="Y161" s="66">
        <f t="shared" si="73"/>
        <v>-3.7666367282018789E-2</v>
      </c>
      <c r="Z161" s="66">
        <f t="shared" si="74"/>
        <v>-7.253450772819961E-2</v>
      </c>
      <c r="AA161" s="66">
        <f t="shared" si="75"/>
        <v>-5.4004961446331039E-2</v>
      </c>
      <c r="AB161" s="66">
        <f t="shared" si="76"/>
        <v>1.9498769247216254E-2</v>
      </c>
      <c r="AC161" s="66">
        <f t="shared" si="77"/>
        <v>-8.6684917029438549E-2</v>
      </c>
      <c r="AD161" s="66">
        <f t="shared" si="78"/>
        <v>-2.8908721044176397E-2</v>
      </c>
      <c r="AE161" s="66">
        <f t="shared" si="79"/>
        <v>-5.52377311E-2</v>
      </c>
    </row>
    <row r="162" spans="2:31" ht="16" customHeight="1" x14ac:dyDescent="0.2">
      <c r="B162" s="91">
        <v>45107</v>
      </c>
      <c r="C162" s="66">
        <f>AIRBUS!D157</f>
        <v>8.0137068237935802E-2</v>
      </c>
      <c r="D162" s="66">
        <f>BNP!D157</f>
        <v>0.14318422410971646</v>
      </c>
      <c r="E162" s="66">
        <f>CAPGEMINI!D157</f>
        <v>8.8493080231811364E-2</v>
      </c>
      <c r="F162" s="66">
        <f>DANONE!D157</f>
        <v>4.9150163857953337E-2</v>
      </c>
      <c r="G162" s="66">
        <f>ENGIE!D157</f>
        <v>8.4460838143775266E-2</v>
      </c>
      <c r="H162" s="66">
        <f>'HERMES INTL'!D157</f>
        <v>4.6377100957943625E-2</v>
      </c>
      <c r="I162" s="66">
        <f>'PERNOD RICARD'!D157</f>
        <v>1.484286055837659E-3</v>
      </c>
      <c r="J162" s="66">
        <f>RENAULT!D157</f>
        <v>0.24270161727274003</v>
      </c>
      <c r="K162" s="66">
        <f>SANOFI!D157</f>
        <v>7.3617897450145006E-2</v>
      </c>
      <c r="L162" s="66">
        <f>'SCHNEIDER ELECTRIC'!D157</f>
        <v>5.2614248542550091E-2</v>
      </c>
      <c r="M162" s="66">
        <f>TOTALENERGIES!D157</f>
        <v>-9.9849210773715318E-3</v>
      </c>
      <c r="N162" s="66">
        <f>VINCI!D157</f>
        <v>5.6430752174540686E-4</v>
      </c>
      <c r="O162" s="66">
        <f>MARKET!D157</f>
        <v>4.2452823100000002E-2</v>
      </c>
      <c r="P162" s="92">
        <f>INTERBANK!D156</f>
        <v>2.9466666666666669E-3</v>
      </c>
      <c r="R162" s="91">
        <v>45107</v>
      </c>
      <c r="S162" s="66">
        <f t="shared" si="67"/>
        <v>7.7190401571269135E-2</v>
      </c>
      <c r="T162" s="66">
        <f t="shared" si="68"/>
        <v>0.14023755744304978</v>
      </c>
      <c r="U162" s="66">
        <f t="shared" si="69"/>
        <v>8.5546413565144697E-2</v>
      </c>
      <c r="V162" s="66">
        <f t="shared" si="70"/>
        <v>4.620349719128667E-2</v>
      </c>
      <c r="W162" s="66">
        <f t="shared" si="71"/>
        <v>8.1514171477108599E-2</v>
      </c>
      <c r="X162" s="66">
        <f t="shared" si="72"/>
        <v>4.3430434291276958E-2</v>
      </c>
      <c r="Y162" s="66">
        <f t="shared" si="73"/>
        <v>-1.4623806108290079E-3</v>
      </c>
      <c r="Z162" s="66">
        <f t="shared" si="74"/>
        <v>0.23975495060607338</v>
      </c>
      <c r="AA162" s="66">
        <f t="shared" si="75"/>
        <v>7.0671230783478339E-2</v>
      </c>
      <c r="AB162" s="66">
        <f t="shared" si="76"/>
        <v>4.9667581875883424E-2</v>
      </c>
      <c r="AC162" s="66">
        <f t="shared" si="77"/>
        <v>-1.2931587744038199E-2</v>
      </c>
      <c r="AD162" s="66">
        <f t="shared" si="78"/>
        <v>-2.38235914492126E-3</v>
      </c>
      <c r="AE162" s="66">
        <f t="shared" si="79"/>
        <v>3.9506156433333335E-2</v>
      </c>
    </row>
    <row r="163" spans="2:31" ht="16" customHeight="1" x14ac:dyDescent="0.2">
      <c r="B163" s="91">
        <v>45138</v>
      </c>
      <c r="C163" s="66">
        <f>AIRBUS!D158</f>
        <v>1.223932945787504E-2</v>
      </c>
      <c r="D163" s="66">
        <f>BNP!D158</f>
        <v>3.9847542537555861E-2</v>
      </c>
      <c r="E163" s="66">
        <f>CAPGEMINI!D158</f>
        <v>-5.0129657330346168E-2</v>
      </c>
      <c r="F163" s="66">
        <f>DANONE!D158</f>
        <v>-1.0865720777713257E-2</v>
      </c>
      <c r="G163" s="66">
        <f>ENGIE!D158</f>
        <v>-2.0751257650842268E-2</v>
      </c>
      <c r="H163" s="66">
        <f>'HERMES INTL'!D158</f>
        <v>1.3316512150364486E-2</v>
      </c>
      <c r="I163" s="66">
        <f>'PERNOD RICARD'!D158</f>
        <v>-8.893261273308202E-3</v>
      </c>
      <c r="J163" s="66">
        <f>RENAULT!D158</f>
        <v>3.4344192090920288E-2</v>
      </c>
      <c r="K163" s="66">
        <f>SANOFI!D158</f>
        <v>-1.1303498747050259E-2</v>
      </c>
      <c r="L163" s="66">
        <f>'SCHNEIDER ELECTRIC'!D158</f>
        <v>-2.6553054256141715E-2</v>
      </c>
      <c r="M163" s="66">
        <f>TOTALENERGIES!D158</f>
        <v>6.6414653479928518E-2</v>
      </c>
      <c r="N163" s="66">
        <f>VINCI!D158</f>
        <v>3.7601378266909368E-3</v>
      </c>
      <c r="O163" s="66">
        <f>MARKET!D158</f>
        <v>1.32052613E-2</v>
      </c>
      <c r="P163" s="92">
        <f>INTERBANK!D157</f>
        <v>3.0600000000000002E-3</v>
      </c>
      <c r="R163" s="91">
        <v>45138</v>
      </c>
      <c r="S163" s="66">
        <f t="shared" si="67"/>
        <v>9.1793294578750399E-3</v>
      </c>
      <c r="T163" s="66">
        <f t="shared" si="68"/>
        <v>3.678754253755586E-2</v>
      </c>
      <c r="U163" s="66">
        <f t="shared" si="69"/>
        <v>-5.3189657330346168E-2</v>
      </c>
      <c r="V163" s="66">
        <f t="shared" si="70"/>
        <v>-1.3925720777713257E-2</v>
      </c>
      <c r="W163" s="66">
        <f t="shared" si="71"/>
        <v>-2.3811257650842268E-2</v>
      </c>
      <c r="X163" s="66">
        <f t="shared" si="72"/>
        <v>1.0256512150364485E-2</v>
      </c>
      <c r="Y163" s="66">
        <f t="shared" si="73"/>
        <v>-1.1953261273308202E-2</v>
      </c>
      <c r="Z163" s="66">
        <f t="shared" si="74"/>
        <v>3.1284192090920288E-2</v>
      </c>
      <c r="AA163" s="66">
        <f t="shared" si="75"/>
        <v>-1.4363498747050259E-2</v>
      </c>
      <c r="AB163" s="66">
        <f t="shared" si="76"/>
        <v>-2.9613054256141715E-2</v>
      </c>
      <c r="AC163" s="66">
        <f t="shared" si="77"/>
        <v>6.3354653479928524E-2</v>
      </c>
      <c r="AD163" s="66">
        <f t="shared" si="78"/>
        <v>7.0013782669093661E-4</v>
      </c>
      <c r="AE163" s="66">
        <f t="shared" si="79"/>
        <v>1.01452613E-2</v>
      </c>
    </row>
    <row r="164" spans="2:31" ht="16" customHeight="1" x14ac:dyDescent="0.2">
      <c r="B164" s="91">
        <v>45169</v>
      </c>
      <c r="C164" s="66">
        <f>AIRBUS!D159</f>
        <v>1.0449376008822881E-2</v>
      </c>
      <c r="D164" s="66">
        <f>BNP!D159</f>
        <v>-5.1649794370642044E-3</v>
      </c>
      <c r="E164" s="66">
        <f>CAPGEMINI!D159</f>
        <v>4.5495903266557648E-2</v>
      </c>
      <c r="F164" s="66">
        <f>DANONE!D159</f>
        <v>-3.0614056171971878E-2</v>
      </c>
      <c r="G164" s="66">
        <f>ENGIE!D159</f>
        <v>-1.4753004432307021E-3</v>
      </c>
      <c r="H164" s="66">
        <f>'HERMES INTL'!D159</f>
        <v>-5.73765299556383E-2</v>
      </c>
      <c r="I164" s="66">
        <f>'PERNOD RICARD'!D159</f>
        <v>-8.7504506005810209E-2</v>
      </c>
      <c r="J164" s="66">
        <f>RENAULT!D159</f>
        <v>-6.4403095421041417E-2</v>
      </c>
      <c r="K164" s="66">
        <f>SANOFI!D159</f>
        <v>1.5964617141419665E-2</v>
      </c>
      <c r="L164" s="66">
        <f>'SCHNEIDER ELECTRIC'!D159</f>
        <v>-2.1352724835855354E-2</v>
      </c>
      <c r="M164" s="66">
        <f>TOTALENERGIES!D159</f>
        <v>5.0850473495026825E-2</v>
      </c>
      <c r="N164" s="66">
        <f>VINCI!D159</f>
        <v>-3.5774500742856083E-2</v>
      </c>
      <c r="O164" s="66">
        <f>MARKET!D159</f>
        <v>-2.41510947E-2</v>
      </c>
      <c r="P164" s="92">
        <f>INTERBANK!D158</f>
        <v>3.15E-3</v>
      </c>
      <c r="R164" s="91">
        <v>45169</v>
      </c>
      <c r="S164" s="66">
        <f t="shared" si="67"/>
        <v>7.2993760088228814E-3</v>
      </c>
      <c r="T164" s="66">
        <f t="shared" si="68"/>
        <v>-8.3149794370642044E-3</v>
      </c>
      <c r="U164" s="66">
        <f t="shared" si="69"/>
        <v>4.2345903266557648E-2</v>
      </c>
      <c r="V164" s="66">
        <f t="shared" si="70"/>
        <v>-3.3764056171971882E-2</v>
      </c>
      <c r="W164" s="66">
        <f t="shared" si="71"/>
        <v>-4.6253004432307019E-3</v>
      </c>
      <c r="X164" s="66">
        <f t="shared" si="72"/>
        <v>-6.05265299556383E-2</v>
      </c>
      <c r="Y164" s="66">
        <f t="shared" si="73"/>
        <v>-9.0654506005810209E-2</v>
      </c>
      <c r="Z164" s="66">
        <f t="shared" si="74"/>
        <v>-6.7553095421041418E-2</v>
      </c>
      <c r="AA164" s="66">
        <f t="shared" si="75"/>
        <v>1.2814617141419665E-2</v>
      </c>
      <c r="AB164" s="66">
        <f t="shared" si="76"/>
        <v>-2.4502724835855354E-2</v>
      </c>
      <c r="AC164" s="66">
        <f t="shared" si="77"/>
        <v>4.7700473495026825E-2</v>
      </c>
      <c r="AD164" s="66">
        <f t="shared" si="78"/>
        <v>-3.8924500742856083E-2</v>
      </c>
      <c r="AE164" s="66">
        <f t="shared" si="79"/>
        <v>-2.73010947E-2</v>
      </c>
    </row>
    <row r="165" spans="2:31" ht="16" customHeight="1" x14ac:dyDescent="0.2">
      <c r="B165" s="91">
        <v>45199</v>
      </c>
      <c r="C165" s="66">
        <f>AIRBUS!D160</f>
        <v>-6.2047542521710207E-2</v>
      </c>
      <c r="D165" s="66">
        <f>BNP!D160</f>
        <v>1.2058328575382599E-2</v>
      </c>
      <c r="E165" s="66">
        <f>CAPGEMINI!D160</f>
        <v>-3.8004063505881133E-2</v>
      </c>
      <c r="F165" s="66">
        <f>DANONE!D160</f>
        <v>-2.9165900556956056E-2</v>
      </c>
      <c r="G165" s="66">
        <f>ENGIE!D160</f>
        <v>-2.4177343372310346E-2</v>
      </c>
      <c r="H165" s="66">
        <f>'HERMES INTL'!D160</f>
        <v>-8.9962105489189412E-2</v>
      </c>
      <c r="I165" s="66">
        <f>'PERNOD RICARD'!D160</f>
        <v>-0.12886303936944565</v>
      </c>
      <c r="J165" s="66">
        <f>RENAULT!D160</f>
        <v>4.1248258503334682E-2</v>
      </c>
      <c r="K165" s="66">
        <f>SANOFI!D160</f>
        <v>2.8791656248162666E-2</v>
      </c>
      <c r="L165" s="66">
        <f>'SCHNEIDER ELECTRIC'!D160</f>
        <v>-1.0089590585764818E-2</v>
      </c>
      <c r="M165" s="66">
        <f>TOTALENERGIES!D160</f>
        <v>7.3015436247831758E-2</v>
      </c>
      <c r="N165" s="66">
        <f>VINCI!D160</f>
        <v>2.0007829150537153E-2</v>
      </c>
      <c r="O165" s="66">
        <f>MARKET!D160</f>
        <v>-2.4825417499999999E-2</v>
      </c>
      <c r="P165" s="92">
        <f>INTERBANK!D159</f>
        <v>3.2333333333333333E-3</v>
      </c>
      <c r="R165" s="91">
        <v>45199</v>
      </c>
      <c r="S165" s="66">
        <f t="shared" si="67"/>
        <v>-6.5280875855043538E-2</v>
      </c>
      <c r="T165" s="66">
        <f t="shared" si="68"/>
        <v>8.8249952420492665E-3</v>
      </c>
      <c r="U165" s="66">
        <f t="shared" si="69"/>
        <v>-4.1237396839214464E-2</v>
      </c>
      <c r="V165" s="66">
        <f t="shared" si="70"/>
        <v>-3.239923389028939E-2</v>
      </c>
      <c r="W165" s="66">
        <f t="shared" si="71"/>
        <v>-2.7410676705643681E-2</v>
      </c>
      <c r="X165" s="66">
        <f t="shared" si="72"/>
        <v>-9.319543882252275E-2</v>
      </c>
      <c r="Y165" s="66">
        <f t="shared" si="73"/>
        <v>-0.13209637270277899</v>
      </c>
      <c r="Z165" s="66">
        <f t="shared" si="74"/>
        <v>3.8014925170001351E-2</v>
      </c>
      <c r="AA165" s="66">
        <f t="shared" si="75"/>
        <v>2.5558322914829332E-2</v>
      </c>
      <c r="AB165" s="66">
        <f t="shared" si="76"/>
        <v>-1.332292391909815E-2</v>
      </c>
      <c r="AC165" s="66">
        <f t="shared" si="77"/>
        <v>6.978210291449842E-2</v>
      </c>
      <c r="AD165" s="66">
        <f t="shared" si="78"/>
        <v>1.6774495817203819E-2</v>
      </c>
      <c r="AE165" s="66">
        <f t="shared" si="79"/>
        <v>-2.8058750833333333E-2</v>
      </c>
    </row>
    <row r="166" spans="2:31" ht="16" customHeight="1" x14ac:dyDescent="0.2">
      <c r="B166" s="91">
        <v>45230</v>
      </c>
      <c r="C166" s="66">
        <f>AIRBUS!D161</f>
        <v>-5.5127703335112058E-3</v>
      </c>
      <c r="D166" s="66">
        <f>BNP!D161</f>
        <v>-0.10160523610788305</v>
      </c>
      <c r="E166" s="66">
        <f>CAPGEMINI!D161</f>
        <v>4.2219310156974199E-3</v>
      </c>
      <c r="F166" s="66">
        <f>DANONE!D161</f>
        <v>7.4435509803718644E-2</v>
      </c>
      <c r="G166" s="66">
        <f>ENGIE!D161</f>
        <v>3.262225590332065E-2</v>
      </c>
      <c r="H166" s="66">
        <f>'HERMES INTL'!D161</f>
        <v>1.7227374341962934E-2</v>
      </c>
      <c r="I166" s="66">
        <f>'PERNOD RICARD'!D161</f>
        <v>6.1133932924893164E-2</v>
      </c>
      <c r="J166" s="66">
        <f>RENAULT!D161</f>
        <v>-0.14983923819558659</v>
      </c>
      <c r="K166" s="66">
        <f>SANOFI!D161</f>
        <v>-0.15549867305503418</v>
      </c>
      <c r="L166" s="66">
        <f>'SCHNEIDER ELECTRIC'!D161</f>
        <v>-7.6442758164955188E-2</v>
      </c>
      <c r="M166" s="66">
        <f>TOTALENERGIES!D161</f>
        <v>2.6331114380239485E-2</v>
      </c>
      <c r="N166" s="66">
        <f>VINCI!D161</f>
        <v>-5.1419536575791E-3</v>
      </c>
      <c r="O166" s="66">
        <f>MARKET!D161</f>
        <v>-3.4955579100000002E-2</v>
      </c>
      <c r="P166" s="92">
        <f>INTERBANK!D160</f>
        <v>3.3066666666666665E-3</v>
      </c>
      <c r="R166" s="91">
        <v>45230</v>
      </c>
      <c r="S166" s="66">
        <f t="shared" si="67"/>
        <v>-8.8194370001778728E-3</v>
      </c>
      <c r="T166" s="66">
        <f t="shared" si="68"/>
        <v>-0.10491190277454972</v>
      </c>
      <c r="U166" s="66">
        <f t="shared" si="69"/>
        <v>9.1526434903075335E-4</v>
      </c>
      <c r="V166" s="66">
        <f t="shared" si="70"/>
        <v>7.1128843137051978E-2</v>
      </c>
      <c r="W166" s="66">
        <f t="shared" si="71"/>
        <v>2.9315589236653984E-2</v>
      </c>
      <c r="X166" s="66">
        <f t="shared" si="72"/>
        <v>1.3920707675296268E-2</v>
      </c>
      <c r="Y166" s="66">
        <f t="shared" si="73"/>
        <v>5.7827266258226498E-2</v>
      </c>
      <c r="Z166" s="66">
        <f t="shared" si="74"/>
        <v>-0.15314590486225327</v>
      </c>
      <c r="AA166" s="66">
        <f t="shared" si="75"/>
        <v>-0.15880533972170086</v>
      </c>
      <c r="AB166" s="66">
        <f t="shared" si="76"/>
        <v>-7.9749424831621854E-2</v>
      </c>
      <c r="AC166" s="66">
        <f t="shared" si="77"/>
        <v>2.3024447713572819E-2</v>
      </c>
      <c r="AD166" s="66">
        <f t="shared" si="78"/>
        <v>-8.4486203242457661E-3</v>
      </c>
      <c r="AE166" s="66">
        <f t="shared" si="79"/>
        <v>-3.8262245766666668E-2</v>
      </c>
    </row>
    <row r="167" spans="2:31" ht="16" customHeight="1" x14ac:dyDescent="0.2">
      <c r="B167" s="91">
        <v>45260</v>
      </c>
      <c r="C167" s="66">
        <f>AIRBUS!D162</f>
        <v>7.8555588063108014E-2</v>
      </c>
      <c r="D167" s="66">
        <f>BNP!D162</f>
        <v>6.4100178944031347E-2</v>
      </c>
      <c r="E167" s="66">
        <f>CAPGEMINI!D162</f>
        <v>0.12912914572764125</v>
      </c>
      <c r="F167" s="66">
        <f>DANONE!D162</f>
        <v>5.022271304267803E-2</v>
      </c>
      <c r="G167" s="66">
        <f>ENGIE!D162</f>
        <v>6.0917052129745491E-2</v>
      </c>
      <c r="H167" s="66">
        <f>'HERMES INTL'!D162</f>
        <v>8.2177716942681889E-2</v>
      </c>
      <c r="I167" s="66">
        <f>'PERNOD RICARD'!D162</f>
        <v>-5.3432816103878379E-2</v>
      </c>
      <c r="J167" s="66">
        <f>RENAULT!D162</f>
        <v>8.8956117910859014E-2</v>
      </c>
      <c r="K167" s="66">
        <f>SANOFI!D162</f>
        <v>-2.8004468866186776E-3</v>
      </c>
      <c r="L167" s="66">
        <f>'SCHNEIDER ELECTRIC'!D162</f>
        <v>0.16305688628223849</v>
      </c>
      <c r="M167" s="66">
        <f>TOTALENERGIES!D162</f>
        <v>-1.4873445896810158E-2</v>
      </c>
      <c r="N167" s="66">
        <f>VINCI!D162</f>
        <v>7.4846884507868486E-2</v>
      </c>
      <c r="O167" s="66">
        <f>MARKET!D162</f>
        <v>6.1740013400000002E-2</v>
      </c>
      <c r="P167" s="92">
        <f>INTERBANK!D161</f>
        <v>3.31E-3</v>
      </c>
      <c r="R167" s="91">
        <v>45260</v>
      </c>
      <c r="S167" s="66">
        <f t="shared" si="67"/>
        <v>7.5245588063108021E-2</v>
      </c>
      <c r="T167" s="66">
        <f t="shared" si="68"/>
        <v>6.0790178944031346E-2</v>
      </c>
      <c r="U167" s="66">
        <f t="shared" si="69"/>
        <v>0.12581914572764125</v>
      </c>
      <c r="V167" s="66">
        <f t="shared" si="70"/>
        <v>4.6912713042678029E-2</v>
      </c>
      <c r="W167" s="66">
        <f t="shared" si="71"/>
        <v>5.7607052129745491E-2</v>
      </c>
      <c r="X167" s="66">
        <f t="shared" si="72"/>
        <v>7.8867716942681895E-2</v>
      </c>
      <c r="Y167" s="66">
        <f t="shared" si="73"/>
        <v>-5.674281610387838E-2</v>
      </c>
      <c r="Z167" s="66">
        <f t="shared" si="74"/>
        <v>8.5646117910859021E-2</v>
      </c>
      <c r="AA167" s="66">
        <f t="shared" si="75"/>
        <v>-6.1104468866186781E-3</v>
      </c>
      <c r="AB167" s="66">
        <f t="shared" si="76"/>
        <v>0.15974688628223849</v>
      </c>
      <c r="AC167" s="66">
        <f t="shared" si="77"/>
        <v>-1.8183445896810157E-2</v>
      </c>
      <c r="AD167" s="66">
        <f t="shared" si="78"/>
        <v>7.1536884507868492E-2</v>
      </c>
      <c r="AE167" s="66">
        <f t="shared" si="79"/>
        <v>5.8430013400000001E-2</v>
      </c>
    </row>
    <row r="168" spans="2:31" ht="16" customHeight="1" x14ac:dyDescent="0.2">
      <c r="B168" s="91">
        <v>45291</v>
      </c>
      <c r="C168" s="66">
        <f>AIRBUS!D163</f>
        <v>2.6284911122603408E-2</v>
      </c>
      <c r="D168" s="66">
        <f>BNP!D163</f>
        <v>8.3434409232861079E-2</v>
      </c>
      <c r="E168" s="66">
        <f>CAPGEMINI!D163</f>
        <v>3.9893278075052675E-3</v>
      </c>
      <c r="F168" s="66">
        <f>DANONE!D163</f>
        <v>-4.917856366777538E-3</v>
      </c>
      <c r="G168" s="66">
        <f>ENGIE!D163</f>
        <v>0</v>
      </c>
      <c r="H168" s="66">
        <f>'HERMES INTL'!D163</f>
        <v>7.667302409509409E-3</v>
      </c>
      <c r="I168" s="66">
        <f>'PERNOD RICARD'!D163</f>
        <v>2.372289251397082E-2</v>
      </c>
      <c r="J168" s="66">
        <f>RENAULT!D163</f>
        <v>2.5423743492359426E-2</v>
      </c>
      <c r="K168" s="66">
        <f>SANOFI!D163</f>
        <v>5.0315943528175741E-2</v>
      </c>
      <c r="L168" s="66">
        <f>'SCHNEIDER ELECTRIC'!D163</f>
        <v>7.8045339895885302E-2</v>
      </c>
      <c r="M168" s="66">
        <f>TOTALENERGIES!D163</f>
        <v>-1.0600700916065263E-2</v>
      </c>
      <c r="N168" s="66">
        <f>VINCI!D163</f>
        <v>2.2491064886124023E-2</v>
      </c>
      <c r="O168" s="66">
        <f>MARKET!D163</f>
        <v>3.1790106300000003E-2</v>
      </c>
      <c r="P168" s="92">
        <f>INTERBANK!D162</f>
        <v>3.2775E-3</v>
      </c>
      <c r="R168" s="91">
        <v>45291</v>
      </c>
      <c r="S168" s="66">
        <f t="shared" si="67"/>
        <v>2.3007411122603409E-2</v>
      </c>
      <c r="T168" s="66">
        <f t="shared" si="68"/>
        <v>8.0156909232861076E-2</v>
      </c>
      <c r="U168" s="66">
        <f t="shared" si="69"/>
        <v>7.1182780750526746E-4</v>
      </c>
      <c r="V168" s="66">
        <f t="shared" si="70"/>
        <v>-8.195356366777538E-3</v>
      </c>
      <c r="W168" s="66">
        <f t="shared" si="71"/>
        <v>-3.2775E-3</v>
      </c>
      <c r="X168" s="66">
        <f t="shared" si="72"/>
        <v>4.389802409509409E-3</v>
      </c>
      <c r="Y168" s="66">
        <f t="shared" si="73"/>
        <v>2.044539251397082E-2</v>
      </c>
      <c r="Z168" s="66">
        <f t="shared" si="74"/>
        <v>2.2146243492359427E-2</v>
      </c>
      <c r="AA168" s="66">
        <f t="shared" si="75"/>
        <v>4.7038443528175738E-2</v>
      </c>
      <c r="AB168" s="66">
        <f t="shared" si="76"/>
        <v>7.4767839895885299E-2</v>
      </c>
      <c r="AC168" s="66">
        <f t="shared" si="77"/>
        <v>-1.3878200916065262E-2</v>
      </c>
      <c r="AD168" s="66">
        <f t="shared" si="78"/>
        <v>1.9213564886124024E-2</v>
      </c>
      <c r="AE168" s="66">
        <f t="shared" si="79"/>
        <v>2.8512606300000003E-2</v>
      </c>
    </row>
    <row r="169" spans="2:31" ht="16" customHeight="1" x14ac:dyDescent="0.2">
      <c r="B169" s="91">
        <v>45322</v>
      </c>
      <c r="C169" s="66">
        <f>AIRBUS!D164</f>
        <v>5.7375889375912183E-2</v>
      </c>
      <c r="D169" s="66">
        <f>BNP!D164</f>
        <v>-6.391140062845203E-4</v>
      </c>
      <c r="E169" s="66">
        <f>CAPGEMINI!D164</f>
        <v>9.7748341008277728E-2</v>
      </c>
      <c r="F169" s="66">
        <f>DANONE!D164</f>
        <v>5.2147291364421214E-2</v>
      </c>
      <c r="G169" s="66">
        <f>ENGIE!D164</f>
        <v>-6.9606731879556294E-2</v>
      </c>
      <c r="H169" s="66">
        <f>'HERMES INTL'!D164</f>
        <v>2.03252164655531E-2</v>
      </c>
      <c r="I169" s="66">
        <f>'PERNOD RICARD'!D164</f>
        <v>-4.5383353134435575E-2</v>
      </c>
      <c r="J169" s="66">
        <f>RENAULT!D164</f>
        <v>-4.9722274930081273E-2</v>
      </c>
      <c r="K169" s="66">
        <f>SANOFI!D164</f>
        <v>4.0106851290948431E-2</v>
      </c>
      <c r="L169" s="66">
        <f>'SCHNEIDER ELECTRIC'!D164</f>
        <v>6.1612610764013552E-3</v>
      </c>
      <c r="M169" s="66">
        <f>TOTALENERGIES!D164</f>
        <v>-2.4350748958290702E-2</v>
      </c>
      <c r="N169" s="66">
        <f>VINCI!D164</f>
        <v>2.972726859305154E-2</v>
      </c>
      <c r="O169" s="66">
        <f>MARKET!D164</f>
        <v>1.5055960700000001E-2</v>
      </c>
      <c r="P169" s="92">
        <f>INTERBANK!D163</f>
        <v>3.2708333333333331E-3</v>
      </c>
      <c r="R169" s="91">
        <v>45322</v>
      </c>
      <c r="S169" s="66">
        <f t="shared" si="67"/>
        <v>5.4105056042578849E-2</v>
      </c>
      <c r="T169" s="66">
        <f t="shared" si="68"/>
        <v>-3.9099473396178534E-3</v>
      </c>
      <c r="U169" s="66">
        <f t="shared" si="69"/>
        <v>9.4477507674944394E-2</v>
      </c>
      <c r="V169" s="66">
        <f t="shared" si="70"/>
        <v>4.887645803108788E-2</v>
      </c>
      <c r="W169" s="66">
        <f t="shared" si="71"/>
        <v>-7.2877565212889628E-2</v>
      </c>
      <c r="X169" s="66">
        <f t="shared" si="72"/>
        <v>1.7054383132219766E-2</v>
      </c>
      <c r="Y169" s="66">
        <f t="shared" si="73"/>
        <v>-4.8654186467768909E-2</v>
      </c>
      <c r="Z169" s="66">
        <f t="shared" si="74"/>
        <v>-5.2993108263414607E-2</v>
      </c>
      <c r="AA169" s="66">
        <f t="shared" si="75"/>
        <v>3.6836017957615097E-2</v>
      </c>
      <c r="AB169" s="66">
        <f t="shared" si="76"/>
        <v>2.8904277430680221E-3</v>
      </c>
      <c r="AC169" s="66">
        <f t="shared" si="77"/>
        <v>-2.7621582291624036E-2</v>
      </c>
      <c r="AD169" s="66">
        <f t="shared" si="78"/>
        <v>2.6456435259718206E-2</v>
      </c>
      <c r="AE169" s="66">
        <f t="shared" si="79"/>
        <v>1.1785127366666669E-2</v>
      </c>
    </row>
    <row r="170" spans="2:31" ht="16" customHeight="1" x14ac:dyDescent="0.2">
      <c r="B170" s="91">
        <v>45351</v>
      </c>
      <c r="C170" s="66">
        <f>AIRBUS!D165</f>
        <v>3.4776729809667707E-2</v>
      </c>
      <c r="D170" s="66">
        <f>BNP!D165</f>
        <v>-0.11462823541227979</v>
      </c>
      <c r="E170" s="66">
        <f>CAPGEMINI!D165</f>
        <v>8.4459459718174396E-2</v>
      </c>
      <c r="F170" s="66">
        <f>DANONE!D165</f>
        <v>-4.4055730075533102E-2</v>
      </c>
      <c r="G170" s="66">
        <f>ENGIE!D165</f>
        <v>1.7556286104902015E-3</v>
      </c>
      <c r="H170" s="66">
        <f>'HERMES INTL'!D165</f>
        <v>0.18142815609456026</v>
      </c>
      <c r="I170" s="66">
        <f>'PERNOD RICARD'!D165</f>
        <v>1.344267853485653E-2</v>
      </c>
      <c r="J170" s="66">
        <f>RENAULT!D165</f>
        <v>9.8659831759659186E-2</v>
      </c>
      <c r="K170" s="66">
        <f>SANOFI!D165</f>
        <v>-5.8590335772286943E-2</v>
      </c>
      <c r="L170" s="66">
        <f>'SCHNEIDER ELECTRIC'!D165</f>
        <v>0.14707493433901131</v>
      </c>
      <c r="M170" s="66">
        <f>TOTALENERGIES!D165</f>
        <v>-6.5346525537801703E-3</v>
      </c>
      <c r="N170" s="66">
        <f>VINCI!D165</f>
        <v>1.1274364878056919E-2</v>
      </c>
      <c r="O170" s="66">
        <f>MARKET!D165</f>
        <v>3.53518367E-2</v>
      </c>
      <c r="P170" s="92">
        <f>INTERBANK!D164</f>
        <v>3.2691666666666667E-3</v>
      </c>
      <c r="R170" s="91">
        <v>45351</v>
      </c>
      <c r="S170" s="66">
        <f t="shared" si="67"/>
        <v>3.1507563143001044E-2</v>
      </c>
      <c r="T170" s="66">
        <f t="shared" si="68"/>
        <v>-0.11789740207894646</v>
      </c>
      <c r="U170" s="66">
        <f t="shared" si="69"/>
        <v>8.1190293051507725E-2</v>
      </c>
      <c r="V170" s="66">
        <f t="shared" si="70"/>
        <v>-4.7324896742199765E-2</v>
      </c>
      <c r="W170" s="66">
        <f t="shared" si="71"/>
        <v>-1.5135380561764652E-3</v>
      </c>
      <c r="X170" s="66">
        <f t="shared" si="72"/>
        <v>0.1781589894278936</v>
      </c>
      <c r="Y170" s="66">
        <f t="shared" si="73"/>
        <v>1.0173511868189863E-2</v>
      </c>
      <c r="Z170" s="66">
        <f t="shared" si="74"/>
        <v>9.5390665092992516E-2</v>
      </c>
      <c r="AA170" s="66">
        <f t="shared" si="75"/>
        <v>-6.1859502438953606E-2</v>
      </c>
      <c r="AB170" s="66">
        <f t="shared" si="76"/>
        <v>0.14380576767234465</v>
      </c>
      <c r="AC170" s="66">
        <f t="shared" si="77"/>
        <v>-9.8038192204468362E-3</v>
      </c>
      <c r="AD170" s="66">
        <f t="shared" si="78"/>
        <v>8.0051982113902524E-3</v>
      </c>
      <c r="AE170" s="66">
        <f t="shared" si="79"/>
        <v>3.208267003333333E-2</v>
      </c>
    </row>
    <row r="171" spans="2:31" ht="16" customHeight="1" x14ac:dyDescent="0.2">
      <c r="B171" s="91">
        <v>45382</v>
      </c>
      <c r="C171" s="66">
        <f>AIRBUS!D166</f>
        <v>0.11625476870614229</v>
      </c>
      <c r="D171" s="66">
        <f>BNP!D166</f>
        <v>0.18923794109267819</v>
      </c>
      <c r="E171" s="66">
        <f>CAPGEMINI!D166</f>
        <v>-5.0734278664697277E-2</v>
      </c>
      <c r="F171" s="66">
        <f>DANONE!D166</f>
        <v>1.4740726649130122E-2</v>
      </c>
      <c r="G171" s="66">
        <f>ENGIE!D166</f>
        <v>4.5429968681368414E-2</v>
      </c>
      <c r="H171" s="66">
        <f>'HERMES INTL'!D166</f>
        <v>2.4554635841769191E-2</v>
      </c>
      <c r="I171" s="66">
        <f>'PERNOD RICARD'!D166</f>
        <v>-2.9763959631527316E-2</v>
      </c>
      <c r="J171" s="66">
        <f>RENAULT!D166</f>
        <v>0.21450811583444862</v>
      </c>
      <c r="K171" s="66">
        <f>SANOFI!D166</f>
        <v>3.4929955458295088E-2</v>
      </c>
      <c r="L171" s="66">
        <f>'SCHNEIDER ELECTRIC'!D166</f>
        <v>-7.149863160726801E-4</v>
      </c>
      <c r="M171" s="66">
        <f>TOTALENERGIES!D166</f>
        <v>7.594517014424175E-2</v>
      </c>
      <c r="N171" s="66">
        <f>VINCI!D166</f>
        <v>3.0404957362224361E-3</v>
      </c>
      <c r="O171" s="66">
        <f>MARKET!D166</f>
        <v>3.5115969300000001E-2</v>
      </c>
      <c r="P171" s="92">
        <f>INTERBANK!D165</f>
        <v>3.2683333333333336E-3</v>
      </c>
      <c r="R171" s="91">
        <v>45382</v>
      </c>
      <c r="S171" s="66">
        <f t="shared" si="67"/>
        <v>0.11298643537280896</v>
      </c>
      <c r="T171" s="66">
        <f t="shared" si="68"/>
        <v>0.18596960775934485</v>
      </c>
      <c r="U171" s="66">
        <f t="shared" si="69"/>
        <v>-5.4002611998030609E-2</v>
      </c>
      <c r="V171" s="66">
        <f t="shared" si="70"/>
        <v>1.1472393315796789E-2</v>
      </c>
      <c r="W171" s="66">
        <f t="shared" si="71"/>
        <v>4.2161635348035083E-2</v>
      </c>
      <c r="X171" s="66">
        <f t="shared" si="72"/>
        <v>2.1286302508435856E-2</v>
      </c>
      <c r="Y171" s="66">
        <f t="shared" si="73"/>
        <v>-3.3032292964860648E-2</v>
      </c>
      <c r="Z171" s="66">
        <f t="shared" si="74"/>
        <v>0.21123978250111528</v>
      </c>
      <c r="AA171" s="66">
        <f t="shared" si="75"/>
        <v>3.1661622124961757E-2</v>
      </c>
      <c r="AB171" s="66">
        <f t="shared" si="76"/>
        <v>-3.9833196494060141E-3</v>
      </c>
      <c r="AC171" s="66">
        <f t="shared" si="77"/>
        <v>7.2676836810908418E-2</v>
      </c>
      <c r="AD171" s="66">
        <f t="shared" si="78"/>
        <v>-2.2783759711089745E-4</v>
      </c>
      <c r="AE171" s="66">
        <f t="shared" si="79"/>
        <v>3.1847635966666669E-2</v>
      </c>
    </row>
    <row r="172" spans="2:31" ht="16" customHeight="1" x14ac:dyDescent="0.2">
      <c r="B172" s="91">
        <v>45412</v>
      </c>
      <c r="C172" s="66">
        <f>AIRBUS!D167</f>
        <v>-9.3955124378665739E-2</v>
      </c>
      <c r="D172" s="66">
        <f>BNP!D167</f>
        <v>2.6571563074224865E-2</v>
      </c>
      <c r="E172" s="66">
        <f>CAPGEMINI!D167</f>
        <v>-7.2198832256466589E-2</v>
      </c>
      <c r="F172" s="66">
        <f>DANONE!D167</f>
        <v>-2.0537624314787367E-2</v>
      </c>
      <c r="G172" s="66">
        <f>ENGIE!D167</f>
        <v>4.9000609724001623E-2</v>
      </c>
      <c r="H172" s="66">
        <f>'HERMES INTL'!D167</f>
        <v>-4.8605240467976381E-2</v>
      </c>
      <c r="I172" s="66">
        <f>'PERNOD RICARD'!D167</f>
        <v>-5.3017511467835149E-2</v>
      </c>
      <c r="J172" s="66">
        <f>RENAULT!D167</f>
        <v>-1.1752278696940607E-3</v>
      </c>
      <c r="K172" s="66">
        <f>SANOFI!D167</f>
        <v>2.3307012442712185E-2</v>
      </c>
      <c r="L172" s="66">
        <f>'SCHNEIDER ELECTRIC'!D167</f>
        <v>2.5995771531558912E-2</v>
      </c>
      <c r="M172" s="66">
        <f>TOTALENERGIES!D167</f>
        <v>9.324958866750388E-2</v>
      </c>
      <c r="N172" s="66">
        <f>VINCI!D167</f>
        <v>-7.1657073258681009E-2</v>
      </c>
      <c r="O172" s="66">
        <f>MARKET!D167</f>
        <v>-2.6917440899999999E-2</v>
      </c>
      <c r="P172" s="92">
        <f>INTERBANK!D166</f>
        <v>3.2383333333333335E-3</v>
      </c>
      <c r="R172" s="91">
        <v>45412</v>
      </c>
      <c r="S172" s="66">
        <f t="shared" si="67"/>
        <v>-9.7193457711999068E-2</v>
      </c>
      <c r="T172" s="66">
        <f t="shared" si="68"/>
        <v>2.3333229740891533E-2</v>
      </c>
      <c r="U172" s="66">
        <f t="shared" si="69"/>
        <v>-7.5437165589799918E-2</v>
      </c>
      <c r="V172" s="66">
        <f t="shared" si="70"/>
        <v>-2.37759576481207E-2</v>
      </c>
      <c r="W172" s="66">
        <f t="shared" si="71"/>
        <v>4.5762276390668287E-2</v>
      </c>
      <c r="X172" s="66">
        <f t="shared" si="72"/>
        <v>-5.1843573801309717E-2</v>
      </c>
      <c r="Y172" s="66">
        <f t="shared" si="73"/>
        <v>-5.6255844801168485E-2</v>
      </c>
      <c r="Z172" s="66">
        <f t="shared" si="74"/>
        <v>-4.4135612030273942E-3</v>
      </c>
      <c r="AA172" s="66">
        <f t="shared" si="75"/>
        <v>2.0068679109378852E-2</v>
      </c>
      <c r="AB172" s="66">
        <f t="shared" si="76"/>
        <v>2.275743819822558E-2</v>
      </c>
      <c r="AC172" s="66">
        <f t="shared" si="77"/>
        <v>9.0011255334170551E-2</v>
      </c>
      <c r="AD172" s="66">
        <f t="shared" si="78"/>
        <v>-7.4895406592014338E-2</v>
      </c>
      <c r="AE172" s="66">
        <f t="shared" si="79"/>
        <v>-3.0155774233333332E-2</v>
      </c>
    </row>
    <row r="173" spans="2:31" ht="16" customHeight="1" x14ac:dyDescent="0.2">
      <c r="B173" s="91">
        <v>45443</v>
      </c>
      <c r="C173" s="66">
        <f>AIRBUS!D168</f>
        <v>2.5437559206072644E-2</v>
      </c>
      <c r="D173" s="66">
        <f>BNP!D168</f>
        <v>1.3310531186487052E-3</v>
      </c>
      <c r="E173" s="66">
        <f>CAPGEMINI!D168</f>
        <v>-6.2152574855733819E-2</v>
      </c>
      <c r="F173" s="66">
        <f>DANONE!D168</f>
        <v>7.8418168975928106E-3</v>
      </c>
      <c r="G173" s="66">
        <f>ENGIE!D168</f>
        <v>-4.5175172218202241E-2</v>
      </c>
      <c r="H173" s="66">
        <f>'HERMES INTL'!D168</f>
        <v>-3.3318505534973689E-2</v>
      </c>
      <c r="I173" s="66">
        <f>'PERNOD RICARD'!D168</f>
        <v>-3.556345966904477E-2</v>
      </c>
      <c r="J173" s="66">
        <f>RENAULT!D168</f>
        <v>0.1463414504027008</v>
      </c>
      <c r="K173" s="66">
        <f>SANOFI!D168</f>
        <v>-3.5668212458253787E-2</v>
      </c>
      <c r="L173" s="66">
        <f>'SCHNEIDER ELECTRIC'!D168</f>
        <v>5.7415072483528916E-2</v>
      </c>
      <c r="M173" s="66">
        <f>TOTALENERGIES!D168</f>
        <v>-2.3035326514646067E-2</v>
      </c>
      <c r="N173" s="66">
        <f>VINCI!D168</f>
        <v>7.0624166736017124E-2</v>
      </c>
      <c r="O173" s="66">
        <f>MARKET!D168</f>
        <v>9.9436579999999993E-4</v>
      </c>
      <c r="P173" s="92">
        <f>INTERBANK!D167</f>
        <v>3.1783333333333334E-3</v>
      </c>
      <c r="R173" s="91">
        <v>45443</v>
      </c>
      <c r="S173" s="66">
        <f t="shared" si="67"/>
        <v>2.2259225872739312E-2</v>
      </c>
      <c r="T173" s="66">
        <f t="shared" si="68"/>
        <v>-1.8472802146846281E-3</v>
      </c>
      <c r="U173" s="66">
        <f t="shared" si="69"/>
        <v>-6.5330908189067158E-2</v>
      </c>
      <c r="V173" s="66">
        <f t="shared" si="70"/>
        <v>4.6634835642594772E-3</v>
      </c>
      <c r="W173" s="66">
        <f t="shared" si="71"/>
        <v>-4.8353505551535572E-2</v>
      </c>
      <c r="X173" s="66">
        <f t="shared" si="72"/>
        <v>-3.649683886830702E-2</v>
      </c>
      <c r="Y173" s="66">
        <f t="shared" si="73"/>
        <v>-3.8741793002378101E-2</v>
      </c>
      <c r="Z173" s="66">
        <f t="shared" si="74"/>
        <v>0.14316311706936746</v>
      </c>
      <c r="AA173" s="66">
        <f t="shared" si="75"/>
        <v>-3.8846545791587118E-2</v>
      </c>
      <c r="AB173" s="66">
        <f t="shared" si="76"/>
        <v>5.4236739150195584E-2</v>
      </c>
      <c r="AC173" s="66">
        <f t="shared" si="77"/>
        <v>-2.6213659847979402E-2</v>
      </c>
      <c r="AD173" s="66">
        <f t="shared" si="78"/>
        <v>6.7445833402683786E-2</v>
      </c>
      <c r="AE173" s="66">
        <f t="shared" si="79"/>
        <v>-2.1839675333333334E-3</v>
      </c>
    </row>
    <row r="174" spans="2:31" ht="16" customHeight="1" x14ac:dyDescent="0.2">
      <c r="B174" s="91">
        <v>45473</v>
      </c>
      <c r="C174" s="66">
        <f>AIRBUS!D169</f>
        <v>-0.1772930949332221</v>
      </c>
      <c r="D174" s="66">
        <f>BNP!D169</f>
        <v>-6.1457217488641878E-2</v>
      </c>
      <c r="E174" s="66">
        <f>CAPGEMINI!D169</f>
        <v>1.699659727799514E-2</v>
      </c>
      <c r="F174" s="66">
        <f>DANONE!D169</f>
        <v>8.4147456013832932E-4</v>
      </c>
      <c r="G174" s="66">
        <f>ENGIE!D169</f>
        <v>-5.8900782522118646E-2</v>
      </c>
      <c r="H174" s="66">
        <f>'HERMES INTL'!D169</f>
        <v>-7.0602284025898417E-3</v>
      </c>
      <c r="I174" s="66">
        <f>'PERNOD RICARD'!D169</f>
        <v>-7.4844785556482746E-2</v>
      </c>
      <c r="J174" s="66">
        <f>RENAULT!D169</f>
        <v>-7.2295975721211519E-2</v>
      </c>
      <c r="K174" s="66">
        <f>SANOFI!D169</f>
        <v>4.3603401000209936E-2</v>
      </c>
      <c r="L174" s="66">
        <f>'SCHNEIDER ELECTRIC'!D169</f>
        <v>8.9149107739623689E-4</v>
      </c>
      <c r="M174" s="66">
        <f>TOTALENERGIES!D169</f>
        <v>-6.9840374393949578E-2</v>
      </c>
      <c r="N174" s="66">
        <f>VINCI!D169</f>
        <v>-0.14041078752147665</v>
      </c>
      <c r="O174" s="66">
        <f>MARKET!D169</f>
        <v>-6.4241030700000007E-2</v>
      </c>
      <c r="P174" s="92">
        <f>INTERBANK!D168</f>
        <v>3.1041666666666665E-3</v>
      </c>
      <c r="R174" s="91">
        <v>45473</v>
      </c>
      <c r="S174" s="66">
        <f t="shared" si="67"/>
        <v>-0.18039726159988875</v>
      </c>
      <c r="T174" s="66">
        <f t="shared" si="68"/>
        <v>-6.4561384155308543E-2</v>
      </c>
      <c r="U174" s="66">
        <f t="shared" si="69"/>
        <v>1.3892430611328473E-2</v>
      </c>
      <c r="V174" s="66">
        <f t="shared" si="70"/>
        <v>-2.2626921065283371E-3</v>
      </c>
      <c r="W174" s="66">
        <f t="shared" si="71"/>
        <v>-6.200494918878531E-2</v>
      </c>
      <c r="X174" s="66">
        <f t="shared" si="72"/>
        <v>-1.0164395069256508E-2</v>
      </c>
      <c r="Y174" s="66">
        <f t="shared" si="73"/>
        <v>-7.7948952223149418E-2</v>
      </c>
      <c r="Z174" s="66">
        <f t="shared" si="74"/>
        <v>-7.5400142387878191E-2</v>
      </c>
      <c r="AA174" s="66">
        <f t="shared" si="75"/>
        <v>4.0499234333543271E-2</v>
      </c>
      <c r="AB174" s="66">
        <f t="shared" si="76"/>
        <v>-2.2126755892704296E-3</v>
      </c>
      <c r="AC174" s="66">
        <f t="shared" si="77"/>
        <v>-7.294454106061625E-2</v>
      </c>
      <c r="AD174" s="66">
        <f t="shared" si="78"/>
        <v>-0.14351495418814331</v>
      </c>
      <c r="AE174" s="66">
        <f t="shared" si="79"/>
        <v>-6.7345197366666679E-2</v>
      </c>
    </row>
    <row r="175" spans="2:31" ht="16" customHeight="1" x14ac:dyDescent="0.2">
      <c r="B175" s="91">
        <v>45504</v>
      </c>
      <c r="C175" s="66">
        <f>AIRBUS!D170</f>
        <v>9.1221002782738897E-2</v>
      </c>
      <c r="D175" s="66">
        <f>BNP!D170</f>
        <v>6.601715756798196E-2</v>
      </c>
      <c r="E175" s="66">
        <f>CAPGEMINI!D170</f>
        <v>-1.1308501900274935E-2</v>
      </c>
      <c r="F175" s="66">
        <f>DANONE!D170</f>
        <v>5.3959315783767378E-2</v>
      </c>
      <c r="G175" s="66">
        <f>ENGIE!D170</f>
        <v>9.036369562639876E-2</v>
      </c>
      <c r="H175" s="66">
        <f>'HERMES INTL'!D170</f>
        <v>-5.467294190885838E-2</v>
      </c>
      <c r="I175" s="66">
        <f>'PERNOD RICARD'!D170</f>
        <v>-2.1310229105535497E-2</v>
      </c>
      <c r="J175" s="66">
        <f>RENAULT!D170</f>
        <v>-6.2708969281360535E-2</v>
      </c>
      <c r="K175" s="66">
        <f>SANOFI!D170</f>
        <v>5.9928842503483959E-2</v>
      </c>
      <c r="L175" s="66">
        <f>'SCHNEIDER ELECTRIC'!D170</f>
        <v>-6.4645131124037736E-3</v>
      </c>
      <c r="M175" s="66">
        <f>TOTALENERGIES!D170</f>
        <v>1.5164698777785287E-2</v>
      </c>
      <c r="N175" s="66">
        <f>VINCI!D170</f>
        <v>7.3389084725244427E-2</v>
      </c>
      <c r="O175" s="66">
        <f>MARKET!D170</f>
        <v>6.9645069000000004E-3</v>
      </c>
      <c r="P175" s="92">
        <f>INTERBANK!D169</f>
        <v>3.0708333333333334E-3</v>
      </c>
      <c r="R175" s="91">
        <v>45504</v>
      </c>
      <c r="S175" s="66">
        <f t="shared" si="67"/>
        <v>8.8150169449405569E-2</v>
      </c>
      <c r="T175" s="66">
        <f t="shared" si="68"/>
        <v>6.2946324234648632E-2</v>
      </c>
      <c r="U175" s="66">
        <f t="shared" si="69"/>
        <v>-1.4379335233608268E-2</v>
      </c>
      <c r="V175" s="66">
        <f t="shared" si="70"/>
        <v>5.0888482450434043E-2</v>
      </c>
      <c r="W175" s="66">
        <f t="shared" si="71"/>
        <v>8.7292862293065432E-2</v>
      </c>
      <c r="X175" s="66">
        <f t="shared" si="72"/>
        <v>-5.7743775242191715E-2</v>
      </c>
      <c r="Y175" s="66">
        <f t="shared" si="73"/>
        <v>-2.4381062438868832E-2</v>
      </c>
      <c r="Z175" s="66">
        <f t="shared" si="74"/>
        <v>-6.5779802614693864E-2</v>
      </c>
      <c r="AA175" s="66">
        <f t="shared" si="75"/>
        <v>5.6858009170150624E-2</v>
      </c>
      <c r="AB175" s="66">
        <f t="shared" si="76"/>
        <v>-9.535346445737107E-3</v>
      </c>
      <c r="AC175" s="66">
        <f t="shared" si="77"/>
        <v>1.2093865444451953E-2</v>
      </c>
      <c r="AD175" s="66">
        <f t="shared" si="78"/>
        <v>7.0318251391911099E-2</v>
      </c>
      <c r="AE175" s="66">
        <f t="shared" si="79"/>
        <v>3.893673566666667E-3</v>
      </c>
    </row>
    <row r="176" spans="2:31" ht="16" customHeight="1" x14ac:dyDescent="0.2">
      <c r="B176" s="91">
        <v>45535</v>
      </c>
      <c r="C176" s="66">
        <f>AIRBUS!D171</f>
        <v>-8.1451220229992304E-3</v>
      </c>
      <c r="D176" s="66">
        <f>BNP!D171</f>
        <v>-1.3867010467440245E-2</v>
      </c>
      <c r="E176" s="66">
        <f>CAPGEMINI!D171</f>
        <v>2.1241788386955212E-2</v>
      </c>
      <c r="F176" s="66">
        <f>DANONE!D171</f>
        <v>4.3882957557691595E-2</v>
      </c>
      <c r="G176" s="66">
        <f>ENGIE!D171</f>
        <v>9.5598434126366955E-2</v>
      </c>
      <c r="H176" s="66">
        <f>'HERMES INTL'!D171</f>
        <v>7.2170104318263831E-2</v>
      </c>
      <c r="I176" s="66">
        <f>'PERNOD RICARD'!D171</f>
        <v>5.8579206424944415E-2</v>
      </c>
      <c r="J176" s="66">
        <f>RENAULT!D171</f>
        <v>-4.2149920699060948E-2</v>
      </c>
      <c r="K176" s="66">
        <f>SANOFI!D171</f>
        <v>6.1575547722607815E-2</v>
      </c>
      <c r="L176" s="66">
        <f>'SCHNEIDER ELECTRIC'!D171</f>
        <v>3.0738147404209638E-2</v>
      </c>
      <c r="M176" s="66">
        <f>TOTALENERGIES!D171</f>
        <v>-4.6414760014557134E-3</v>
      </c>
      <c r="N176" s="66">
        <f>VINCI!D171</f>
        <v>2.4147641490407858E-2</v>
      </c>
      <c r="O176" s="66">
        <f>MARKET!D171</f>
        <v>1.3205880600000001E-2</v>
      </c>
      <c r="P176" s="92">
        <f>INTERBANK!D170</f>
        <v>2.9566666666666669E-3</v>
      </c>
      <c r="R176" s="91">
        <v>45535</v>
      </c>
      <c r="S176" s="66">
        <f t="shared" si="67"/>
        <v>-1.1101788689665897E-2</v>
      </c>
      <c r="T176" s="66">
        <f t="shared" si="68"/>
        <v>-1.6823677134106912E-2</v>
      </c>
      <c r="U176" s="66">
        <f t="shared" si="69"/>
        <v>1.8285121720288545E-2</v>
      </c>
      <c r="V176" s="66">
        <f t="shared" si="70"/>
        <v>4.0926290891024925E-2</v>
      </c>
      <c r="W176" s="66">
        <f t="shared" si="71"/>
        <v>9.2641767459700292E-2</v>
      </c>
      <c r="X176" s="66">
        <f t="shared" si="72"/>
        <v>6.9213437651597168E-2</v>
      </c>
      <c r="Y176" s="66">
        <f t="shared" si="73"/>
        <v>5.5622539758277745E-2</v>
      </c>
      <c r="Z176" s="66">
        <f t="shared" si="74"/>
        <v>-4.5106587365727618E-2</v>
      </c>
      <c r="AA176" s="66">
        <f t="shared" si="75"/>
        <v>5.8618881055941145E-2</v>
      </c>
      <c r="AB176" s="66">
        <f t="shared" si="76"/>
        <v>2.7781480737542972E-2</v>
      </c>
      <c r="AC176" s="66">
        <f t="shared" si="77"/>
        <v>-7.5981426681223808E-3</v>
      </c>
      <c r="AD176" s="66">
        <f t="shared" si="78"/>
        <v>2.1190974823741191E-2</v>
      </c>
      <c r="AE176" s="66">
        <f t="shared" si="79"/>
        <v>1.0249213933333334E-2</v>
      </c>
    </row>
    <row r="177" spans="2:31" ht="16" customHeight="1" x14ac:dyDescent="0.2">
      <c r="B177" s="91">
        <v>45565</v>
      </c>
      <c r="C177" s="66">
        <f>AIRBUS!D172</f>
        <v>-5.4747181855983471E-2</v>
      </c>
      <c r="D177" s="66">
        <f>BNP!D172</f>
        <v>-1.6459010362252446E-2</v>
      </c>
      <c r="E177" s="66">
        <f>CAPGEMINI!D172</f>
        <v>3.4399988344235626E-2</v>
      </c>
      <c r="F177" s="66">
        <f>DANONE!D172</f>
        <v>4.0445832190029521E-2</v>
      </c>
      <c r="G177" s="66">
        <f>ENGIE!D172</f>
        <v>-2.6051484590323696E-2</v>
      </c>
      <c r="H177" s="66">
        <f>'HERMES INTL'!D172</f>
        <v>1.7058527734040888E-2</v>
      </c>
      <c r="I177" s="66">
        <f>'PERNOD RICARD'!D172</f>
        <v>5.2795059595462372E-2</v>
      </c>
      <c r="J177" s="66">
        <f>RENAULT!D172</f>
        <v>-9.2200179922779041E-2</v>
      </c>
      <c r="K177" s="66">
        <f>SANOFI!D172</f>
        <v>1.6798480649079194E-2</v>
      </c>
      <c r="L177" s="66">
        <f>'SCHNEIDER ELECTRIC'!D172</f>
        <v>2.8297757368172419E-2</v>
      </c>
      <c r="M177" s="66">
        <f>TOTALENERGIES!D172</f>
        <v>-5.9334258670747785E-2</v>
      </c>
      <c r="N177" s="66">
        <f>VINCI!D172</f>
        <v>-2.9588523435391281E-2</v>
      </c>
      <c r="O177" s="66">
        <f>MARKET!D172</f>
        <v>6.2899169999999999E-4</v>
      </c>
      <c r="P177" s="92">
        <f>INTERBANK!D171</f>
        <v>2.8616666666666669E-3</v>
      </c>
      <c r="R177" s="91">
        <v>45565</v>
      </c>
      <c r="S177" s="66">
        <f t="shared" si="67"/>
        <v>-5.7608848522650136E-2</v>
      </c>
      <c r="T177" s="66">
        <f t="shared" si="68"/>
        <v>-1.9320677028919112E-2</v>
      </c>
      <c r="U177" s="66">
        <f t="shared" si="69"/>
        <v>3.153832167756896E-2</v>
      </c>
      <c r="V177" s="66">
        <f t="shared" si="70"/>
        <v>3.7584165523362856E-2</v>
      </c>
      <c r="W177" s="66">
        <f t="shared" si="71"/>
        <v>-2.8913151256990365E-2</v>
      </c>
      <c r="X177" s="66">
        <f t="shared" si="72"/>
        <v>1.4196861067374221E-2</v>
      </c>
      <c r="Y177" s="66">
        <f t="shared" si="73"/>
        <v>4.9933392928795707E-2</v>
      </c>
      <c r="Z177" s="66">
        <f t="shared" si="74"/>
        <v>-9.5061846589445706E-2</v>
      </c>
      <c r="AA177" s="66">
        <f t="shared" si="75"/>
        <v>1.3936813982412527E-2</v>
      </c>
      <c r="AB177" s="66">
        <f t="shared" si="76"/>
        <v>2.5436090701505751E-2</v>
      </c>
      <c r="AC177" s="66">
        <f t="shared" si="77"/>
        <v>-6.219592533741445E-2</v>
      </c>
      <c r="AD177" s="66">
        <f t="shared" si="78"/>
        <v>-3.2450190102057949E-2</v>
      </c>
      <c r="AE177" s="66">
        <f t="shared" si="79"/>
        <v>-2.2326749666666669E-3</v>
      </c>
    </row>
    <row r="178" spans="2:31" ht="16" customHeight="1" x14ac:dyDescent="0.2">
      <c r="B178" s="91">
        <v>45596</v>
      </c>
      <c r="C178" s="66">
        <f>AIRBUS!D173</f>
        <v>6.812981655477425E-2</v>
      </c>
      <c r="D178" s="66">
        <f>BNP!D173</f>
        <v>1.9496369258908668E-2</v>
      </c>
      <c r="E178" s="66">
        <f>CAPGEMINI!D173</f>
        <v>-0.17916986165380366</v>
      </c>
      <c r="F178" s="66">
        <f>DANONE!D173</f>
        <v>5.509658584353927E-3</v>
      </c>
      <c r="G178" s="66">
        <f>ENGIE!D173</f>
        <v>-6.4453802401209081E-3</v>
      </c>
      <c r="H178" s="66">
        <f>'HERMES INTL'!D173</f>
        <v>-5.9836890120307573E-2</v>
      </c>
      <c r="I178" s="66">
        <f>'PERNOD RICARD'!D173</f>
        <v>-0.15744838036478956</v>
      </c>
      <c r="J178" s="66">
        <f>RENAULT!D173</f>
        <v>7.4634536669437715E-2</v>
      </c>
      <c r="K178" s="66">
        <f>SANOFI!D173</f>
        <v>-5.6268221213251007E-2</v>
      </c>
      <c r="L178" s="66">
        <f>'SCHNEIDER ELECTRIC'!D173</f>
        <v>4.2337172372737273E-3</v>
      </c>
      <c r="M178" s="66">
        <f>TOTALENERGIES!D173</f>
        <v>-6.2828005388357849E-3</v>
      </c>
      <c r="N178" s="66">
        <f>VINCI!D173</f>
        <v>-2.1438809175344842E-2</v>
      </c>
      <c r="O178" s="66">
        <f>MARKET!D173</f>
        <v>-3.7374178399999999E-2</v>
      </c>
      <c r="P178" s="92">
        <f>INTERBANK!D172</f>
        <v>2.6391666666666664E-3</v>
      </c>
      <c r="R178" s="91">
        <v>45596</v>
      </c>
      <c r="S178" s="66">
        <f t="shared" si="67"/>
        <v>6.5490649888107585E-2</v>
      </c>
      <c r="T178" s="66">
        <f t="shared" si="68"/>
        <v>1.6857202592242E-2</v>
      </c>
      <c r="U178" s="66">
        <f t="shared" si="69"/>
        <v>-0.18180902832047033</v>
      </c>
      <c r="V178" s="66">
        <f t="shared" si="70"/>
        <v>2.8704919176872606E-3</v>
      </c>
      <c r="W178" s="66">
        <f t="shared" si="71"/>
        <v>-9.0845469067875745E-3</v>
      </c>
      <c r="X178" s="66">
        <f t="shared" si="72"/>
        <v>-6.2476056786974238E-2</v>
      </c>
      <c r="Y178" s="66">
        <f t="shared" si="73"/>
        <v>-0.16008754703145622</v>
      </c>
      <c r="Z178" s="66">
        <f t="shared" si="74"/>
        <v>7.199537000277105E-2</v>
      </c>
      <c r="AA178" s="66">
        <f t="shared" si="75"/>
        <v>-5.8907387879917672E-2</v>
      </c>
      <c r="AB178" s="66">
        <f t="shared" si="76"/>
        <v>1.5945505706070609E-3</v>
      </c>
      <c r="AC178" s="66">
        <f t="shared" si="77"/>
        <v>-8.9219672055024513E-3</v>
      </c>
      <c r="AD178" s="66">
        <f t="shared" si="78"/>
        <v>-2.4077975842011511E-2</v>
      </c>
      <c r="AE178" s="66">
        <f t="shared" si="79"/>
        <v>-4.0013345066666664E-2</v>
      </c>
    </row>
    <row r="179" spans="2:31" ht="16" customHeight="1" x14ac:dyDescent="0.2">
      <c r="B179" s="91">
        <v>45626</v>
      </c>
      <c r="C179" s="66">
        <f>AIRBUS!D174</f>
        <v>5.2796728077548608E-2</v>
      </c>
      <c r="D179" s="66">
        <f>BNP!D174</f>
        <v>-9.7370487882439738E-2</v>
      </c>
      <c r="E179" s="66">
        <f>CAPGEMINI!D174</f>
        <v>-4.5854365778090558E-2</v>
      </c>
      <c r="F179" s="66">
        <f>DANONE!D174</f>
        <v>-1.5829443170471445E-2</v>
      </c>
      <c r="G179" s="66">
        <f>ENGIE!D174</f>
        <v>-2.140771563494873E-2</v>
      </c>
      <c r="H179" s="66">
        <f>'HERMES INTL'!D174</f>
        <v>-4.3393577607772019E-3</v>
      </c>
      <c r="I179" s="66">
        <f>'PERNOD RICARD'!D174</f>
        <v>-7.3085358407144307E-2</v>
      </c>
      <c r="J179" s="66">
        <f>RENAULT!D174</f>
        <v>-3.2696987140383618E-2</v>
      </c>
      <c r="K179" s="66">
        <f>SANOFI!D174</f>
        <v>-5.1694013606770207E-2</v>
      </c>
      <c r="L179" s="66">
        <f>'SCHNEIDER ELECTRIC'!D174</f>
        <v>2.655984021871477E-2</v>
      </c>
      <c r="M179" s="66">
        <f>TOTALENERGIES!D174</f>
        <v>-4.2334586084191758E-2</v>
      </c>
      <c r="N179" s="66">
        <f>VINCI!D174</f>
        <v>-1.8044174426003905E-2</v>
      </c>
      <c r="O179" s="66">
        <f>MARKET!D174</f>
        <v>-1.56808776E-2</v>
      </c>
      <c r="P179" s="92">
        <f>INTERBANK!D173</f>
        <v>2.5058333333333334E-3</v>
      </c>
      <c r="R179" s="91">
        <v>45626</v>
      </c>
      <c r="S179" s="66">
        <f t="shared" si="67"/>
        <v>5.0290894744215275E-2</v>
      </c>
      <c r="T179" s="66">
        <f t="shared" si="68"/>
        <v>-9.987632121577307E-2</v>
      </c>
      <c r="U179" s="66">
        <f t="shared" si="69"/>
        <v>-4.836019911142389E-2</v>
      </c>
      <c r="V179" s="66">
        <f t="shared" si="70"/>
        <v>-1.8335276503804777E-2</v>
      </c>
      <c r="W179" s="66">
        <f t="shared" si="71"/>
        <v>-2.3913548968282062E-2</v>
      </c>
      <c r="X179" s="66">
        <f t="shared" si="72"/>
        <v>-6.8451910941105358E-3</v>
      </c>
      <c r="Y179" s="66">
        <f t="shared" si="73"/>
        <v>-7.559119174047764E-2</v>
      </c>
      <c r="Z179" s="66">
        <f t="shared" si="74"/>
        <v>-3.520282047371695E-2</v>
      </c>
      <c r="AA179" s="66">
        <f t="shared" si="75"/>
        <v>-5.419984694010354E-2</v>
      </c>
      <c r="AB179" s="66">
        <f t="shared" si="76"/>
        <v>2.4054006885381438E-2</v>
      </c>
      <c r="AC179" s="66">
        <f t="shared" si="77"/>
        <v>-4.484041941752509E-2</v>
      </c>
      <c r="AD179" s="66">
        <f t="shared" si="78"/>
        <v>-2.0550007759337238E-2</v>
      </c>
      <c r="AE179" s="66">
        <f t="shared" si="79"/>
        <v>-1.8186710933333333E-2</v>
      </c>
    </row>
    <row r="180" spans="2:31" ht="16" customHeight="1" x14ac:dyDescent="0.2">
      <c r="B180" s="91">
        <v>45657</v>
      </c>
      <c r="C180" s="66">
        <f>AIRBUS!D175</f>
        <v>4.892930146900621E-2</v>
      </c>
      <c r="D180" s="66">
        <f>BNP!D175</f>
        <v>4.5550843531669605E-2</v>
      </c>
      <c r="E180" s="66">
        <f>CAPGEMINI!D175</f>
        <v>4.1145579251142553E-2</v>
      </c>
      <c r="F180" s="66">
        <f>DANONE!D175</f>
        <v>7.1141596946977014E-3</v>
      </c>
      <c r="G180" s="66">
        <f>ENGIE!D175</f>
        <v>1.4915472899752548E-2</v>
      </c>
      <c r="H180" s="66">
        <f>'HERMES INTL'!D175</f>
        <v>0.12445524613592074</v>
      </c>
      <c r="I180" s="66">
        <f>'PERNOD RICARD'!D175</f>
        <v>5.2463602803965108E-2</v>
      </c>
      <c r="J180" s="66">
        <f>RENAULT!D175</f>
        <v>0.16086851611801606</v>
      </c>
      <c r="K180" s="66">
        <f>SANOFI!D175</f>
        <v>1.7917246875694025E-2</v>
      </c>
      <c r="L180" s="66">
        <f>'SCHNEIDER ELECTRIC'!D175</f>
        <v>-1.067759719074161E-2</v>
      </c>
      <c r="M180" s="66">
        <f>TOTALENERGIES!D175</f>
        <v>-2.9106857142898592E-2</v>
      </c>
      <c r="N180" s="66">
        <f>VINCI!D175</f>
        <v>-1.2017437215489702E-3</v>
      </c>
      <c r="O180" s="66">
        <f>MARKET!D175</f>
        <v>2.0128287500000001E-2</v>
      </c>
      <c r="P180" s="92">
        <f>INTERBANK!D174</f>
        <v>2.3466666666666666E-3</v>
      </c>
      <c r="R180" s="91">
        <v>45657</v>
      </c>
      <c r="S180" s="66">
        <f t="shared" si="67"/>
        <v>4.6582634802339547E-2</v>
      </c>
      <c r="T180" s="66">
        <f t="shared" si="68"/>
        <v>4.3204176865002941E-2</v>
      </c>
      <c r="U180" s="66">
        <f t="shared" si="69"/>
        <v>3.8798912584475889E-2</v>
      </c>
      <c r="V180" s="66">
        <f t="shared" si="70"/>
        <v>4.7674930280310352E-3</v>
      </c>
      <c r="W180" s="66">
        <f t="shared" si="71"/>
        <v>1.2568806233085881E-2</v>
      </c>
      <c r="X180" s="66">
        <f t="shared" si="72"/>
        <v>0.12210857946925407</v>
      </c>
      <c r="Y180" s="66">
        <f t="shared" si="73"/>
        <v>5.0116936137298444E-2</v>
      </c>
      <c r="Z180" s="66">
        <f t="shared" si="74"/>
        <v>0.15852184945134939</v>
      </c>
      <c r="AA180" s="66">
        <f t="shared" si="75"/>
        <v>1.5570580209027358E-2</v>
      </c>
      <c r="AB180" s="66">
        <f t="shared" si="76"/>
        <v>-1.3024263857408278E-2</v>
      </c>
      <c r="AC180" s="66">
        <f t="shared" si="77"/>
        <v>-3.1453523809565259E-2</v>
      </c>
      <c r="AD180" s="66">
        <f t="shared" si="78"/>
        <v>-3.5484103882156368E-3</v>
      </c>
      <c r="AE180" s="66">
        <f t="shared" si="79"/>
        <v>1.7781620833333334E-2</v>
      </c>
    </row>
    <row r="181" spans="2:31" ht="16" customHeight="1" x14ac:dyDescent="0.2">
      <c r="B181" s="91">
        <v>45688</v>
      </c>
      <c r="C181" s="66">
        <f>AIRBUS!D176</f>
        <v>7.9726054488924405E-2</v>
      </c>
      <c r="D181" s="66">
        <f>BNP!D176</f>
        <v>0.10976023182533746</v>
      </c>
      <c r="E181" s="66">
        <f>CAPGEMINI!D176</f>
        <v>0.11255131245787324</v>
      </c>
      <c r="F181" s="66">
        <f>DANONE!D176</f>
        <v>3.6240777726902915E-2</v>
      </c>
      <c r="G181" s="66">
        <f>ENGIE!D176</f>
        <v>3.951661442592122E-2</v>
      </c>
      <c r="H181" s="66">
        <f>'HERMES INTL'!D176</f>
        <v>0.17312657929683498</v>
      </c>
      <c r="I181" s="66">
        <f>'PERNOD RICARD'!D176</f>
        <v>1.100913797343615E-2</v>
      </c>
      <c r="J181" s="66">
        <f>RENAULT!D176</f>
        <v>5.5260392305284012E-2</v>
      </c>
      <c r="K181" s="66">
        <f>SANOFI!D176</f>
        <v>0.11371889623967772</v>
      </c>
      <c r="L181" s="66">
        <f>'SCHNEIDER ELECTRIC'!D176</f>
        <v>1.8472404552685163E-2</v>
      </c>
      <c r="M181" s="66">
        <f>TOTALENERGIES!D176</f>
        <v>5.6586221490061046E-2</v>
      </c>
      <c r="N181" s="66">
        <f>VINCI!D176</f>
        <v>4.7724133493204528E-2</v>
      </c>
      <c r="O181" s="66">
        <f>MARKET!D176</f>
        <v>7.7150755799999998E-2</v>
      </c>
      <c r="P181" s="92">
        <f>INTERBANK!D175</f>
        <v>2.2524999999999997E-3</v>
      </c>
      <c r="R181" s="91">
        <v>45688</v>
      </c>
      <c r="S181" s="66">
        <f t="shared" si="67"/>
        <v>7.7473554488924401E-2</v>
      </c>
      <c r="T181" s="66">
        <f t="shared" si="68"/>
        <v>0.10750773182533746</v>
      </c>
      <c r="U181" s="66">
        <f t="shared" si="69"/>
        <v>0.11029881245787324</v>
      </c>
      <c r="V181" s="66">
        <f t="shared" si="70"/>
        <v>3.3988277726902917E-2</v>
      </c>
      <c r="W181" s="66">
        <f t="shared" si="71"/>
        <v>3.7264114425921223E-2</v>
      </c>
      <c r="X181" s="66">
        <f t="shared" si="72"/>
        <v>0.17087407929683499</v>
      </c>
      <c r="Y181" s="66">
        <f t="shared" si="73"/>
        <v>8.7566379734361505E-3</v>
      </c>
      <c r="Z181" s="66">
        <f t="shared" si="74"/>
        <v>5.3007892305284014E-2</v>
      </c>
      <c r="AA181" s="66">
        <f t="shared" si="75"/>
        <v>0.11146639623967772</v>
      </c>
      <c r="AB181" s="66">
        <f t="shared" si="76"/>
        <v>1.6219904552685162E-2</v>
      </c>
      <c r="AC181" s="66">
        <f t="shared" si="77"/>
        <v>5.4333721490061049E-2</v>
      </c>
      <c r="AD181" s="66">
        <f t="shared" si="78"/>
        <v>4.547163349320453E-2</v>
      </c>
      <c r="AE181" s="66">
        <f t="shared" si="79"/>
        <v>7.4898255799999994E-2</v>
      </c>
    </row>
    <row r="182" spans="2:31" ht="16" customHeight="1" x14ac:dyDescent="0.2">
      <c r="B182" s="91">
        <v>45716</v>
      </c>
      <c r="C182" s="66">
        <f>AIRBUS!D177</f>
        <v>-8.4968679731547928E-3</v>
      </c>
      <c r="D182" s="66">
        <f>BNP!D177</f>
        <v>0.10864276822472875</v>
      </c>
      <c r="E182" s="66">
        <f>CAPGEMINI!D177</f>
        <v>-0.15231596830649813</v>
      </c>
      <c r="F182" s="66">
        <f>DANONE!D177</f>
        <v>2.045039867599998E-2</v>
      </c>
      <c r="G182" s="66">
        <f>ENGIE!D177</f>
        <v>8.325477556097538E-2</v>
      </c>
      <c r="H182" s="66">
        <f>'HERMES INTL'!D177</f>
        <v>4.772362285821518E-3</v>
      </c>
      <c r="I182" s="66">
        <f>'PERNOD RICARD'!D177</f>
        <v>-6.3067139911822293E-2</v>
      </c>
      <c r="J182" s="66">
        <f>RENAULT!D177</f>
        <v>3.8267917150462409E-3</v>
      </c>
      <c r="K182" s="66">
        <f>SANOFI!D177</f>
        <v>-3.8316468085398205E-4</v>
      </c>
      <c r="L182" s="66">
        <f>'SCHNEIDER ELECTRIC'!D177</f>
        <v>-4.6464293469622137E-2</v>
      </c>
      <c r="M182" s="66">
        <f>TOTALENERGIES!D177</f>
        <v>4.0044865797189702E-2</v>
      </c>
      <c r="N182" s="66">
        <f>VINCI!D177</f>
        <v>6.3157852330342212E-2</v>
      </c>
      <c r="O182" s="66">
        <f>MARKET!D177</f>
        <v>2.0308995E-2</v>
      </c>
      <c r="P182" s="92">
        <f>INTERBANK!D176</f>
        <v>2.1041666666666665E-3</v>
      </c>
      <c r="R182" s="91">
        <v>45716</v>
      </c>
      <c r="S182" s="66">
        <f t="shared" si="67"/>
        <v>-1.0601034639821458E-2</v>
      </c>
      <c r="T182" s="66">
        <f t="shared" si="68"/>
        <v>0.10653860155806208</v>
      </c>
      <c r="U182" s="66">
        <f t="shared" si="69"/>
        <v>-0.15442013497316479</v>
      </c>
      <c r="V182" s="66">
        <f t="shared" si="70"/>
        <v>1.8346232009333312E-2</v>
      </c>
      <c r="W182" s="66">
        <f t="shared" si="71"/>
        <v>8.1150608894308709E-2</v>
      </c>
      <c r="X182" s="66">
        <f t="shared" si="72"/>
        <v>2.6681956191548515E-3</v>
      </c>
      <c r="Y182" s="66">
        <f t="shared" si="73"/>
        <v>-6.5171306578488963E-2</v>
      </c>
      <c r="Z182" s="66">
        <f t="shared" si="74"/>
        <v>1.7226250483795744E-3</v>
      </c>
      <c r="AA182" s="66">
        <f t="shared" si="75"/>
        <v>-2.4873313475206487E-3</v>
      </c>
      <c r="AB182" s="66">
        <f t="shared" si="76"/>
        <v>-4.85684601362888E-2</v>
      </c>
      <c r="AC182" s="66">
        <f t="shared" si="77"/>
        <v>3.7940699130523038E-2</v>
      </c>
      <c r="AD182" s="66">
        <f t="shared" si="78"/>
        <v>6.1053685663675548E-2</v>
      </c>
      <c r="AE182" s="66">
        <f t="shared" si="79"/>
        <v>1.8204828333333332E-2</v>
      </c>
    </row>
    <row r="183" spans="2:31" ht="16" customHeight="1" x14ac:dyDescent="0.2">
      <c r="B183" s="91">
        <v>45747</v>
      </c>
      <c r="C183" s="66">
        <f>AIRBUS!D178</f>
        <v>-1.7622203083275795E-2</v>
      </c>
      <c r="D183" s="66">
        <f>BNP!D178</f>
        <v>5.5586062740417587E-2</v>
      </c>
      <c r="E183" s="66">
        <f>CAPGEMINI!D178</f>
        <v>-7.4421669555869124E-2</v>
      </c>
      <c r="F183" s="66">
        <f>DANONE!D178</f>
        <v>2.8753937894366026E-2</v>
      </c>
      <c r="G183" s="66">
        <f>ENGIE!D178</f>
        <v>4.6113669147118036E-2</v>
      </c>
      <c r="H183" s="66">
        <f>'HERMES INTL'!D178</f>
        <v>-0.11802118695323655</v>
      </c>
      <c r="I183" s="66">
        <f>'PERNOD RICARD'!D178</f>
        <v>-0.11612587220189813</v>
      </c>
      <c r="J183" s="66">
        <f>RENAULT!D178</f>
        <v>-6.6011257483742244E-2</v>
      </c>
      <c r="K183" s="66">
        <f>SANOFI!D178</f>
        <v>-2.3380630813882655E-2</v>
      </c>
      <c r="L183" s="66">
        <f>'SCHNEIDER ELECTRIC'!D178</f>
        <v>-9.9166425435744485E-2</v>
      </c>
      <c r="M183" s="66">
        <f>TOTALENERGIES!D178</f>
        <v>3.2537152076982538E-2</v>
      </c>
      <c r="N183" s="66">
        <f>VINCI!D178</f>
        <v>4.6804713738511666E-2</v>
      </c>
      <c r="O183" s="66">
        <f>MARKET!D178</f>
        <v>-3.9562939399999997E-2</v>
      </c>
      <c r="P183" s="92">
        <f>INTERBANK!D177</f>
        <v>2.0350000000000004E-3</v>
      </c>
      <c r="R183" s="91">
        <v>45747</v>
      </c>
      <c r="S183" s="66">
        <f t="shared" si="67"/>
        <v>-1.9657203083275794E-2</v>
      </c>
      <c r="T183" s="66">
        <f t="shared" si="68"/>
        <v>5.3551062740417585E-2</v>
      </c>
      <c r="U183" s="66">
        <f t="shared" si="69"/>
        <v>-7.645666955586912E-2</v>
      </c>
      <c r="V183" s="66">
        <f t="shared" si="70"/>
        <v>2.6718937894366024E-2</v>
      </c>
      <c r="W183" s="66">
        <f t="shared" si="71"/>
        <v>4.4078669147118034E-2</v>
      </c>
      <c r="X183" s="66">
        <f t="shared" si="72"/>
        <v>-0.12005618695323654</v>
      </c>
      <c r="Y183" s="66">
        <f t="shared" si="73"/>
        <v>-0.11816087220189812</v>
      </c>
      <c r="Z183" s="66">
        <f t="shared" si="74"/>
        <v>-6.804625748374224E-2</v>
      </c>
      <c r="AA183" s="66">
        <f t="shared" si="75"/>
        <v>-2.5415630813882657E-2</v>
      </c>
      <c r="AB183" s="66">
        <f t="shared" si="76"/>
        <v>-0.10120142543574448</v>
      </c>
      <c r="AC183" s="66">
        <f t="shared" si="77"/>
        <v>3.0502152076982536E-2</v>
      </c>
      <c r="AD183" s="66">
        <f t="shared" si="78"/>
        <v>4.4769713738511664E-2</v>
      </c>
      <c r="AE183" s="66">
        <f t="shared" si="79"/>
        <v>-4.1597939399999999E-2</v>
      </c>
    </row>
    <row r="184" spans="2:31" ht="16" customHeight="1" x14ac:dyDescent="0.2">
      <c r="B184" s="91">
        <v>45777</v>
      </c>
      <c r="C184" s="66">
        <f>AIRBUS!D179</f>
        <v>-9.6080566479584698E-2</v>
      </c>
      <c r="D184" s="66">
        <f>BNP!D179</f>
        <v>-3.4065910791538402E-2</v>
      </c>
      <c r="E184" s="66">
        <f>CAPGEMINI!D179</f>
        <v>1.3038780613701893E-2</v>
      </c>
      <c r="F184" s="66">
        <f>DANONE!D179</f>
        <v>7.2275686355715407E-2</v>
      </c>
      <c r="G184" s="66">
        <f>ENGIE!D179</f>
        <v>8.3171966404186146E-3</v>
      </c>
      <c r="H184" s="66">
        <f>'HERMES INTL'!D179</f>
        <v>-8.2952838151519361E-3</v>
      </c>
      <c r="I184" s="66">
        <f>'PERNOD RICARD'!D179</f>
        <v>4.3392463853968846E-2</v>
      </c>
      <c r="J184" s="66">
        <f>RENAULT!D179</f>
        <v>1.7185976566210202E-3</v>
      </c>
      <c r="K184" s="66">
        <f>SANOFI!D179</f>
        <v>-5.9065953174957504E-2</v>
      </c>
      <c r="L184" s="66">
        <f>'SCHNEIDER ELECTRIC'!D179</f>
        <v>-3.1079528046481581E-2</v>
      </c>
      <c r="M184" s="66">
        <f>TOTALENERGIES!D179</f>
        <v>-0.13090560166280624</v>
      </c>
      <c r="N184" s="66">
        <f>VINCI!D179</f>
        <v>5.4170148227412736E-2</v>
      </c>
      <c r="O184" s="66">
        <f>MARKET!D179</f>
        <v>-2.5265969900000001E-2</v>
      </c>
      <c r="P184" s="92">
        <f>INTERBANK!D178</f>
        <v>1.8733333333333336E-3</v>
      </c>
      <c r="R184" s="91">
        <v>45777</v>
      </c>
      <c r="S184" s="66">
        <f t="shared" si="67"/>
        <v>-9.7953899812918035E-2</v>
      </c>
      <c r="T184" s="66">
        <f t="shared" si="68"/>
        <v>-3.5939244124871733E-2</v>
      </c>
      <c r="U184" s="66">
        <f t="shared" si="69"/>
        <v>1.116544728036856E-2</v>
      </c>
      <c r="V184" s="66">
        <f t="shared" si="70"/>
        <v>7.0402353022382069E-2</v>
      </c>
      <c r="W184" s="66">
        <f t="shared" si="71"/>
        <v>6.443863307085281E-3</v>
      </c>
      <c r="X184" s="66">
        <f t="shared" si="72"/>
        <v>-1.0168617148485271E-2</v>
      </c>
      <c r="Y184" s="66">
        <f t="shared" si="73"/>
        <v>4.1519130520635515E-2</v>
      </c>
      <c r="Z184" s="66">
        <f t="shared" si="74"/>
        <v>-1.5473567671231338E-4</v>
      </c>
      <c r="AA184" s="66">
        <f t="shared" si="75"/>
        <v>-6.0939286508290835E-2</v>
      </c>
      <c r="AB184" s="66">
        <f t="shared" si="76"/>
        <v>-3.2952861379814916E-2</v>
      </c>
      <c r="AC184" s="66">
        <f t="shared" si="77"/>
        <v>-0.13277893499613957</v>
      </c>
      <c r="AD184" s="66">
        <f t="shared" si="78"/>
        <v>5.2296814894079405E-2</v>
      </c>
      <c r="AE184" s="66">
        <f t="shared" si="79"/>
        <v>-2.7139303233333335E-2</v>
      </c>
    </row>
    <row r="185" spans="2:31" ht="16" customHeight="1" x14ac:dyDescent="0.2">
      <c r="B185" s="91">
        <v>45808</v>
      </c>
      <c r="C185" s="66">
        <f>AIRBUS!D180</f>
        <v>0.12629695009167682</v>
      </c>
      <c r="D185" s="66">
        <f>BNP!D180</f>
        <v>3.8363164128901166E-2</v>
      </c>
      <c r="E185" s="66">
        <f>CAPGEMINI!D180</f>
        <v>4.5763298165943558E-2</v>
      </c>
      <c r="F185" s="66">
        <f>DANONE!D180</f>
        <v>-9.4787008987583955E-3</v>
      </c>
      <c r="G185" s="66">
        <f>ENGIE!D180</f>
        <v>0.13369390334770567</v>
      </c>
      <c r="H185" s="66">
        <f>'HERMES INTL'!D180</f>
        <v>1.5474662212816534E-2</v>
      </c>
      <c r="I185" s="66">
        <f>'PERNOD RICARD'!D180</f>
        <v>-4.4108400312031518E-2</v>
      </c>
      <c r="J185" s="66">
        <f>RENAULT!D180</f>
        <v>-2.6806792738844537E-2</v>
      </c>
      <c r="K185" s="66">
        <f>SANOFI!D180</f>
        <v>-8.7382690544908145E-2</v>
      </c>
      <c r="L185" s="66">
        <f>'SCHNEIDER ELECTRIC'!D180</f>
        <v>8.3986322279896677E-2</v>
      </c>
      <c r="M185" s="66">
        <f>TOTALENERGIES!D180</f>
        <v>9.7733121703503668E-3</v>
      </c>
      <c r="N185" s="66">
        <f>VINCI!D180</f>
        <v>5.9251095755945143E-2</v>
      </c>
      <c r="O185" s="66">
        <f>MARKET!D180</f>
        <v>2.0808891499999999E-2</v>
      </c>
      <c r="P185" s="92">
        <f>INTERBANK!D179</f>
        <v>1.7425000000000001E-3</v>
      </c>
      <c r="R185" s="91">
        <v>45808</v>
      </c>
      <c r="S185" s="66">
        <f t="shared" si="67"/>
        <v>0.12455445009167683</v>
      </c>
      <c r="T185" s="66">
        <f t="shared" si="68"/>
        <v>3.6620664128901165E-2</v>
      </c>
      <c r="U185" s="66">
        <f t="shared" si="69"/>
        <v>4.4020798165943557E-2</v>
      </c>
      <c r="V185" s="66">
        <f t="shared" si="70"/>
        <v>-1.1221200898758395E-2</v>
      </c>
      <c r="W185" s="66">
        <f t="shared" si="71"/>
        <v>0.13195140334770566</v>
      </c>
      <c r="X185" s="66">
        <f t="shared" si="72"/>
        <v>1.3732162212816534E-2</v>
      </c>
      <c r="Y185" s="66">
        <f t="shared" si="73"/>
        <v>-4.5850900312031519E-2</v>
      </c>
      <c r="Z185" s="66">
        <f t="shared" si="74"/>
        <v>-2.8549292738844538E-2</v>
      </c>
      <c r="AA185" s="66">
        <f t="shared" si="75"/>
        <v>-8.9125190544908139E-2</v>
      </c>
      <c r="AB185" s="66">
        <f t="shared" si="76"/>
        <v>8.2243822279896683E-2</v>
      </c>
      <c r="AC185" s="66">
        <f t="shared" si="77"/>
        <v>8.0308121703503675E-3</v>
      </c>
      <c r="AD185" s="66">
        <f t="shared" si="78"/>
        <v>5.7508595755945142E-2</v>
      </c>
      <c r="AE185" s="66">
        <f t="shared" si="79"/>
        <v>1.9066391499999998E-2</v>
      </c>
    </row>
    <row r="186" spans="2:31" ht="16" customHeight="1" x14ac:dyDescent="0.2">
      <c r="B186" s="91">
        <v>45838</v>
      </c>
      <c r="C186" s="66">
        <f>AIRBUS!D181</f>
        <v>9.3657406862593356E-2</v>
      </c>
      <c r="D186" s="66">
        <f>BNP!D181</f>
        <v>5.289664154268444E-2</v>
      </c>
      <c r="E186" s="66">
        <f>CAPGEMINI!D181</f>
        <v>1.4648796489099518E-2</v>
      </c>
      <c r="F186" s="66">
        <f>DANONE!D181</f>
        <v>-5.1649341731029592E-2</v>
      </c>
      <c r="G186" s="66">
        <f>ENGIE!D181</f>
        <v>4.9512699314655982E-2</v>
      </c>
      <c r="H186" s="66">
        <f>'HERMES INTL'!D181</f>
        <v>-4.4361025103944351E-2</v>
      </c>
      <c r="I186" s="66">
        <f>'PERNOD RICARD'!D181</f>
        <v>-7.0533968068468858E-2</v>
      </c>
      <c r="J186" s="66">
        <f>RENAULT!D181</f>
        <v>-9.5877075113272064E-2</v>
      </c>
      <c r="K186" s="66">
        <f>SANOFI!D181</f>
        <v>-1.9299151270200154E-2</v>
      </c>
      <c r="L186" s="66">
        <f>'SCHNEIDER ELECTRIC'!D181</f>
        <v>3.8424945840328073E-2</v>
      </c>
      <c r="M186" s="66">
        <f>TOTALENERGIES!D181</f>
        <v>8.5171537738980858E-3</v>
      </c>
      <c r="N186" s="66">
        <f>VINCI!D181</f>
        <v>-5.9594848977226758E-3</v>
      </c>
      <c r="O186" s="66">
        <f>MARKET!D181</f>
        <v>-1.10914859E-2</v>
      </c>
      <c r="P186" s="92">
        <f>INTERBANK!D180</f>
        <v>1.6533333333333333E-3</v>
      </c>
      <c r="R186" s="91">
        <v>45838</v>
      </c>
      <c r="S186" s="66">
        <f t="shared" si="67"/>
        <v>9.2004073529260016E-2</v>
      </c>
      <c r="T186" s="66">
        <f t="shared" si="68"/>
        <v>5.1243308209351107E-2</v>
      </c>
      <c r="U186" s="66">
        <f t="shared" si="69"/>
        <v>1.2995463155766185E-2</v>
      </c>
      <c r="V186" s="66">
        <f t="shared" si="70"/>
        <v>-5.3302675064362925E-2</v>
      </c>
      <c r="W186" s="66">
        <f t="shared" si="71"/>
        <v>4.7859365981322649E-2</v>
      </c>
      <c r="X186" s="66">
        <f t="shared" si="72"/>
        <v>-4.6014358437277685E-2</v>
      </c>
      <c r="Y186" s="66">
        <f t="shared" si="73"/>
        <v>-7.2187301401802198E-2</v>
      </c>
      <c r="Z186" s="66">
        <f t="shared" si="74"/>
        <v>-9.7530408446605404E-2</v>
      </c>
      <c r="AA186" s="66">
        <f t="shared" si="75"/>
        <v>-2.0952484603533487E-2</v>
      </c>
      <c r="AB186" s="66">
        <f t="shared" si="76"/>
        <v>3.677161250699474E-2</v>
      </c>
      <c r="AC186" s="66">
        <f t="shared" si="77"/>
        <v>6.8638204405647527E-3</v>
      </c>
      <c r="AD186" s="66">
        <f t="shared" si="78"/>
        <v>-7.6128182310560089E-3</v>
      </c>
      <c r="AE186" s="66">
        <f t="shared" si="79"/>
        <v>-1.2744819233333333E-2</v>
      </c>
    </row>
    <row r="187" spans="2:31" ht="16" customHeight="1" x14ac:dyDescent="0.2">
      <c r="B187" s="91">
        <v>45869</v>
      </c>
      <c r="C187" s="66">
        <f>AIRBUS!D182</f>
        <v>-6.8825525133136218E-3</v>
      </c>
      <c r="D187" s="66">
        <f>BNP!D182</f>
        <v>4.900408060645018E-2</v>
      </c>
      <c r="E187" s="66">
        <f>CAPGEMINI!D182</f>
        <v>-9.7552629145584199E-2</v>
      </c>
      <c r="F187" s="66">
        <f>DANONE!D182</f>
        <v>3.6332131212384912E-2</v>
      </c>
      <c r="G187" s="66">
        <f>ENGIE!D182</f>
        <v>-1.5307322936294282E-2</v>
      </c>
      <c r="H187" s="66">
        <f>'HERMES INTL'!D182</f>
        <v>-6.4375815571987821E-2</v>
      </c>
      <c r="I187" s="66">
        <f>'PERNOD RICARD'!D182</f>
        <v>6.8085181917221752E-2</v>
      </c>
      <c r="J187" s="66">
        <f>RENAULT!D182</f>
        <v>-0.16406853586502435</v>
      </c>
      <c r="K187" s="66">
        <f>SANOFI!D182</f>
        <v>-4.0992613843960093E-2</v>
      </c>
      <c r="L187" s="66">
        <f>'SCHNEIDER ELECTRIC'!D182</f>
        <v>1.085029634689774E-2</v>
      </c>
      <c r="M187" s="66">
        <f>TOTALENERGIES!D182</f>
        <v>1.4254213500138857E-2</v>
      </c>
      <c r="N187" s="66">
        <f>VINCI!D182</f>
        <v>-2.7977620955238366E-2</v>
      </c>
      <c r="O187" s="66">
        <f>MARKET!D182</f>
        <v>1.3835285900000001E-2</v>
      </c>
      <c r="P187" s="92">
        <f>INTERBANK!D181</f>
        <v>1.655E-3</v>
      </c>
      <c r="R187" s="91">
        <v>45869</v>
      </c>
      <c r="S187" s="66">
        <f t="shared" si="67"/>
        <v>-8.5375525133136211E-3</v>
      </c>
      <c r="T187" s="66">
        <f t="shared" si="68"/>
        <v>4.7349080606450183E-2</v>
      </c>
      <c r="U187" s="66">
        <f t="shared" si="69"/>
        <v>-9.9207629145584203E-2</v>
      </c>
      <c r="V187" s="66">
        <f t="shared" si="70"/>
        <v>3.4677131212384915E-2</v>
      </c>
      <c r="W187" s="66">
        <f t="shared" si="71"/>
        <v>-1.696232293629428E-2</v>
      </c>
      <c r="X187" s="66">
        <f t="shared" si="72"/>
        <v>-6.6030815571987825E-2</v>
      </c>
      <c r="Y187" s="66">
        <f t="shared" si="73"/>
        <v>6.6430181917221748E-2</v>
      </c>
      <c r="Z187" s="66">
        <f t="shared" si="74"/>
        <v>-0.16572353586502434</v>
      </c>
      <c r="AA187" s="66">
        <f t="shared" si="75"/>
        <v>-4.264761384396009E-2</v>
      </c>
      <c r="AB187" s="66">
        <f t="shared" si="76"/>
        <v>9.1952963468977401E-3</v>
      </c>
      <c r="AC187" s="66">
        <f t="shared" si="77"/>
        <v>1.2599213500138857E-2</v>
      </c>
      <c r="AD187" s="66">
        <f t="shared" si="78"/>
        <v>-2.9632620955238366E-2</v>
      </c>
      <c r="AE187" s="66">
        <f t="shared" si="79"/>
        <v>1.2180285900000001E-2</v>
      </c>
    </row>
    <row r="188" spans="2:31" ht="16" customHeight="1" x14ac:dyDescent="0.2">
      <c r="B188" s="91">
        <v>45900</v>
      </c>
      <c r="C188" s="66">
        <f>AIRBUS!D183</f>
        <v>1.7155216925919332E-2</v>
      </c>
      <c r="D188" s="66">
        <f>BNP!D183</f>
        <v>-4.0344662293393292E-2</v>
      </c>
      <c r="E188" s="66">
        <f>CAPGEMINI!D183</f>
        <v>-7.219249342146708E-2</v>
      </c>
      <c r="F188" s="66">
        <f>DANONE!D183</f>
        <v>-9.73841089300982E-3</v>
      </c>
      <c r="G188" s="66">
        <f>ENGIE!D183</f>
        <v>-9.8369022559695721E-2</v>
      </c>
      <c r="H188" s="66">
        <f>'HERMES INTL'!D183</f>
        <v>-2.7894002789400279E-2</v>
      </c>
      <c r="I188" s="66">
        <f>'PERNOD RICARD'!D183</f>
        <v>0.1027594872196138</v>
      </c>
      <c r="J188" s="66">
        <f>RENAULT!D183</f>
        <v>2.7208786748969399E-2</v>
      </c>
      <c r="K188" s="66">
        <f>SANOFI!D183</f>
        <v>7.166415256622112E-2</v>
      </c>
      <c r="L188" s="66">
        <f>'SCHNEIDER ELECTRIC'!D183</f>
        <v>-7.9737116969296779E-2</v>
      </c>
      <c r="M188" s="66">
        <f>TOTALENERGIES!D183</f>
        <v>2.8450583254925527E-2</v>
      </c>
      <c r="N188" s="66">
        <f>VINCI!D183</f>
        <v>-4.6874934718414599E-2</v>
      </c>
      <c r="O188" s="66">
        <f>MARKET!D183</f>
        <v>-8.7584371000000005E-3</v>
      </c>
      <c r="P188" s="92">
        <f>INTERBANK!D182</f>
        <v>1.6841666666666665E-3</v>
      </c>
      <c r="R188" s="91">
        <v>45900</v>
      </c>
      <c r="S188" s="66">
        <f t="shared" si="67"/>
        <v>1.5471050259252665E-2</v>
      </c>
      <c r="T188" s="66">
        <f t="shared" si="68"/>
        <v>-4.2028828960059959E-2</v>
      </c>
      <c r="U188" s="66">
        <f t="shared" si="69"/>
        <v>-7.3876660088133747E-2</v>
      </c>
      <c r="V188" s="66">
        <f t="shared" si="70"/>
        <v>-1.1422577559676487E-2</v>
      </c>
      <c r="W188" s="66">
        <f t="shared" si="71"/>
        <v>-0.10005318922636239</v>
      </c>
      <c r="X188" s="66">
        <f t="shared" si="72"/>
        <v>-2.9578169456066946E-2</v>
      </c>
      <c r="Y188" s="66">
        <f t="shared" si="73"/>
        <v>0.10107532055294713</v>
      </c>
      <c r="Z188" s="66">
        <f t="shared" si="74"/>
        <v>2.5524620082302732E-2</v>
      </c>
      <c r="AA188" s="66">
        <f t="shared" si="75"/>
        <v>6.9979985899554453E-2</v>
      </c>
      <c r="AB188" s="66">
        <f t="shared" si="76"/>
        <v>-8.1421283635963446E-2</v>
      </c>
      <c r="AC188" s="66">
        <f t="shared" si="77"/>
        <v>2.6766416588258859E-2</v>
      </c>
      <c r="AD188" s="66">
        <f t="shared" si="78"/>
        <v>-4.8559101385081266E-2</v>
      </c>
      <c r="AE188" s="66">
        <f t="shared" si="79"/>
        <v>-1.0442603766666668E-2</v>
      </c>
    </row>
  </sheetData>
  <mergeCells count="13">
    <mergeCell ref="AI19:AT19"/>
    <mergeCell ref="AI11:AT11"/>
    <mergeCell ref="AI2:AT2"/>
    <mergeCell ref="AI10:AT10"/>
    <mergeCell ref="C3:N3"/>
    <mergeCell ref="S3:AD3"/>
    <mergeCell ref="AI18:AT18"/>
    <mergeCell ref="AE4:AE6"/>
    <mergeCell ref="AI3:AT3"/>
    <mergeCell ref="P4:P6"/>
    <mergeCell ref="O4:O6"/>
    <mergeCell ref="B2:P2"/>
    <mergeCell ref="R2:AF2"/>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2:D193"/>
  <sheetViews>
    <sheetView workbookViewId="0">
      <selection activeCell="N28" sqref="N28"/>
    </sheetView>
  </sheetViews>
  <sheetFormatPr baseColWidth="10" defaultColWidth="10.83203125" defaultRowHeight="15" x14ac:dyDescent="0.2"/>
  <sheetData>
    <row r="2" spans="2:4" x14ac:dyDescent="0.2">
      <c r="B2" s="22" t="s">
        <v>308</v>
      </c>
      <c r="C2" s="20" t="s">
        <v>309</v>
      </c>
      <c r="D2" s="20" t="s">
        <v>310</v>
      </c>
    </row>
    <row r="3" spans="2:4" x14ac:dyDescent="0.2">
      <c r="B3" s="16" t="s">
        <v>237</v>
      </c>
      <c r="C3" s="109">
        <v>3490.790039</v>
      </c>
      <c r="D3" s="74"/>
    </row>
    <row r="4" spans="2:4" x14ac:dyDescent="0.2">
      <c r="B4" s="16" t="s">
        <v>47</v>
      </c>
      <c r="C4" s="109">
        <v>3715.179932</v>
      </c>
      <c r="D4" s="34">
        <v>6.4280546800000005E-2</v>
      </c>
    </row>
    <row r="5" spans="2:4" x14ac:dyDescent="0.2">
      <c r="B5" s="16" t="s">
        <v>48</v>
      </c>
      <c r="C5" s="109">
        <v>3833.5</v>
      </c>
      <c r="D5" s="34">
        <v>3.1847735699999997E-2</v>
      </c>
    </row>
    <row r="6" spans="2:4" x14ac:dyDescent="0.2">
      <c r="B6" s="16" t="s">
        <v>49</v>
      </c>
      <c r="C6" s="109">
        <v>3610.4399410000001</v>
      </c>
      <c r="D6" s="34">
        <v>-5.8187050599999998E-2</v>
      </c>
    </row>
    <row r="7" spans="2:4" x14ac:dyDescent="0.2">
      <c r="B7" s="16" t="s">
        <v>50</v>
      </c>
      <c r="C7" s="109">
        <v>3804.780029</v>
      </c>
      <c r="D7" s="34">
        <v>5.3827259600000003E-2</v>
      </c>
    </row>
    <row r="8" spans="2:4" x14ac:dyDescent="0.2">
      <c r="B8" s="16" t="s">
        <v>51</v>
      </c>
      <c r="C8" s="109">
        <v>4005.5</v>
      </c>
      <c r="D8" s="34">
        <v>5.2754684699999999E-2</v>
      </c>
    </row>
    <row r="9" spans="2:4" x14ac:dyDescent="0.2">
      <c r="B9" s="16" t="s">
        <v>52</v>
      </c>
      <c r="C9" s="109">
        <v>4110.3500979999999</v>
      </c>
      <c r="D9" s="34">
        <v>2.6176531699999998E-2</v>
      </c>
    </row>
    <row r="10" spans="2:4" x14ac:dyDescent="0.2">
      <c r="B10" s="16" t="s">
        <v>53</v>
      </c>
      <c r="C10" s="109">
        <v>3989.179932</v>
      </c>
      <c r="D10" s="34">
        <v>-2.9479281100000001E-2</v>
      </c>
    </row>
    <row r="11" spans="2:4" x14ac:dyDescent="0.2">
      <c r="B11" s="16" t="s">
        <v>54</v>
      </c>
      <c r="C11" s="109">
        <v>4106.919922</v>
      </c>
      <c r="D11" s="34">
        <v>2.9514835699999999E-2</v>
      </c>
    </row>
    <row r="12" spans="2:4" x14ac:dyDescent="0.2">
      <c r="B12" s="16" t="s">
        <v>55</v>
      </c>
      <c r="C12" s="109">
        <v>4006.9399410000001</v>
      </c>
      <c r="D12" s="34">
        <v>-2.4344273199999999E-2</v>
      </c>
    </row>
    <row r="13" spans="2:4" x14ac:dyDescent="0.2">
      <c r="B13" s="16" t="s">
        <v>56</v>
      </c>
      <c r="C13" s="109">
        <v>3982.209961</v>
      </c>
      <c r="D13" s="34">
        <v>-6.1717871999999998E-3</v>
      </c>
    </row>
    <row r="14" spans="2:4" x14ac:dyDescent="0.2">
      <c r="B14" s="16" t="s">
        <v>57</v>
      </c>
      <c r="C14" s="109">
        <v>3672.7700199999999</v>
      </c>
      <c r="D14" s="34">
        <v>-7.7705581699999998E-2</v>
      </c>
    </row>
    <row r="15" spans="2:4" x14ac:dyDescent="0.2">
      <c r="B15" s="16" t="s">
        <v>58</v>
      </c>
      <c r="C15" s="109">
        <v>3256.76001</v>
      </c>
      <c r="D15" s="34">
        <v>-0.11326873379999999</v>
      </c>
    </row>
    <row r="16" spans="2:4" x14ac:dyDescent="0.2">
      <c r="B16" s="16" t="s">
        <v>59</v>
      </c>
      <c r="C16" s="109">
        <v>2981.959961</v>
      </c>
      <c r="D16" s="34">
        <v>-8.4378353899999994E-2</v>
      </c>
    </row>
    <row r="17" spans="2:4" x14ac:dyDescent="0.2">
      <c r="B17" s="16" t="s">
        <v>60</v>
      </c>
      <c r="C17" s="109">
        <v>3242.8400879999999</v>
      </c>
      <c r="D17" s="34">
        <v>8.74861267E-2</v>
      </c>
    </row>
    <row r="18" spans="2:4" x14ac:dyDescent="0.2">
      <c r="B18" s="16" t="s">
        <v>61</v>
      </c>
      <c r="C18" s="109">
        <v>3154.6201169999999</v>
      </c>
      <c r="D18" s="34">
        <v>-2.72045393E-2</v>
      </c>
    </row>
    <row r="19" spans="2:4" x14ac:dyDescent="0.2">
      <c r="B19" s="16" t="s">
        <v>62</v>
      </c>
      <c r="C19" s="109">
        <v>3159.8100589999999</v>
      </c>
      <c r="D19" s="34">
        <v>1.6451873999999999E-3</v>
      </c>
    </row>
    <row r="20" spans="2:4" x14ac:dyDescent="0.2">
      <c r="B20" s="16" t="s">
        <v>63</v>
      </c>
      <c r="C20" s="109">
        <v>3298.5500489999999</v>
      </c>
      <c r="D20" s="34">
        <v>4.39076994E-2</v>
      </c>
    </row>
    <row r="21" spans="2:4" x14ac:dyDescent="0.2">
      <c r="B21" s="16" t="s">
        <v>64</v>
      </c>
      <c r="C21" s="109">
        <v>3452.4499510000001</v>
      </c>
      <c r="D21" s="34">
        <v>4.6656834100000003E-2</v>
      </c>
    </row>
    <row r="22" spans="2:4" x14ac:dyDescent="0.2">
      <c r="B22" s="16" t="s">
        <v>65</v>
      </c>
      <c r="C22" s="109">
        <v>3423.8100589999999</v>
      </c>
      <c r="D22" s="34">
        <v>-8.2955271999999997E-3</v>
      </c>
    </row>
    <row r="23" spans="2:4" x14ac:dyDescent="0.2">
      <c r="B23" s="16" t="s">
        <v>66</v>
      </c>
      <c r="C23" s="109">
        <v>3212.8000489999999</v>
      </c>
      <c r="D23" s="34">
        <v>-6.1630174000000003E-2</v>
      </c>
    </row>
    <row r="24" spans="2:4" x14ac:dyDescent="0.2">
      <c r="B24" s="16" t="s">
        <v>67</v>
      </c>
      <c r="C24" s="109">
        <v>3017.01001</v>
      </c>
      <c r="D24" s="34">
        <v>-6.0940623800000003E-2</v>
      </c>
    </row>
    <row r="25" spans="2:4" x14ac:dyDescent="0.2">
      <c r="B25" s="16" t="s">
        <v>68</v>
      </c>
      <c r="C25" s="109">
        <v>3196.6499020000001</v>
      </c>
      <c r="D25" s="34">
        <v>5.95423588E-2</v>
      </c>
    </row>
    <row r="26" spans="2:4" x14ac:dyDescent="0.2">
      <c r="B26" s="16" t="s">
        <v>69</v>
      </c>
      <c r="C26" s="109">
        <v>3291.6599120000001</v>
      </c>
      <c r="D26" s="34">
        <v>2.97217439E-2</v>
      </c>
    </row>
    <row r="27" spans="2:4" x14ac:dyDescent="0.2">
      <c r="B27" s="16" t="s">
        <v>70</v>
      </c>
      <c r="C27" s="109">
        <v>3413.070068</v>
      </c>
      <c r="D27" s="34">
        <v>3.6884173800000003E-2</v>
      </c>
    </row>
    <row r="28" spans="2:4" x14ac:dyDescent="0.2">
      <c r="B28" s="16" t="s">
        <v>71</v>
      </c>
      <c r="C28" s="109">
        <v>3354.820068</v>
      </c>
      <c r="D28" s="34">
        <v>-1.7066746000000001E-2</v>
      </c>
    </row>
    <row r="29" spans="2:4" x14ac:dyDescent="0.2">
      <c r="B29" s="16" t="s">
        <v>72</v>
      </c>
      <c r="C29" s="109">
        <v>3429.2700199999999</v>
      </c>
      <c r="D29" s="34">
        <v>2.2191935699999998E-2</v>
      </c>
    </row>
    <row r="30" spans="2:4" x14ac:dyDescent="0.2">
      <c r="B30" s="16" t="s">
        <v>73</v>
      </c>
      <c r="C30" s="109">
        <v>3557.280029</v>
      </c>
      <c r="D30" s="34">
        <v>3.7328646899999998E-2</v>
      </c>
    </row>
    <row r="31" spans="2:4" x14ac:dyDescent="0.2">
      <c r="B31" s="16" t="s">
        <v>74</v>
      </c>
      <c r="C31" s="109">
        <v>3641.070068</v>
      </c>
      <c r="D31" s="34">
        <v>2.3554524300000001E-2</v>
      </c>
    </row>
    <row r="32" spans="2:4" x14ac:dyDescent="0.2">
      <c r="B32" s="16" t="s">
        <v>75</v>
      </c>
      <c r="C32" s="109">
        <v>3732.6000979999999</v>
      </c>
      <c r="D32" s="34">
        <v>2.51382224E-2</v>
      </c>
    </row>
    <row r="33" spans="2:4" x14ac:dyDescent="0.2">
      <c r="B33" s="16" t="s">
        <v>76</v>
      </c>
      <c r="C33" s="109">
        <v>3723</v>
      </c>
      <c r="D33" s="34">
        <v>-2.5719598999999998E-3</v>
      </c>
    </row>
    <row r="34" spans="2:4" x14ac:dyDescent="0.2">
      <c r="B34" s="16" t="s">
        <v>77</v>
      </c>
      <c r="C34" s="109">
        <v>3731.419922</v>
      </c>
      <c r="D34" s="34">
        <v>2.2615959999999998E-3</v>
      </c>
    </row>
    <row r="35" spans="2:4" x14ac:dyDescent="0.2">
      <c r="B35" s="16" t="s">
        <v>78</v>
      </c>
      <c r="C35" s="109">
        <v>3856.75</v>
      </c>
      <c r="D35" s="34">
        <v>3.3587771099999997E-2</v>
      </c>
    </row>
    <row r="36" spans="2:4" x14ac:dyDescent="0.2">
      <c r="B36" s="16" t="s">
        <v>79</v>
      </c>
      <c r="C36" s="109">
        <v>3948.5900879999999</v>
      </c>
      <c r="D36" s="34">
        <v>2.3812818499999999E-2</v>
      </c>
    </row>
    <row r="37" spans="2:4" x14ac:dyDescent="0.2">
      <c r="B37" s="16" t="s">
        <v>80</v>
      </c>
      <c r="C37" s="109">
        <v>3738.9099120000001</v>
      </c>
      <c r="D37" s="34">
        <v>-5.3102543199999998E-2</v>
      </c>
    </row>
    <row r="38" spans="2:4" x14ac:dyDescent="0.2">
      <c r="B38" s="16" t="s">
        <v>81</v>
      </c>
      <c r="C38" s="109">
        <v>3992.6899410000001</v>
      </c>
      <c r="D38" s="34">
        <v>6.7875406299999996E-2</v>
      </c>
    </row>
    <row r="39" spans="2:4" x14ac:dyDescent="0.2">
      <c r="B39" s="16" t="s">
        <v>82</v>
      </c>
      <c r="C39" s="109">
        <v>3933.780029</v>
      </c>
      <c r="D39" s="34">
        <v>-1.4754442E-2</v>
      </c>
    </row>
    <row r="40" spans="2:4" x14ac:dyDescent="0.2">
      <c r="B40" s="16" t="s">
        <v>83</v>
      </c>
      <c r="C40" s="109">
        <v>4143.4399409999996</v>
      </c>
      <c r="D40" s="34">
        <v>5.3297314700000001E-2</v>
      </c>
    </row>
    <row r="41" spans="2:4" x14ac:dyDescent="0.2">
      <c r="B41" s="16" t="s">
        <v>84</v>
      </c>
      <c r="C41" s="109">
        <v>4299.8901370000003</v>
      </c>
      <c r="D41" s="34">
        <v>3.7758528499999999E-2</v>
      </c>
    </row>
    <row r="42" spans="2:4" x14ac:dyDescent="0.2">
      <c r="B42" s="16" t="s">
        <v>85</v>
      </c>
      <c r="C42" s="109">
        <v>4295.2099609999996</v>
      </c>
      <c r="D42" s="34">
        <v>-1.0884408E-3</v>
      </c>
    </row>
    <row r="43" spans="2:4" x14ac:dyDescent="0.2">
      <c r="B43" s="16" t="s">
        <v>86</v>
      </c>
      <c r="C43" s="109">
        <v>4295.9501950000003</v>
      </c>
      <c r="D43" s="34">
        <v>1.7233950000000001E-4</v>
      </c>
    </row>
    <row r="44" spans="2:4" x14ac:dyDescent="0.2">
      <c r="B44" s="16" t="s">
        <v>87</v>
      </c>
      <c r="C44" s="109">
        <v>4165.7202150000003</v>
      </c>
      <c r="D44" s="34">
        <v>-3.03145927E-2</v>
      </c>
    </row>
    <row r="45" spans="2:4" x14ac:dyDescent="0.2">
      <c r="B45" s="16" t="s">
        <v>88</v>
      </c>
      <c r="C45" s="109">
        <v>4408.080078</v>
      </c>
      <c r="D45" s="34">
        <v>5.8179582600000002E-2</v>
      </c>
    </row>
    <row r="46" spans="2:4" x14ac:dyDescent="0.2">
      <c r="B46" s="16" t="s">
        <v>89</v>
      </c>
      <c r="C46" s="109">
        <v>4391.5</v>
      </c>
      <c r="D46" s="34">
        <v>-3.7612924E-3</v>
      </c>
    </row>
    <row r="47" spans="2:4" x14ac:dyDescent="0.2">
      <c r="B47" s="16" t="s">
        <v>90</v>
      </c>
      <c r="C47" s="109">
        <v>4487.3901370000003</v>
      </c>
      <c r="D47" s="34">
        <v>2.1835394899999999E-2</v>
      </c>
    </row>
    <row r="48" spans="2:4" x14ac:dyDescent="0.2">
      <c r="B48" s="16" t="s">
        <v>91</v>
      </c>
      <c r="C48" s="109">
        <v>4519.5698240000002</v>
      </c>
      <c r="D48" s="34">
        <v>7.1711366E-3</v>
      </c>
    </row>
    <row r="49" spans="2:4" x14ac:dyDescent="0.2">
      <c r="B49" s="16" t="s">
        <v>92</v>
      </c>
      <c r="C49" s="109">
        <v>4422.8398440000001</v>
      </c>
      <c r="D49" s="34">
        <v>-2.1402475099999999E-2</v>
      </c>
    </row>
    <row r="50" spans="2:4" x14ac:dyDescent="0.2">
      <c r="B50" s="16" t="s">
        <v>93</v>
      </c>
      <c r="C50" s="109">
        <v>4246.1401370000003</v>
      </c>
      <c r="D50" s="34">
        <v>-3.9951640400000002E-2</v>
      </c>
    </row>
    <row r="51" spans="2:4" x14ac:dyDescent="0.2">
      <c r="B51" s="16" t="s">
        <v>94</v>
      </c>
      <c r="C51" s="109">
        <v>4381.0400390000004</v>
      </c>
      <c r="D51" s="34">
        <v>3.1770007099999997E-2</v>
      </c>
    </row>
    <row r="52" spans="2:4" x14ac:dyDescent="0.2">
      <c r="B52" s="16" t="s">
        <v>95</v>
      </c>
      <c r="C52" s="109">
        <v>4416.2402339999999</v>
      </c>
      <c r="D52" s="34">
        <v>8.0346663999999995E-3</v>
      </c>
    </row>
    <row r="53" spans="2:4" x14ac:dyDescent="0.2">
      <c r="B53" s="16" t="s">
        <v>96</v>
      </c>
      <c r="C53" s="109">
        <v>4233.0898440000001</v>
      </c>
      <c r="D53" s="34">
        <v>-4.1472017100000001E-2</v>
      </c>
    </row>
    <row r="54" spans="2:4" x14ac:dyDescent="0.2">
      <c r="B54" s="16" t="s">
        <v>97</v>
      </c>
      <c r="C54" s="109">
        <v>4390.1801759999998</v>
      </c>
      <c r="D54" s="34">
        <v>3.7110086899999999E-2</v>
      </c>
    </row>
    <row r="55" spans="2:4" x14ac:dyDescent="0.2">
      <c r="B55" s="16" t="s">
        <v>98</v>
      </c>
      <c r="C55" s="109">
        <v>4272.75</v>
      </c>
      <c r="D55" s="34">
        <v>-2.6748372699999998E-2</v>
      </c>
    </row>
    <row r="56" spans="2:4" x14ac:dyDescent="0.2">
      <c r="B56" s="16" t="s">
        <v>99</v>
      </c>
      <c r="C56" s="109">
        <v>4604.25</v>
      </c>
      <c r="D56" s="34">
        <v>7.7584693699999999E-2</v>
      </c>
    </row>
    <row r="57" spans="2:4" x14ac:dyDescent="0.2">
      <c r="B57" s="16" t="s">
        <v>100</v>
      </c>
      <c r="C57" s="109">
        <v>4951.4799800000001</v>
      </c>
      <c r="D57" s="34">
        <v>7.5415101400000004E-2</v>
      </c>
    </row>
    <row r="58" spans="2:4" x14ac:dyDescent="0.2">
      <c r="B58" s="16" t="s">
        <v>101</v>
      </c>
      <c r="C58" s="109">
        <v>5033.6401370000003</v>
      </c>
      <c r="D58" s="34">
        <v>1.6593050299999999E-2</v>
      </c>
    </row>
    <row r="59" spans="2:4" x14ac:dyDescent="0.2">
      <c r="B59" s="16" t="s">
        <v>102</v>
      </c>
      <c r="C59" s="109">
        <v>5046.4902339999999</v>
      </c>
      <c r="D59" s="34">
        <v>2.5528438999999998E-3</v>
      </c>
    </row>
    <row r="60" spans="2:4" x14ac:dyDescent="0.2">
      <c r="B60" s="16" t="s">
        <v>103</v>
      </c>
      <c r="C60" s="109">
        <v>5007.8901370000003</v>
      </c>
      <c r="D60" s="34">
        <v>-7.6488996999999996E-3</v>
      </c>
    </row>
    <row r="61" spans="2:4" x14ac:dyDescent="0.2">
      <c r="B61" s="16" t="s">
        <v>104</v>
      </c>
      <c r="C61" s="109">
        <v>4790.2001950000003</v>
      </c>
      <c r="D61" s="34">
        <v>-4.3469392400000001E-2</v>
      </c>
    </row>
    <row r="62" spans="2:4" x14ac:dyDescent="0.2">
      <c r="B62" s="16" t="s">
        <v>105</v>
      </c>
      <c r="C62" s="109">
        <v>5082.6098629999997</v>
      </c>
      <c r="D62" s="34">
        <v>6.1043308400000003E-2</v>
      </c>
    </row>
    <row r="63" spans="2:4" x14ac:dyDescent="0.2">
      <c r="B63" s="16" t="s">
        <v>106</v>
      </c>
      <c r="C63" s="109">
        <v>4652.9501950000003</v>
      </c>
      <c r="D63" s="34">
        <v>-8.4535244600000004E-2</v>
      </c>
    </row>
    <row r="64" spans="2:4" x14ac:dyDescent="0.2">
      <c r="B64" s="16" t="s">
        <v>107</v>
      </c>
      <c r="C64" s="109">
        <v>4455.2900390000004</v>
      </c>
      <c r="D64" s="34">
        <v>-4.2480608599999997E-2</v>
      </c>
    </row>
    <row r="65" spans="2:4" x14ac:dyDescent="0.2">
      <c r="B65" s="16" t="s">
        <v>108</v>
      </c>
      <c r="C65" s="109">
        <v>4897.6601559999999</v>
      </c>
      <c r="D65" s="34">
        <v>9.9290980700000003E-2</v>
      </c>
    </row>
    <row r="66" spans="2:4" x14ac:dyDescent="0.2">
      <c r="B66" s="16" t="s">
        <v>109</v>
      </c>
      <c r="C66" s="109">
        <v>4957.6000979999999</v>
      </c>
      <c r="D66" s="34">
        <v>1.22384852E-2</v>
      </c>
    </row>
    <row r="67" spans="2:4" x14ac:dyDescent="0.2">
      <c r="B67" s="16" t="s">
        <v>110</v>
      </c>
      <c r="C67" s="109">
        <v>4637.0600590000004</v>
      </c>
      <c r="D67" s="34">
        <v>-6.4656291899999996E-2</v>
      </c>
    </row>
    <row r="68" spans="2:4" x14ac:dyDescent="0.2">
      <c r="B68" s="16" t="s">
        <v>111</v>
      </c>
      <c r="C68" s="109">
        <v>4417.0200199999999</v>
      </c>
      <c r="D68" s="34">
        <v>-4.7452488500000001E-2</v>
      </c>
    </row>
    <row r="69" spans="2:4" x14ac:dyDescent="0.2">
      <c r="B69" s="16" t="s">
        <v>112</v>
      </c>
      <c r="C69" s="109">
        <v>4353.5498049999997</v>
      </c>
      <c r="D69" s="34">
        <v>-1.4369465099999999E-2</v>
      </c>
    </row>
    <row r="70" spans="2:4" x14ac:dyDescent="0.2">
      <c r="B70" s="16" t="s">
        <v>113</v>
      </c>
      <c r="C70" s="109">
        <v>4385.0600590000004</v>
      </c>
      <c r="D70" s="34">
        <v>7.2378301000000003E-3</v>
      </c>
    </row>
    <row r="71" spans="2:4" x14ac:dyDescent="0.2">
      <c r="B71" s="16" t="s">
        <v>114</v>
      </c>
      <c r="C71" s="109">
        <v>4428.9599609999996</v>
      </c>
      <c r="D71" s="34">
        <v>1.0011243100000001E-2</v>
      </c>
    </row>
    <row r="72" spans="2:4" x14ac:dyDescent="0.2">
      <c r="B72" s="16" t="s">
        <v>115</v>
      </c>
      <c r="C72" s="109">
        <v>4505.6201170000004</v>
      </c>
      <c r="D72" s="34">
        <v>1.73088393E-2</v>
      </c>
    </row>
    <row r="73" spans="2:4" x14ac:dyDescent="0.2">
      <c r="B73" s="16" t="s">
        <v>116</v>
      </c>
      <c r="C73" s="109">
        <v>4237.4799800000001</v>
      </c>
      <c r="D73" s="34">
        <v>-5.9512371199999997E-2</v>
      </c>
    </row>
    <row r="74" spans="2:4" x14ac:dyDescent="0.2">
      <c r="B74" s="16" t="s">
        <v>117</v>
      </c>
      <c r="C74" s="109">
        <v>4439.8100590000004</v>
      </c>
      <c r="D74" s="34">
        <v>4.77477366E-2</v>
      </c>
    </row>
    <row r="75" spans="2:4" x14ac:dyDescent="0.2">
      <c r="B75" s="16" t="s">
        <v>118</v>
      </c>
      <c r="C75" s="109">
        <v>4438.2202150000003</v>
      </c>
      <c r="D75" s="34">
        <v>-3.5808820000000002E-4</v>
      </c>
    </row>
    <row r="76" spans="2:4" x14ac:dyDescent="0.2">
      <c r="B76" s="16" t="s">
        <v>119</v>
      </c>
      <c r="C76" s="109">
        <v>4448.2597660000001</v>
      </c>
      <c r="D76" s="34">
        <v>2.2620667999999999E-3</v>
      </c>
    </row>
    <row r="77" spans="2:4" x14ac:dyDescent="0.2">
      <c r="B77" s="16" t="s">
        <v>120</v>
      </c>
      <c r="C77" s="109">
        <v>4509.2597660000001</v>
      </c>
      <c r="D77" s="34">
        <v>1.37132279E-2</v>
      </c>
    </row>
    <row r="78" spans="2:4" x14ac:dyDescent="0.2">
      <c r="B78" s="16" t="s">
        <v>121</v>
      </c>
      <c r="C78" s="109">
        <v>4578.3398440000001</v>
      </c>
      <c r="D78" s="34">
        <v>1.53196049E-2</v>
      </c>
    </row>
    <row r="79" spans="2:4" x14ac:dyDescent="0.2">
      <c r="B79" s="16" t="s">
        <v>122</v>
      </c>
      <c r="C79" s="109">
        <v>4862.3100590000004</v>
      </c>
      <c r="D79" s="34">
        <v>6.2024713000000002E-2</v>
      </c>
    </row>
    <row r="80" spans="2:4" x14ac:dyDescent="0.2">
      <c r="B80" s="16" t="s">
        <v>123</v>
      </c>
      <c r="C80" s="109">
        <v>4748.8999020000001</v>
      </c>
      <c r="D80" s="34">
        <v>-2.3324336599999999E-2</v>
      </c>
    </row>
    <row r="81" spans="2:4" x14ac:dyDescent="0.2">
      <c r="B81" s="16" t="s">
        <v>124</v>
      </c>
      <c r="C81" s="109">
        <v>4858.580078</v>
      </c>
      <c r="D81" s="34">
        <v>2.30959123E-2</v>
      </c>
    </row>
    <row r="82" spans="2:4" x14ac:dyDescent="0.2">
      <c r="B82" s="16" t="s">
        <v>125</v>
      </c>
      <c r="C82" s="109">
        <v>5122.5097660000001</v>
      </c>
      <c r="D82" s="34">
        <v>5.43223912E-2</v>
      </c>
    </row>
    <row r="83" spans="2:4" x14ac:dyDescent="0.2">
      <c r="B83" s="16" t="s">
        <v>126</v>
      </c>
      <c r="C83" s="109">
        <v>5267.330078</v>
      </c>
      <c r="D83" s="34">
        <v>2.8271358999999999E-2</v>
      </c>
    </row>
    <row r="84" spans="2:4" x14ac:dyDescent="0.2">
      <c r="B84" s="16" t="s">
        <v>127</v>
      </c>
      <c r="C84" s="109">
        <v>5283.6298829999996</v>
      </c>
      <c r="D84" s="34">
        <v>3.0945097999999999E-3</v>
      </c>
    </row>
    <row r="85" spans="2:4" x14ac:dyDescent="0.2">
      <c r="B85" s="16" t="s">
        <v>128</v>
      </c>
      <c r="C85" s="109">
        <v>5120.6801759999998</v>
      </c>
      <c r="D85" s="34">
        <v>-3.0840484800000002E-2</v>
      </c>
    </row>
    <row r="86" spans="2:4" x14ac:dyDescent="0.2">
      <c r="B86" s="16" t="s">
        <v>129</v>
      </c>
      <c r="C86" s="109">
        <v>5093.7700199999999</v>
      </c>
      <c r="D86" s="34">
        <v>-5.2551917999999996E-3</v>
      </c>
    </row>
    <row r="87" spans="2:4" x14ac:dyDescent="0.2">
      <c r="B87" s="16" t="s">
        <v>130</v>
      </c>
      <c r="C87" s="109">
        <v>5085.5898440000001</v>
      </c>
      <c r="D87" s="34">
        <v>-1.6059177999999999E-3</v>
      </c>
    </row>
    <row r="88" spans="2:4" x14ac:dyDescent="0.2">
      <c r="B88" s="16" t="s">
        <v>131</v>
      </c>
      <c r="C88" s="109">
        <v>5329.8100590000004</v>
      </c>
      <c r="D88" s="34">
        <v>4.8022003799999997E-2</v>
      </c>
    </row>
    <row r="89" spans="2:4" x14ac:dyDescent="0.2">
      <c r="B89" s="16" t="s">
        <v>132</v>
      </c>
      <c r="C89" s="109">
        <v>5503.2900390000004</v>
      </c>
      <c r="D89" s="34">
        <v>3.2548998699999998E-2</v>
      </c>
    </row>
    <row r="90" spans="2:4" x14ac:dyDescent="0.2">
      <c r="B90" s="16" t="s">
        <v>133</v>
      </c>
      <c r="C90" s="109">
        <v>5372.7900390000004</v>
      </c>
      <c r="D90" s="34">
        <v>-2.3713087800000001E-2</v>
      </c>
    </row>
    <row r="91" spans="2:4" x14ac:dyDescent="0.2">
      <c r="B91" s="16" t="s">
        <v>134</v>
      </c>
      <c r="C91" s="109">
        <v>5312.5600590000004</v>
      </c>
      <c r="D91" s="34">
        <v>-1.12101869E-2</v>
      </c>
    </row>
    <row r="92" spans="2:4" x14ac:dyDescent="0.2">
      <c r="B92" s="16" t="s">
        <v>135</v>
      </c>
      <c r="C92" s="109">
        <v>5481.9301759999998</v>
      </c>
      <c r="D92" s="34">
        <v>3.1881073400000001E-2</v>
      </c>
    </row>
    <row r="93" spans="2:4" x14ac:dyDescent="0.2">
      <c r="B93" s="16" t="s">
        <v>136</v>
      </c>
      <c r="C93" s="109">
        <v>5320.4902339999999</v>
      </c>
      <c r="D93" s="34">
        <v>-2.9449470599999999E-2</v>
      </c>
    </row>
    <row r="94" spans="2:4" x14ac:dyDescent="0.2">
      <c r="B94" s="16" t="s">
        <v>137</v>
      </c>
      <c r="C94" s="109">
        <v>5167.2998049999997</v>
      </c>
      <c r="D94" s="34">
        <v>-2.8792540299999999E-2</v>
      </c>
    </row>
    <row r="95" spans="2:4" x14ac:dyDescent="0.2">
      <c r="B95" s="16" t="s">
        <v>138</v>
      </c>
      <c r="C95" s="109">
        <v>5520.5</v>
      </c>
      <c r="D95" s="34">
        <v>6.8352951999999995E-2</v>
      </c>
    </row>
    <row r="96" spans="2:4" x14ac:dyDescent="0.2">
      <c r="B96" s="16" t="s">
        <v>139</v>
      </c>
      <c r="C96" s="109">
        <v>5398.3999020000001</v>
      </c>
      <c r="D96" s="34">
        <v>-2.2117579500000002E-2</v>
      </c>
    </row>
    <row r="97" spans="2:4" x14ac:dyDescent="0.2">
      <c r="B97" s="16" t="s">
        <v>140</v>
      </c>
      <c r="C97" s="109">
        <v>5323.5297849999997</v>
      </c>
      <c r="D97" s="34">
        <v>-1.38689461E-2</v>
      </c>
    </row>
    <row r="98" spans="2:4" x14ac:dyDescent="0.2">
      <c r="B98" s="16" t="s">
        <v>141</v>
      </c>
      <c r="C98" s="109">
        <v>5511.2998049999997</v>
      </c>
      <c r="D98" s="34">
        <v>3.5271713900000001E-2</v>
      </c>
    </row>
    <row r="99" spans="2:4" x14ac:dyDescent="0.2">
      <c r="B99" s="16" t="s">
        <v>142</v>
      </c>
      <c r="C99" s="109">
        <v>5406.8500979999999</v>
      </c>
      <c r="D99" s="34">
        <v>-1.89519189E-2</v>
      </c>
    </row>
    <row r="100" spans="2:4" x14ac:dyDescent="0.2">
      <c r="B100" s="16" t="s">
        <v>143</v>
      </c>
      <c r="C100" s="109">
        <v>5493.4902339999999</v>
      </c>
      <c r="D100" s="34">
        <v>1.6024142599999999E-2</v>
      </c>
    </row>
    <row r="101" spans="2:4" x14ac:dyDescent="0.2">
      <c r="B101" s="16" t="s">
        <v>144</v>
      </c>
      <c r="C101" s="109">
        <v>5093.4399409999996</v>
      </c>
      <c r="D101" s="34">
        <v>-7.2822609299999994E-2</v>
      </c>
    </row>
    <row r="102" spans="2:4" x14ac:dyDescent="0.2">
      <c r="B102" s="16" t="s">
        <v>145</v>
      </c>
      <c r="C102" s="109">
        <v>5003.919922</v>
      </c>
      <c r="D102" s="34">
        <v>-1.75755522E-2</v>
      </c>
    </row>
    <row r="103" spans="2:4" x14ac:dyDescent="0.2">
      <c r="B103" s="16" t="s">
        <v>146</v>
      </c>
      <c r="C103" s="109">
        <v>4730.6899409999996</v>
      </c>
      <c r="D103" s="34">
        <v>-5.4603187999999997E-2</v>
      </c>
    </row>
    <row r="104" spans="2:4" x14ac:dyDescent="0.2">
      <c r="B104" s="16" t="s">
        <v>147</v>
      </c>
      <c r="C104" s="109">
        <v>4992.7202150000003</v>
      </c>
      <c r="D104" s="34">
        <v>5.5389441400000003E-2</v>
      </c>
    </row>
    <row r="105" spans="2:4" x14ac:dyDescent="0.2">
      <c r="B105" s="16" t="s">
        <v>148</v>
      </c>
      <c r="C105" s="109">
        <v>5240.5297849999997</v>
      </c>
      <c r="D105" s="34">
        <v>4.9634179299999998E-2</v>
      </c>
    </row>
    <row r="106" spans="2:4" x14ac:dyDescent="0.2">
      <c r="B106" s="16" t="s">
        <v>149</v>
      </c>
      <c r="C106" s="109">
        <v>5350.5297849999997</v>
      </c>
      <c r="D106" s="34">
        <v>2.0990244200000001E-2</v>
      </c>
    </row>
    <row r="107" spans="2:4" x14ac:dyDescent="0.2">
      <c r="B107" s="16" t="s">
        <v>150</v>
      </c>
      <c r="C107" s="109">
        <v>5586.4101559999999</v>
      </c>
      <c r="D107" s="34">
        <v>4.4085423399999997E-2</v>
      </c>
    </row>
    <row r="108" spans="2:4" x14ac:dyDescent="0.2">
      <c r="B108" s="16" t="s">
        <v>151</v>
      </c>
      <c r="C108" s="109">
        <v>5207.6298829999996</v>
      </c>
      <c r="D108" s="34">
        <v>-6.7803878100000006E-2</v>
      </c>
    </row>
    <row r="109" spans="2:4" x14ac:dyDescent="0.2">
      <c r="B109" s="16" t="s">
        <v>152</v>
      </c>
      <c r="C109" s="109">
        <v>5538.9702150000003</v>
      </c>
      <c r="D109" s="34">
        <v>6.3625937199999996E-2</v>
      </c>
    </row>
    <row r="110" spans="2:4" x14ac:dyDescent="0.2">
      <c r="B110" s="16" t="s">
        <v>153</v>
      </c>
      <c r="C110" s="109">
        <v>5518.8999020000001</v>
      </c>
      <c r="D110" s="34">
        <v>-3.6234736000000001E-3</v>
      </c>
    </row>
    <row r="111" spans="2:4" x14ac:dyDescent="0.2">
      <c r="B111" s="16" t="s">
        <v>154</v>
      </c>
      <c r="C111" s="109">
        <v>5480.4799800000001</v>
      </c>
      <c r="D111" s="34">
        <v>-6.9615181999999999E-3</v>
      </c>
    </row>
    <row r="112" spans="2:4" x14ac:dyDescent="0.2">
      <c r="B112" s="16" t="s">
        <v>155</v>
      </c>
      <c r="C112" s="109">
        <v>5677.7900390000004</v>
      </c>
      <c r="D112" s="34">
        <v>3.6002331800000002E-2</v>
      </c>
    </row>
    <row r="113" spans="2:4" x14ac:dyDescent="0.2">
      <c r="B113" s="16" t="s">
        <v>156</v>
      </c>
      <c r="C113" s="109">
        <v>5729.8598629999997</v>
      </c>
      <c r="D113" s="34">
        <v>9.1707907000000005E-3</v>
      </c>
    </row>
    <row r="114" spans="2:4" x14ac:dyDescent="0.2">
      <c r="B114" s="16" t="s">
        <v>157</v>
      </c>
      <c r="C114" s="109">
        <v>5905.169922</v>
      </c>
      <c r="D114" s="34">
        <v>3.0595871899999998E-2</v>
      </c>
    </row>
    <row r="115" spans="2:4" x14ac:dyDescent="0.2">
      <c r="B115" s="16" t="s">
        <v>158</v>
      </c>
      <c r="C115" s="109">
        <v>5978.0600590000004</v>
      </c>
      <c r="D115" s="34">
        <v>1.23434444E-2</v>
      </c>
    </row>
    <row r="116" spans="2:4" x14ac:dyDescent="0.2">
      <c r="B116" s="16" t="s">
        <v>159</v>
      </c>
      <c r="C116" s="109">
        <v>5806.3398440000001</v>
      </c>
      <c r="D116" s="34">
        <v>-2.87250735E-2</v>
      </c>
    </row>
    <row r="117" spans="2:4" x14ac:dyDescent="0.2">
      <c r="B117" s="16" t="s">
        <v>160</v>
      </c>
      <c r="C117" s="109">
        <v>5309.8999020000001</v>
      </c>
      <c r="D117" s="34">
        <v>-8.5499635700000007E-2</v>
      </c>
    </row>
    <row r="118" spans="2:4" x14ac:dyDescent="0.2">
      <c r="B118" s="16" t="s">
        <v>161</v>
      </c>
      <c r="C118" s="109">
        <v>4396.1201170000004</v>
      </c>
      <c r="D118" s="34">
        <v>-0.17208983259999999</v>
      </c>
    </row>
    <row r="119" spans="2:4" x14ac:dyDescent="0.2">
      <c r="B119" s="16" t="s">
        <v>162</v>
      </c>
      <c r="C119" s="109">
        <v>4572.1801759999998</v>
      </c>
      <c r="D119" s="34">
        <v>4.0048964499999999E-2</v>
      </c>
    </row>
    <row r="120" spans="2:4" x14ac:dyDescent="0.2">
      <c r="B120" s="16" t="s">
        <v>163</v>
      </c>
      <c r="C120" s="109">
        <v>4695.4399409999996</v>
      </c>
      <c r="D120" s="34">
        <v>2.69586414E-2</v>
      </c>
    </row>
    <row r="121" spans="2:4" x14ac:dyDescent="0.2">
      <c r="B121" s="16" t="s">
        <v>164</v>
      </c>
      <c r="C121" s="109">
        <v>4935.9902339999999</v>
      </c>
      <c r="D121" s="34">
        <v>5.12306186E-2</v>
      </c>
    </row>
    <row r="122" spans="2:4" x14ac:dyDescent="0.2">
      <c r="B122" s="16" t="s">
        <v>165</v>
      </c>
      <c r="C122" s="109">
        <v>4783.6899409999996</v>
      </c>
      <c r="D122" s="34">
        <v>-3.0855063700000001E-2</v>
      </c>
    </row>
    <row r="123" spans="2:4" x14ac:dyDescent="0.2">
      <c r="B123" s="16" t="s">
        <v>166</v>
      </c>
      <c r="C123" s="109">
        <v>4947.2202150000003</v>
      </c>
      <c r="D123" s="34">
        <v>3.4184964999999998E-2</v>
      </c>
    </row>
    <row r="124" spans="2:4" x14ac:dyDescent="0.2">
      <c r="B124" s="16" t="s">
        <v>167</v>
      </c>
      <c r="C124" s="109">
        <v>4803.4399409999996</v>
      </c>
      <c r="D124" s="34">
        <v>-2.90628408E-2</v>
      </c>
    </row>
    <row r="125" spans="2:4" x14ac:dyDescent="0.2">
      <c r="B125" s="16" t="s">
        <v>168</v>
      </c>
      <c r="C125" s="109">
        <v>4594.2402339999999</v>
      </c>
      <c r="D125" s="34">
        <v>-4.3552060500000003E-2</v>
      </c>
    </row>
    <row r="126" spans="2:4" x14ac:dyDescent="0.2">
      <c r="B126" s="16" t="s">
        <v>169</v>
      </c>
      <c r="C126" s="109">
        <v>5518.5498049999997</v>
      </c>
      <c r="D126" s="34">
        <v>0.2011887762</v>
      </c>
    </row>
    <row r="127" spans="2:4" x14ac:dyDescent="0.2">
      <c r="B127" s="16" t="s">
        <v>170</v>
      </c>
      <c r="C127" s="109">
        <v>5551.4101559999999</v>
      </c>
      <c r="D127" s="34">
        <v>5.9545266000000001E-3</v>
      </c>
    </row>
    <row r="128" spans="2:4" x14ac:dyDescent="0.2">
      <c r="B128" s="16" t="s">
        <v>171</v>
      </c>
      <c r="C128" s="109">
        <v>5399.2099609999996</v>
      </c>
      <c r="D128" s="34">
        <v>-2.7416492600000002E-2</v>
      </c>
    </row>
    <row r="129" spans="2:4" x14ac:dyDescent="0.2">
      <c r="B129" s="16" t="s">
        <v>172</v>
      </c>
      <c r="C129" s="109">
        <v>5703.2202150000003</v>
      </c>
      <c r="D129" s="34">
        <v>5.6306433000000003E-2</v>
      </c>
    </row>
    <row r="130" spans="2:4" x14ac:dyDescent="0.2">
      <c r="B130" s="16" t="s">
        <v>173</v>
      </c>
      <c r="C130" s="109">
        <v>6067.2299800000001</v>
      </c>
      <c r="D130" s="34">
        <v>6.3825304299999996E-2</v>
      </c>
    </row>
    <row r="131" spans="2:4" x14ac:dyDescent="0.2">
      <c r="B131" s="16" t="s">
        <v>174</v>
      </c>
      <c r="C131" s="109">
        <v>6269.4799800000001</v>
      </c>
      <c r="D131" s="34">
        <v>3.33348168E-2</v>
      </c>
    </row>
    <row r="132" spans="2:4" x14ac:dyDescent="0.2">
      <c r="B132" s="16" t="s">
        <v>175</v>
      </c>
      <c r="C132" s="109">
        <v>6447.169922</v>
      </c>
      <c r="D132" s="34">
        <v>2.8342054200000001E-2</v>
      </c>
    </row>
    <row r="133" spans="2:4" x14ac:dyDescent="0.2">
      <c r="B133" s="16" t="s">
        <v>176</v>
      </c>
      <c r="C133" s="109">
        <v>6507.830078</v>
      </c>
      <c r="D133" s="34">
        <v>9.4088036999999992E-3</v>
      </c>
    </row>
    <row r="134" spans="2:4" x14ac:dyDescent="0.2">
      <c r="B134" s="16" t="s">
        <v>177</v>
      </c>
      <c r="C134" s="109">
        <v>6612.7597660000001</v>
      </c>
      <c r="D134" s="34">
        <v>1.6123605900000001E-2</v>
      </c>
    </row>
    <row r="135" spans="2:4" x14ac:dyDescent="0.2">
      <c r="B135" s="16" t="s">
        <v>178</v>
      </c>
      <c r="C135" s="109">
        <v>6680.1801759999998</v>
      </c>
      <c r="D135" s="34">
        <v>1.0195502699999999E-2</v>
      </c>
    </row>
    <row r="136" spans="2:4" x14ac:dyDescent="0.2">
      <c r="B136" s="16" t="s">
        <v>179</v>
      </c>
      <c r="C136" s="109">
        <v>6520.0097660000001</v>
      </c>
      <c r="D136" s="34">
        <v>-2.39769596E-2</v>
      </c>
    </row>
    <row r="137" spans="2:4" x14ac:dyDescent="0.2">
      <c r="B137" s="16" t="s">
        <v>180</v>
      </c>
      <c r="C137" s="109">
        <v>6830.3398440000001</v>
      </c>
      <c r="D137" s="34">
        <v>4.75965665E-2</v>
      </c>
    </row>
    <row r="138" spans="2:4" x14ac:dyDescent="0.2">
      <c r="B138" s="16" t="s">
        <v>181</v>
      </c>
      <c r="C138" s="109">
        <v>6721.1601559999999</v>
      </c>
      <c r="D138" s="34">
        <v>-1.5984517600000001E-2</v>
      </c>
    </row>
    <row r="139" spans="2:4" x14ac:dyDescent="0.2">
      <c r="B139" s="16" t="s">
        <v>182</v>
      </c>
      <c r="C139" s="109">
        <v>7153.0297849999997</v>
      </c>
      <c r="D139" s="34">
        <v>6.4255220700000004E-2</v>
      </c>
    </row>
    <row r="140" spans="2:4" x14ac:dyDescent="0.2">
      <c r="B140" s="16" t="s">
        <v>183</v>
      </c>
      <c r="C140" s="109">
        <v>6999.2001950000003</v>
      </c>
      <c r="D140" s="34">
        <v>-2.1505515100000001E-2</v>
      </c>
    </row>
    <row r="141" spans="2:4" x14ac:dyDescent="0.2">
      <c r="B141" s="16" t="s">
        <v>184</v>
      </c>
      <c r="C141" s="109">
        <v>6658.830078</v>
      </c>
      <c r="D141" s="34">
        <v>-4.8629858800000002E-2</v>
      </c>
    </row>
    <row r="142" spans="2:4" x14ac:dyDescent="0.2">
      <c r="B142" s="16" t="s">
        <v>185</v>
      </c>
      <c r="C142" s="109">
        <v>6659.8701170000004</v>
      </c>
      <c r="D142" s="34">
        <v>1.561895E-4</v>
      </c>
    </row>
    <row r="143" spans="2:4" x14ac:dyDescent="0.2">
      <c r="B143" s="16" t="s">
        <v>186</v>
      </c>
      <c r="C143" s="109">
        <v>6533.7700199999999</v>
      </c>
      <c r="D143" s="34">
        <v>-1.8934317900000001E-2</v>
      </c>
    </row>
    <row r="144" spans="2:4" x14ac:dyDescent="0.2">
      <c r="B144" s="16" t="s">
        <v>187</v>
      </c>
      <c r="C144" s="109">
        <v>6468.7998049999997</v>
      </c>
      <c r="D144" s="34">
        <v>-9.9437559999999998E-3</v>
      </c>
    </row>
    <row r="145" spans="2:4" x14ac:dyDescent="0.2">
      <c r="B145" s="16" t="s">
        <v>188</v>
      </c>
      <c r="C145" s="109">
        <v>5922.8598629999997</v>
      </c>
      <c r="D145" s="34">
        <v>-8.4395862899999993E-2</v>
      </c>
    </row>
    <row r="146" spans="2:4" x14ac:dyDescent="0.2">
      <c r="B146" s="16" t="s">
        <v>189</v>
      </c>
      <c r="C146" s="109">
        <v>6448.5</v>
      </c>
      <c r="D146" s="34">
        <v>8.8747691000000004E-2</v>
      </c>
    </row>
    <row r="147" spans="2:4" x14ac:dyDescent="0.2">
      <c r="B147" s="16" t="s">
        <v>190</v>
      </c>
      <c r="C147" s="109">
        <v>6125.1000979999999</v>
      </c>
      <c r="D147" s="34">
        <v>-5.0151182799999999E-2</v>
      </c>
    </row>
    <row r="148" spans="2:4" x14ac:dyDescent="0.2">
      <c r="B148" s="16" t="s">
        <v>191</v>
      </c>
      <c r="C148" s="109">
        <v>5762.3398440000001</v>
      </c>
      <c r="D148" s="34">
        <v>-5.9225196000000001E-2</v>
      </c>
    </row>
    <row r="149" spans="2:4" x14ac:dyDescent="0.2">
      <c r="B149" s="16" t="s">
        <v>192</v>
      </c>
      <c r="C149" s="109">
        <v>6266.7700199999999</v>
      </c>
      <c r="D149" s="34">
        <v>8.7539122900000002E-2</v>
      </c>
    </row>
    <row r="150" spans="2:4" x14ac:dyDescent="0.2">
      <c r="B150" s="16" t="s">
        <v>193</v>
      </c>
      <c r="C150" s="109">
        <v>6738.5498049999997</v>
      </c>
      <c r="D150" s="34">
        <v>7.5282766700000003E-2</v>
      </c>
    </row>
    <row r="151" spans="2:4" x14ac:dyDescent="0.2">
      <c r="B151" s="16" t="s">
        <v>194</v>
      </c>
      <c r="C151" s="109">
        <v>6473.7597660000001</v>
      </c>
      <c r="D151" s="34">
        <v>-3.9294810700000002E-2</v>
      </c>
    </row>
    <row r="152" spans="2:4" x14ac:dyDescent="0.2">
      <c r="B152" s="16" t="s">
        <v>195</v>
      </c>
      <c r="C152" s="109">
        <v>7082.419922</v>
      </c>
      <c r="D152" s="34">
        <v>9.4019577199999996E-2</v>
      </c>
    </row>
    <row r="153" spans="2:4" x14ac:dyDescent="0.2">
      <c r="B153" s="16" t="s">
        <v>196</v>
      </c>
      <c r="C153" s="109">
        <v>7267.9301759999998</v>
      </c>
      <c r="D153" s="34">
        <v>2.6193060600000002E-2</v>
      </c>
    </row>
    <row r="154" spans="2:4" x14ac:dyDescent="0.2">
      <c r="B154" s="16" t="s">
        <v>197</v>
      </c>
      <c r="C154" s="109">
        <v>7322.3901370000003</v>
      </c>
      <c r="D154" s="34">
        <v>7.4931870999999997E-3</v>
      </c>
    </row>
    <row r="155" spans="2:4" x14ac:dyDescent="0.2">
      <c r="B155" s="16" t="s">
        <v>198</v>
      </c>
      <c r="C155" s="109">
        <v>7491.5</v>
      </c>
      <c r="D155" s="34">
        <v>2.30948994E-2</v>
      </c>
    </row>
    <row r="156" spans="2:4" x14ac:dyDescent="0.2">
      <c r="B156" s="16" t="s">
        <v>199</v>
      </c>
      <c r="C156" s="109">
        <v>7098.7001950000003</v>
      </c>
      <c r="D156" s="34">
        <v>-5.2432731099999998E-2</v>
      </c>
    </row>
    <row r="157" spans="2:4" x14ac:dyDescent="0.2">
      <c r="B157" s="16" t="s">
        <v>200</v>
      </c>
      <c r="C157" s="109">
        <v>7400.0600590000004</v>
      </c>
      <c r="D157" s="34">
        <v>4.2452823100000002E-2</v>
      </c>
    </row>
    <row r="158" spans="2:4" x14ac:dyDescent="0.2">
      <c r="B158" s="16" t="s">
        <v>201</v>
      </c>
      <c r="C158" s="109">
        <v>7497.7797849999997</v>
      </c>
      <c r="D158" s="34">
        <v>1.32052613E-2</v>
      </c>
    </row>
    <row r="159" spans="2:4" x14ac:dyDescent="0.2">
      <c r="B159" s="16" t="s">
        <v>202</v>
      </c>
      <c r="C159" s="109">
        <v>7316.7001950000003</v>
      </c>
      <c r="D159" s="34">
        <v>-2.41510947E-2</v>
      </c>
    </row>
    <row r="160" spans="2:4" x14ac:dyDescent="0.2">
      <c r="B160" s="16" t="s">
        <v>203</v>
      </c>
      <c r="C160" s="109">
        <v>7135.0600590000004</v>
      </c>
      <c r="D160" s="34">
        <v>-2.4825417499999999E-2</v>
      </c>
    </row>
    <row r="161" spans="2:4" x14ac:dyDescent="0.2">
      <c r="B161" s="16" t="s">
        <v>204</v>
      </c>
      <c r="C161" s="109">
        <v>6885.6499020000001</v>
      </c>
      <c r="D161" s="34">
        <v>-3.4955579100000002E-2</v>
      </c>
    </row>
    <row r="162" spans="2:4" x14ac:dyDescent="0.2">
      <c r="B162" s="16" t="s">
        <v>205</v>
      </c>
      <c r="C162" s="109">
        <v>7310.7700199999999</v>
      </c>
      <c r="D162" s="34">
        <v>6.1740013400000002E-2</v>
      </c>
    </row>
    <row r="163" spans="2:4" x14ac:dyDescent="0.2">
      <c r="B163" s="16" t="s">
        <v>206</v>
      </c>
      <c r="C163" s="109">
        <v>7543.1801759999998</v>
      </c>
      <c r="D163" s="34">
        <v>3.1790106300000003E-2</v>
      </c>
    </row>
    <row r="164" spans="2:4" x14ac:dyDescent="0.2">
      <c r="B164" s="16" t="s">
        <v>207</v>
      </c>
      <c r="C164" s="109">
        <v>7656.75</v>
      </c>
      <c r="D164" s="34">
        <v>1.5055960700000001E-2</v>
      </c>
    </row>
    <row r="165" spans="2:4" x14ac:dyDescent="0.2">
      <c r="B165" s="16" t="s">
        <v>208</v>
      </c>
      <c r="C165" s="109">
        <v>7927.4301759999998</v>
      </c>
      <c r="D165" s="34">
        <v>3.53518367E-2</v>
      </c>
    </row>
    <row r="166" spans="2:4" x14ac:dyDescent="0.2">
      <c r="B166" s="16" t="s">
        <v>209</v>
      </c>
      <c r="C166" s="109">
        <v>8205.8095699999994</v>
      </c>
      <c r="D166" s="34">
        <v>3.5115969300000001E-2</v>
      </c>
    </row>
    <row r="167" spans="2:4" x14ac:dyDescent="0.2">
      <c r="B167" s="16" t="s">
        <v>210</v>
      </c>
      <c r="C167" s="109">
        <v>7984.9301759999998</v>
      </c>
      <c r="D167" s="34">
        <v>-2.6917440899999999E-2</v>
      </c>
    </row>
    <row r="168" spans="2:4" x14ac:dyDescent="0.2">
      <c r="B168" s="16" t="s">
        <v>211</v>
      </c>
      <c r="C168" s="109">
        <v>7992.8701170000004</v>
      </c>
      <c r="D168" s="34">
        <v>9.9436579999999993E-4</v>
      </c>
    </row>
    <row r="169" spans="2:4" x14ac:dyDescent="0.2">
      <c r="B169" s="16" t="s">
        <v>212</v>
      </c>
      <c r="C169" s="109">
        <v>7479.3999020000001</v>
      </c>
      <c r="D169" s="34">
        <v>-6.4241030700000007E-2</v>
      </c>
    </row>
    <row r="170" spans="2:4" x14ac:dyDescent="0.2">
      <c r="B170" s="16" t="s">
        <v>213</v>
      </c>
      <c r="C170" s="109">
        <v>7531.4902339999999</v>
      </c>
      <c r="D170" s="34">
        <v>6.9645069000000004E-3</v>
      </c>
    </row>
    <row r="171" spans="2:4" x14ac:dyDescent="0.2">
      <c r="B171" s="16" t="s">
        <v>214</v>
      </c>
      <c r="C171" s="109">
        <v>7630.9501950000003</v>
      </c>
      <c r="D171" s="34">
        <v>1.3205880600000001E-2</v>
      </c>
    </row>
    <row r="172" spans="2:4" x14ac:dyDescent="0.2">
      <c r="B172" s="16" t="s">
        <v>215</v>
      </c>
      <c r="C172" s="109">
        <v>7635.75</v>
      </c>
      <c r="D172" s="34">
        <v>6.2899169999999999E-4</v>
      </c>
    </row>
    <row r="173" spans="2:4" x14ac:dyDescent="0.2">
      <c r="B173" s="16" t="s">
        <v>216</v>
      </c>
      <c r="C173" s="109">
        <v>7350.3701170000004</v>
      </c>
      <c r="D173" s="34">
        <v>-3.7374178399999999E-2</v>
      </c>
    </row>
    <row r="174" spans="2:4" x14ac:dyDescent="0.2">
      <c r="B174" s="16" t="s">
        <v>217</v>
      </c>
      <c r="C174" s="109">
        <v>7235.1098629999997</v>
      </c>
      <c r="D174" s="34">
        <v>-1.56808776E-2</v>
      </c>
    </row>
    <row r="175" spans="2:4" x14ac:dyDescent="0.2">
      <c r="B175" s="16" t="s">
        <v>218</v>
      </c>
      <c r="C175" s="109">
        <v>7380.7402339999999</v>
      </c>
      <c r="D175" s="34">
        <v>2.0128287500000001E-2</v>
      </c>
    </row>
    <row r="176" spans="2:4" x14ac:dyDescent="0.2">
      <c r="B176" s="16" t="s">
        <v>219</v>
      </c>
      <c r="C176" s="109">
        <v>7950.169922</v>
      </c>
      <c r="D176" s="34">
        <v>7.7150755799999998E-2</v>
      </c>
    </row>
    <row r="177" spans="2:4" x14ac:dyDescent="0.2">
      <c r="B177" s="16" t="s">
        <v>220</v>
      </c>
      <c r="C177" s="109">
        <v>8111.6298829999996</v>
      </c>
      <c r="D177" s="34">
        <v>2.0308995E-2</v>
      </c>
    </row>
    <row r="178" spans="2:4" x14ac:dyDescent="0.2">
      <c r="B178" s="16" t="s">
        <v>221</v>
      </c>
      <c r="C178" s="109">
        <v>7790.7099609999996</v>
      </c>
      <c r="D178" s="34">
        <v>-3.9562939399999997E-2</v>
      </c>
    </row>
    <row r="179" spans="2:4" x14ac:dyDescent="0.2">
      <c r="B179" s="16" t="s">
        <v>222</v>
      </c>
      <c r="C179" s="109">
        <v>7593.8701170000004</v>
      </c>
      <c r="D179" s="34">
        <v>-2.5265969900000001E-2</v>
      </c>
    </row>
    <row r="180" spans="2:4" x14ac:dyDescent="0.2">
      <c r="B180" s="16" t="s">
        <v>223</v>
      </c>
      <c r="C180" s="109">
        <v>7751.8901370000003</v>
      </c>
      <c r="D180" s="34">
        <v>2.0808891499999999E-2</v>
      </c>
    </row>
    <row r="181" spans="2:4" x14ac:dyDescent="0.2">
      <c r="B181" s="16" t="s">
        <v>224</v>
      </c>
      <c r="C181" s="109">
        <v>7665.9101559999999</v>
      </c>
      <c r="D181" s="34">
        <v>-1.10914859E-2</v>
      </c>
    </row>
    <row r="182" spans="2:4" x14ac:dyDescent="0.2">
      <c r="B182" s="16" t="s">
        <v>225</v>
      </c>
      <c r="C182" s="109">
        <v>7771.9702150000003</v>
      </c>
      <c r="D182" s="34">
        <v>1.3835285900000001E-2</v>
      </c>
    </row>
    <row r="183" spans="2:4" x14ac:dyDescent="0.2">
      <c r="B183" s="16" t="s">
        <v>226</v>
      </c>
      <c r="C183" s="109">
        <v>7703.8999020000001</v>
      </c>
      <c r="D183" s="34">
        <v>-8.7584371000000005E-3</v>
      </c>
    </row>
    <row r="184" spans="2:4" x14ac:dyDescent="0.2">
      <c r="B184" t="s">
        <v>227</v>
      </c>
      <c r="C184" s="110">
        <v>7895.9399409999996</v>
      </c>
      <c r="D184" s="26">
        <v>2.49276394E-2</v>
      </c>
    </row>
    <row r="185" spans="2:4" x14ac:dyDescent="0.2">
      <c r="B185" t="s">
        <v>228</v>
      </c>
      <c r="C185" s="110">
        <v>8121.0698240000002</v>
      </c>
      <c r="D185" s="26">
        <v>2.8512106799999999E-2</v>
      </c>
    </row>
    <row r="186" spans="2:4" x14ac:dyDescent="0.2">
      <c r="B186" t="s">
        <v>229</v>
      </c>
      <c r="C186" s="110">
        <v>8122.7099609999996</v>
      </c>
      <c r="D186" s="26">
        <v>2.0196069999999999E-4</v>
      </c>
    </row>
    <row r="187" spans="2:4" x14ac:dyDescent="0.2">
      <c r="B187" t="s">
        <v>230</v>
      </c>
      <c r="C187" s="110">
        <v>8149.5</v>
      </c>
      <c r="D187" s="26">
        <v>3.2981652000000001E-3</v>
      </c>
    </row>
    <row r="188" spans="2:4" x14ac:dyDescent="0.2">
      <c r="B188" t="s">
        <v>231</v>
      </c>
      <c r="C188" s="110">
        <v>8126.5297849999997</v>
      </c>
      <c r="D188" s="26">
        <v>-2.8186041999999998E-3</v>
      </c>
    </row>
    <row r="189" spans="2:4" x14ac:dyDescent="0.2">
      <c r="B189" t="s">
        <v>232</v>
      </c>
      <c r="C189" s="110">
        <v>8580.75</v>
      </c>
      <c r="D189" s="26">
        <v>5.58935027E-2</v>
      </c>
    </row>
    <row r="190" spans="2:4" x14ac:dyDescent="0.2">
      <c r="B190" t="s">
        <v>233</v>
      </c>
      <c r="C190" s="110">
        <v>7816.9399409999996</v>
      </c>
      <c r="D190" s="26">
        <v>-8.9014370400000001E-2</v>
      </c>
    </row>
    <row r="191" spans="2:4" x14ac:dyDescent="0.2">
      <c r="B191" t="s">
        <v>234</v>
      </c>
      <c r="C191" s="110">
        <v>8114.8398440000001</v>
      </c>
      <c r="D191" s="26">
        <v>3.8109529400000001E-2</v>
      </c>
    </row>
    <row r="192" spans="2:4" x14ac:dyDescent="0.2">
      <c r="B192" t="s">
        <v>235</v>
      </c>
      <c r="C192" s="110">
        <v>8183.3398440000001</v>
      </c>
      <c r="D192" s="26">
        <v>8.4413248999999999E-3</v>
      </c>
    </row>
    <row r="193" spans="2:4" x14ac:dyDescent="0.2">
      <c r="B193" t="s">
        <v>236</v>
      </c>
      <c r="C193" s="110">
        <v>8218.2402340000008</v>
      </c>
      <c r="D193" s="26">
        <v>4.2648101000000004E-3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2:D182"/>
  <sheetViews>
    <sheetView workbookViewId="0">
      <selection activeCell="D3" sqref="D3"/>
    </sheetView>
  </sheetViews>
  <sheetFormatPr baseColWidth="10" defaultColWidth="10.83203125" defaultRowHeight="15" x14ac:dyDescent="0.2"/>
  <cols>
    <col min="2" max="3" width="15.6640625" bestFit="1" customWidth="1"/>
    <col min="4" max="4" width="13.1640625" bestFit="1" customWidth="1"/>
  </cols>
  <sheetData>
    <row r="2" spans="2:4" x14ac:dyDescent="0.2">
      <c r="B2" s="75" t="s">
        <v>311</v>
      </c>
      <c r="C2" s="76" t="s">
        <v>312</v>
      </c>
      <c r="D2" s="20" t="s">
        <v>310</v>
      </c>
    </row>
    <row r="3" spans="2:4" x14ac:dyDescent="0.2">
      <c r="B3" s="77">
        <v>40422</v>
      </c>
      <c r="C3" s="79">
        <v>0.88100000000000001</v>
      </c>
      <c r="D3" s="80">
        <f t="shared" ref="D3:D34" si="0">C3/(100*12)</f>
        <v>7.3416666666666671E-4</v>
      </c>
    </row>
    <row r="4" spans="2:4" x14ac:dyDescent="0.2">
      <c r="B4" s="77">
        <v>40452</v>
      </c>
      <c r="C4" s="79">
        <v>0.998</v>
      </c>
      <c r="D4" s="80">
        <f t="shared" si="0"/>
        <v>8.3166666666666664E-4</v>
      </c>
    </row>
    <row r="5" spans="2:4" x14ac:dyDescent="0.2">
      <c r="B5" s="77">
        <v>40483</v>
      </c>
      <c r="C5" s="79">
        <v>1.042</v>
      </c>
      <c r="D5" s="80">
        <f t="shared" si="0"/>
        <v>8.6833333333333337E-4</v>
      </c>
    </row>
    <row r="6" spans="2:4" x14ac:dyDescent="0.2">
      <c r="B6" s="77">
        <v>40513</v>
      </c>
      <c r="C6" s="79">
        <v>1.022</v>
      </c>
      <c r="D6" s="80">
        <f t="shared" si="0"/>
        <v>8.516666666666667E-4</v>
      </c>
    </row>
    <row r="7" spans="2:4" x14ac:dyDescent="0.2">
      <c r="B7" s="77">
        <v>40544</v>
      </c>
      <c r="C7" s="79">
        <v>1.0169999999999999</v>
      </c>
      <c r="D7" s="80">
        <f t="shared" si="0"/>
        <v>8.4749999999999995E-4</v>
      </c>
    </row>
    <row r="8" spans="2:4" x14ac:dyDescent="0.2">
      <c r="B8" s="77">
        <v>40575</v>
      </c>
      <c r="C8" s="79">
        <v>1.087</v>
      </c>
      <c r="D8" s="80">
        <f t="shared" si="0"/>
        <v>9.0583333333333325E-4</v>
      </c>
    </row>
    <row r="9" spans="2:4" x14ac:dyDescent="0.2">
      <c r="B9" s="77">
        <v>40603</v>
      </c>
      <c r="C9" s="79">
        <v>1.1759999999999999</v>
      </c>
      <c r="D9" s="80">
        <f t="shared" si="0"/>
        <v>9.7999999999999997E-4</v>
      </c>
    </row>
    <row r="10" spans="2:4" x14ac:dyDescent="0.2">
      <c r="B10" s="77">
        <v>40634</v>
      </c>
      <c r="C10" s="79">
        <v>1.321</v>
      </c>
      <c r="D10" s="80">
        <f t="shared" si="0"/>
        <v>1.1008333333333332E-3</v>
      </c>
    </row>
    <row r="11" spans="2:4" x14ac:dyDescent="0.2">
      <c r="B11" s="77">
        <v>40664</v>
      </c>
      <c r="C11" s="79">
        <v>1.425</v>
      </c>
      <c r="D11" s="80">
        <f t="shared" si="0"/>
        <v>1.1875E-3</v>
      </c>
    </row>
    <row r="12" spans="2:4" x14ac:dyDescent="0.2">
      <c r="B12" s="77">
        <v>40695</v>
      </c>
      <c r="C12" s="79">
        <v>1.4890000000000001</v>
      </c>
      <c r="D12" s="80">
        <f t="shared" si="0"/>
        <v>1.2408333333333334E-3</v>
      </c>
    </row>
    <row r="13" spans="2:4" x14ac:dyDescent="0.2">
      <c r="B13" s="77">
        <v>40725</v>
      </c>
      <c r="C13" s="79">
        <v>1.5980000000000001</v>
      </c>
      <c r="D13" s="80">
        <f t="shared" si="0"/>
        <v>1.3316666666666668E-3</v>
      </c>
    </row>
    <row r="14" spans="2:4" x14ac:dyDescent="0.2">
      <c r="B14" s="77">
        <v>40756</v>
      </c>
      <c r="C14" s="79">
        <v>1.552</v>
      </c>
      <c r="D14" s="80">
        <f t="shared" si="0"/>
        <v>1.2933333333333334E-3</v>
      </c>
    </row>
    <row r="15" spans="2:4" x14ac:dyDescent="0.2">
      <c r="B15" s="77">
        <v>40787</v>
      </c>
      <c r="C15" s="79">
        <v>1.536</v>
      </c>
      <c r="D15" s="80">
        <f t="shared" si="0"/>
        <v>1.2800000000000001E-3</v>
      </c>
    </row>
    <row r="16" spans="2:4" x14ac:dyDescent="0.2">
      <c r="B16" s="77">
        <v>40817</v>
      </c>
      <c r="C16" s="79">
        <v>1.5760000000000001</v>
      </c>
      <c r="D16" s="80">
        <f t="shared" si="0"/>
        <v>1.3133333333333335E-3</v>
      </c>
    </row>
    <row r="17" spans="2:4" x14ac:dyDescent="0.2">
      <c r="B17" s="77">
        <v>40848</v>
      </c>
      <c r="C17" s="79">
        <v>1.4850000000000001</v>
      </c>
      <c r="D17" s="80">
        <f t="shared" si="0"/>
        <v>1.2375000000000001E-3</v>
      </c>
    </row>
    <row r="18" spans="2:4" x14ac:dyDescent="0.2">
      <c r="B18" s="77">
        <v>40878</v>
      </c>
      <c r="C18" s="79">
        <v>1.4259999999999999</v>
      </c>
      <c r="D18" s="80">
        <f t="shared" si="0"/>
        <v>1.1883333333333333E-3</v>
      </c>
    </row>
    <row r="19" spans="2:4" x14ac:dyDescent="0.2">
      <c r="B19" s="77">
        <v>40909</v>
      </c>
      <c r="C19" s="79">
        <v>1.222</v>
      </c>
      <c r="D19" s="80">
        <f t="shared" si="0"/>
        <v>1.0183333333333333E-3</v>
      </c>
    </row>
    <row r="20" spans="2:4" x14ac:dyDescent="0.2">
      <c r="B20" s="77">
        <v>40940</v>
      </c>
      <c r="C20" s="79">
        <v>1.048</v>
      </c>
      <c r="D20" s="80">
        <f t="shared" si="0"/>
        <v>8.7333333333333338E-4</v>
      </c>
    </row>
    <row r="21" spans="2:4" x14ac:dyDescent="0.2">
      <c r="B21" s="77">
        <v>40969</v>
      </c>
      <c r="C21" s="79">
        <v>0.85799999999999998</v>
      </c>
      <c r="D21" s="80">
        <f t="shared" si="0"/>
        <v>7.1500000000000003E-4</v>
      </c>
    </row>
    <row r="22" spans="2:4" x14ac:dyDescent="0.2">
      <c r="B22" s="77">
        <v>41000</v>
      </c>
      <c r="C22" s="79">
        <v>0.74399999999999999</v>
      </c>
      <c r="D22" s="80">
        <f t="shared" si="0"/>
        <v>6.2E-4</v>
      </c>
    </row>
    <row r="23" spans="2:4" x14ac:dyDescent="0.2">
      <c r="B23" s="77">
        <v>41030</v>
      </c>
      <c r="C23" s="79">
        <v>0.68500000000000005</v>
      </c>
      <c r="D23" s="80">
        <f t="shared" si="0"/>
        <v>5.7083333333333335E-4</v>
      </c>
    </row>
    <row r="24" spans="2:4" x14ac:dyDescent="0.2">
      <c r="B24" s="77">
        <v>41061</v>
      </c>
      <c r="C24" s="79">
        <v>0.65900000000000003</v>
      </c>
      <c r="D24" s="80">
        <f t="shared" si="0"/>
        <v>5.4916666666666666E-4</v>
      </c>
    </row>
    <row r="25" spans="2:4" x14ac:dyDescent="0.2">
      <c r="B25" s="77">
        <v>41091</v>
      </c>
      <c r="C25" s="79">
        <v>0.497</v>
      </c>
      <c r="D25" s="80">
        <f t="shared" si="0"/>
        <v>4.1416666666666669E-4</v>
      </c>
    </row>
    <row r="26" spans="2:4" x14ac:dyDescent="0.2">
      <c r="B26" s="77">
        <v>41122</v>
      </c>
      <c r="C26" s="79">
        <v>0.33200000000000002</v>
      </c>
      <c r="D26" s="80">
        <f t="shared" si="0"/>
        <v>2.7666666666666671E-4</v>
      </c>
    </row>
    <row r="27" spans="2:4" x14ac:dyDescent="0.2">
      <c r="B27" s="77">
        <v>41153</v>
      </c>
      <c r="C27" s="79">
        <v>0.246</v>
      </c>
      <c r="D27" s="80">
        <f t="shared" si="0"/>
        <v>2.05E-4</v>
      </c>
    </row>
    <row r="28" spans="2:4" x14ac:dyDescent="0.2">
      <c r="B28" s="77">
        <v>41183</v>
      </c>
      <c r="C28" s="79">
        <v>0.20799999999999999</v>
      </c>
      <c r="D28" s="80">
        <f t="shared" si="0"/>
        <v>1.7333333333333334E-4</v>
      </c>
    </row>
    <row r="29" spans="2:4" x14ac:dyDescent="0.2">
      <c r="B29" s="77">
        <v>41214</v>
      </c>
      <c r="C29" s="79">
        <v>0.192</v>
      </c>
      <c r="D29" s="80">
        <f t="shared" si="0"/>
        <v>1.6000000000000001E-4</v>
      </c>
    </row>
    <row r="30" spans="2:4" x14ac:dyDescent="0.2">
      <c r="B30" s="77">
        <v>41244</v>
      </c>
      <c r="C30" s="79">
        <v>0.185</v>
      </c>
      <c r="D30" s="80">
        <f t="shared" si="0"/>
        <v>1.5416666666666666E-4</v>
      </c>
    </row>
    <row r="31" spans="2:4" x14ac:dyDescent="0.2">
      <c r="B31" s="77">
        <v>41275</v>
      </c>
      <c r="C31" s="79">
        <v>0.20499999999999999</v>
      </c>
      <c r="D31" s="80">
        <f t="shared" si="0"/>
        <v>1.7083333333333333E-4</v>
      </c>
    </row>
    <row r="32" spans="2:4" x14ac:dyDescent="0.2">
      <c r="B32" s="77">
        <v>41306</v>
      </c>
      <c r="C32" s="79">
        <v>0.223</v>
      </c>
      <c r="D32" s="80">
        <f t="shared" si="0"/>
        <v>1.8583333333333334E-4</v>
      </c>
    </row>
    <row r="33" spans="2:4" x14ac:dyDescent="0.2">
      <c r="B33" s="77">
        <v>41334</v>
      </c>
      <c r="C33" s="79">
        <v>0.20599999999999999</v>
      </c>
      <c r="D33" s="80">
        <f t="shared" si="0"/>
        <v>1.7166666666666665E-4</v>
      </c>
    </row>
    <row r="34" spans="2:4" x14ac:dyDescent="0.2">
      <c r="B34" s="77">
        <v>41365</v>
      </c>
      <c r="C34" s="79">
        <v>0.20899999999999999</v>
      </c>
      <c r="D34" s="80">
        <f t="shared" si="0"/>
        <v>1.7416666666666665E-4</v>
      </c>
    </row>
    <row r="35" spans="2:4" x14ac:dyDescent="0.2">
      <c r="B35" s="77">
        <v>41395</v>
      </c>
      <c r="C35" s="79">
        <v>0.20100000000000001</v>
      </c>
      <c r="D35" s="80">
        <f t="shared" ref="D35:D66" si="1">C35/(100*12)</f>
        <v>1.6750000000000001E-4</v>
      </c>
    </row>
    <row r="36" spans="2:4" x14ac:dyDescent="0.2">
      <c r="B36" s="77">
        <v>41426</v>
      </c>
      <c r="C36" s="79">
        <v>0.21</v>
      </c>
      <c r="D36" s="80">
        <f t="shared" si="1"/>
        <v>1.75E-4</v>
      </c>
    </row>
    <row r="37" spans="2:4" x14ac:dyDescent="0.2">
      <c r="B37" s="77">
        <v>41456</v>
      </c>
      <c r="C37" s="79">
        <v>0.221</v>
      </c>
      <c r="D37" s="80">
        <f t="shared" si="1"/>
        <v>1.8416666666666668E-4</v>
      </c>
    </row>
    <row r="38" spans="2:4" x14ac:dyDescent="0.2">
      <c r="B38" s="77">
        <v>41487</v>
      </c>
      <c r="C38" s="79">
        <v>0.22600000000000001</v>
      </c>
      <c r="D38" s="80">
        <f t="shared" si="1"/>
        <v>1.8833333333333335E-4</v>
      </c>
    </row>
    <row r="39" spans="2:4" x14ac:dyDescent="0.2">
      <c r="B39" s="77">
        <v>41518</v>
      </c>
      <c r="C39" s="79">
        <v>0.223</v>
      </c>
      <c r="D39" s="80">
        <f t="shared" si="1"/>
        <v>1.8583333333333334E-4</v>
      </c>
    </row>
    <row r="40" spans="2:4" x14ac:dyDescent="0.2">
      <c r="B40" s="77">
        <v>41548</v>
      </c>
      <c r="C40" s="79">
        <v>0.22600000000000001</v>
      </c>
      <c r="D40" s="80">
        <f t="shared" si="1"/>
        <v>1.8833333333333335E-4</v>
      </c>
    </row>
    <row r="41" spans="2:4" x14ac:dyDescent="0.2">
      <c r="B41" s="77">
        <v>41579</v>
      </c>
      <c r="C41" s="79">
        <v>0.223</v>
      </c>
      <c r="D41" s="80">
        <f t="shared" si="1"/>
        <v>1.8583333333333334E-4</v>
      </c>
    </row>
    <row r="42" spans="2:4" x14ac:dyDescent="0.2">
      <c r="B42" s="77">
        <v>41609</v>
      </c>
      <c r="C42" s="79">
        <v>0.27400000000000002</v>
      </c>
      <c r="D42" s="80">
        <f t="shared" si="1"/>
        <v>2.2833333333333334E-4</v>
      </c>
    </row>
    <row r="43" spans="2:4" x14ac:dyDescent="0.2">
      <c r="B43" s="77">
        <v>41640</v>
      </c>
      <c r="C43" s="79">
        <v>0.29199999999999998</v>
      </c>
      <c r="D43" s="80">
        <f t="shared" si="1"/>
        <v>2.4333333333333333E-4</v>
      </c>
    </row>
    <row r="44" spans="2:4" x14ac:dyDescent="0.2">
      <c r="B44" s="77">
        <v>41671</v>
      </c>
      <c r="C44" s="79">
        <v>0.28799999999999998</v>
      </c>
      <c r="D44" s="80">
        <f t="shared" si="1"/>
        <v>2.3999999999999998E-4</v>
      </c>
    </row>
    <row r="45" spans="2:4" x14ac:dyDescent="0.2">
      <c r="B45" s="77">
        <v>41699</v>
      </c>
      <c r="C45" s="79">
        <v>0.30499999999999999</v>
      </c>
      <c r="D45" s="80">
        <f t="shared" si="1"/>
        <v>2.5416666666666665E-4</v>
      </c>
    </row>
    <row r="46" spans="2:4" x14ac:dyDescent="0.2">
      <c r="B46" s="77">
        <v>41730</v>
      </c>
      <c r="C46" s="79">
        <v>0.33</v>
      </c>
      <c r="D46" s="80">
        <f t="shared" si="1"/>
        <v>2.7500000000000002E-4</v>
      </c>
    </row>
    <row r="47" spans="2:4" x14ac:dyDescent="0.2">
      <c r="B47" s="77">
        <v>41760</v>
      </c>
      <c r="C47" s="79">
        <v>0.32500000000000001</v>
      </c>
      <c r="D47" s="80">
        <f t="shared" si="1"/>
        <v>2.7083333333333332E-4</v>
      </c>
    </row>
    <row r="48" spans="2:4" x14ac:dyDescent="0.2">
      <c r="B48" s="77">
        <v>41791</v>
      </c>
      <c r="C48" s="79">
        <v>0.24099999999999999</v>
      </c>
      <c r="D48" s="80">
        <f t="shared" si="1"/>
        <v>2.0083333333333333E-4</v>
      </c>
    </row>
    <row r="49" spans="2:4" x14ac:dyDescent="0.2">
      <c r="B49" s="77">
        <v>41821</v>
      </c>
      <c r="C49" s="79">
        <v>0.20499999999999999</v>
      </c>
      <c r="D49" s="80">
        <f t="shared" si="1"/>
        <v>1.7083333333333333E-4</v>
      </c>
    </row>
    <row r="50" spans="2:4" x14ac:dyDescent="0.2">
      <c r="B50" s="77">
        <v>41852</v>
      </c>
      <c r="C50" s="79">
        <v>0.192</v>
      </c>
      <c r="D50" s="80">
        <f t="shared" si="1"/>
        <v>1.6000000000000001E-4</v>
      </c>
    </row>
    <row r="51" spans="2:4" x14ac:dyDescent="0.2">
      <c r="B51" s="77">
        <v>41883</v>
      </c>
      <c r="C51" s="79">
        <v>9.7000000000000003E-2</v>
      </c>
      <c r="D51" s="80">
        <f t="shared" si="1"/>
        <v>8.0833333333333338E-5</v>
      </c>
    </row>
    <row r="52" spans="2:4" x14ac:dyDescent="0.2">
      <c r="B52" s="77">
        <v>41913</v>
      </c>
      <c r="C52" s="79">
        <v>8.3000000000000004E-2</v>
      </c>
      <c r="D52" s="80">
        <f t="shared" si="1"/>
        <v>6.9166666666666676E-5</v>
      </c>
    </row>
    <row r="53" spans="2:4" x14ac:dyDescent="0.2">
      <c r="B53" s="77">
        <v>41944</v>
      </c>
      <c r="C53" s="79">
        <v>8.1000000000000003E-2</v>
      </c>
      <c r="D53" s="80">
        <f t="shared" si="1"/>
        <v>6.7500000000000001E-5</v>
      </c>
    </row>
    <row r="54" spans="2:4" x14ac:dyDescent="0.2">
      <c r="B54" s="77">
        <v>41974</v>
      </c>
      <c r="C54" s="79">
        <v>8.1000000000000003E-2</v>
      </c>
      <c r="D54" s="80">
        <f t="shared" si="1"/>
        <v>6.7500000000000001E-5</v>
      </c>
    </row>
    <row r="55" spans="2:4" x14ac:dyDescent="0.2">
      <c r="B55" s="77">
        <v>42005</v>
      </c>
      <c r="C55" s="79">
        <v>6.3E-2</v>
      </c>
      <c r="D55" s="80">
        <f t="shared" si="1"/>
        <v>5.2500000000000002E-5</v>
      </c>
    </row>
    <row r="56" spans="2:4" x14ac:dyDescent="0.2">
      <c r="B56" s="77">
        <v>42036</v>
      </c>
      <c r="C56" s="79">
        <v>4.8000000000000001E-2</v>
      </c>
      <c r="D56" s="80">
        <f t="shared" si="1"/>
        <v>4.0000000000000003E-5</v>
      </c>
    </row>
    <row r="57" spans="2:4" x14ac:dyDescent="0.2">
      <c r="B57" s="77">
        <v>42064</v>
      </c>
      <c r="C57" s="79">
        <v>2.7E-2</v>
      </c>
      <c r="D57" s="80">
        <f t="shared" si="1"/>
        <v>2.2500000000000001E-5</v>
      </c>
    </row>
    <row r="58" spans="2:4" x14ac:dyDescent="0.2">
      <c r="B58" s="77">
        <v>42095</v>
      </c>
      <c r="C58" s="79">
        <v>5.0000000000000001E-3</v>
      </c>
      <c r="D58" s="80">
        <f t="shared" si="1"/>
        <v>4.1666666666666669E-6</v>
      </c>
    </row>
    <row r="59" spans="2:4" x14ac:dyDescent="0.2">
      <c r="B59" s="77">
        <v>42125</v>
      </c>
      <c r="C59" s="79">
        <v>-0.01</v>
      </c>
      <c r="D59" s="80">
        <f t="shared" si="1"/>
        <v>-8.3333333333333337E-6</v>
      </c>
    </row>
    <row r="60" spans="2:4" x14ac:dyDescent="0.2">
      <c r="B60" s="77">
        <v>42156</v>
      </c>
      <c r="C60" s="79">
        <v>-1.4E-2</v>
      </c>
      <c r="D60" s="80">
        <f t="shared" si="1"/>
        <v>-1.1666666666666666E-5</v>
      </c>
    </row>
    <row r="61" spans="2:4" x14ac:dyDescent="0.2">
      <c r="B61" s="77">
        <v>42186</v>
      </c>
      <c r="C61" s="79">
        <v>-1.9E-2</v>
      </c>
      <c r="D61" s="80">
        <f t="shared" si="1"/>
        <v>-1.5833333333333333E-5</v>
      </c>
    </row>
    <row r="62" spans="2:4" x14ac:dyDescent="0.2">
      <c r="B62" s="77">
        <v>42217</v>
      </c>
      <c r="C62" s="79">
        <v>-2.8000000000000001E-2</v>
      </c>
      <c r="D62" s="80">
        <f t="shared" si="1"/>
        <v>-2.3333333333333332E-5</v>
      </c>
    </row>
    <row r="63" spans="2:4" x14ac:dyDescent="0.2">
      <c r="B63" s="77">
        <v>42248</v>
      </c>
      <c r="C63" s="79">
        <v>-3.6999999999999998E-2</v>
      </c>
      <c r="D63" s="80">
        <f t="shared" si="1"/>
        <v>-3.0833333333333335E-5</v>
      </c>
    </row>
    <row r="64" spans="2:4" x14ac:dyDescent="0.2">
      <c r="B64" s="77">
        <v>42278</v>
      </c>
      <c r="C64" s="79">
        <v>-5.3999999999999999E-2</v>
      </c>
      <c r="D64" s="80">
        <f t="shared" si="1"/>
        <v>-4.5000000000000003E-5</v>
      </c>
    </row>
    <row r="65" spans="2:4" x14ac:dyDescent="0.2">
      <c r="B65" s="77">
        <v>42309</v>
      </c>
      <c r="C65" s="79">
        <v>-8.7999999999999995E-2</v>
      </c>
      <c r="D65" s="80">
        <f t="shared" si="1"/>
        <v>-7.3333333333333331E-5</v>
      </c>
    </row>
    <row r="66" spans="2:4" x14ac:dyDescent="0.2">
      <c r="B66" s="77">
        <v>42339</v>
      </c>
      <c r="C66" s="79">
        <v>-0.126</v>
      </c>
      <c r="D66" s="80">
        <f t="shared" si="1"/>
        <v>-1.05E-4</v>
      </c>
    </row>
    <row r="67" spans="2:4" x14ac:dyDescent="0.2">
      <c r="B67" s="77">
        <v>42370</v>
      </c>
      <c r="C67" s="79">
        <v>-0.14599999999999999</v>
      </c>
      <c r="D67" s="80">
        <f t="shared" ref="D67:D98" si="2">C67/(100*12)</f>
        <v>-1.2166666666666667E-4</v>
      </c>
    </row>
    <row r="68" spans="2:4" x14ac:dyDescent="0.2">
      <c r="B68" s="77">
        <v>42401</v>
      </c>
      <c r="C68" s="79">
        <v>-0.184</v>
      </c>
      <c r="D68" s="80">
        <f t="shared" si="2"/>
        <v>-1.5333333333333334E-4</v>
      </c>
    </row>
    <row r="69" spans="2:4" x14ac:dyDescent="0.2">
      <c r="B69" s="77">
        <v>42430</v>
      </c>
      <c r="C69" s="79">
        <v>-0.22900000000000001</v>
      </c>
      <c r="D69" s="80">
        <f t="shared" si="2"/>
        <v>-1.9083333333333333E-4</v>
      </c>
    </row>
    <row r="70" spans="2:4" x14ac:dyDescent="0.2">
      <c r="B70" s="77">
        <v>42461</v>
      </c>
      <c r="C70" s="79">
        <v>-0.249</v>
      </c>
      <c r="D70" s="80">
        <f t="shared" si="2"/>
        <v>-2.075E-4</v>
      </c>
    </row>
    <row r="71" spans="2:4" x14ac:dyDescent="0.2">
      <c r="B71" s="77">
        <v>42491</v>
      </c>
      <c r="C71" s="79">
        <v>-0.25700000000000001</v>
      </c>
      <c r="D71" s="80">
        <f t="shared" si="2"/>
        <v>-2.1416666666666668E-4</v>
      </c>
    </row>
    <row r="72" spans="2:4" x14ac:dyDescent="0.2">
      <c r="B72" s="77">
        <v>42522</v>
      </c>
      <c r="C72" s="79">
        <v>-0.26800000000000002</v>
      </c>
      <c r="D72" s="80">
        <f t="shared" si="2"/>
        <v>-2.2333333333333336E-4</v>
      </c>
    </row>
    <row r="73" spans="2:4" x14ac:dyDescent="0.2">
      <c r="B73" s="77">
        <v>42552</v>
      </c>
      <c r="C73" s="79">
        <v>-0.29499999999999998</v>
      </c>
      <c r="D73" s="80">
        <f t="shared" si="2"/>
        <v>-2.4583333333333331E-4</v>
      </c>
    </row>
    <row r="74" spans="2:4" x14ac:dyDescent="0.2">
      <c r="B74" s="77">
        <v>42583</v>
      </c>
      <c r="C74" s="79">
        <v>-0.29799999999999999</v>
      </c>
      <c r="D74" s="80">
        <f t="shared" si="2"/>
        <v>-2.4833333333333332E-4</v>
      </c>
    </row>
    <row r="75" spans="2:4" x14ac:dyDescent="0.2">
      <c r="B75" s="77">
        <v>42614</v>
      </c>
      <c r="C75" s="79">
        <v>-0.30199999999999999</v>
      </c>
      <c r="D75" s="80">
        <f t="shared" si="2"/>
        <v>-2.5166666666666664E-4</v>
      </c>
    </row>
    <row r="76" spans="2:4" x14ac:dyDescent="0.2">
      <c r="B76" s="77">
        <v>42644</v>
      </c>
      <c r="C76" s="79">
        <v>-0.309</v>
      </c>
      <c r="D76" s="80">
        <f t="shared" si="2"/>
        <v>-2.5749999999999997E-4</v>
      </c>
    </row>
    <row r="77" spans="2:4" x14ac:dyDescent="0.2">
      <c r="B77" s="77">
        <v>42675</v>
      </c>
      <c r="C77" s="79">
        <v>-0.313</v>
      </c>
      <c r="D77" s="80">
        <f t="shared" si="2"/>
        <v>-2.6083333333333335E-4</v>
      </c>
    </row>
    <row r="78" spans="2:4" x14ac:dyDescent="0.2">
      <c r="B78" s="77">
        <v>42705</v>
      </c>
      <c r="C78" s="79">
        <v>-0.316</v>
      </c>
      <c r="D78" s="80">
        <f t="shared" si="2"/>
        <v>-2.6333333333333336E-4</v>
      </c>
    </row>
    <row r="79" spans="2:4" x14ac:dyDescent="0.2">
      <c r="B79" s="77">
        <v>42736</v>
      </c>
      <c r="C79" s="79">
        <v>-0.32600000000000001</v>
      </c>
      <c r="D79" s="80">
        <f t="shared" si="2"/>
        <v>-2.7166666666666669E-4</v>
      </c>
    </row>
    <row r="80" spans="2:4" x14ac:dyDescent="0.2">
      <c r="B80" s="77">
        <v>42767</v>
      </c>
      <c r="C80" s="79">
        <v>-0.32900000000000001</v>
      </c>
      <c r="D80" s="80">
        <f t="shared" si="2"/>
        <v>-2.741666666666667E-4</v>
      </c>
    </row>
    <row r="81" spans="2:4" x14ac:dyDescent="0.2">
      <c r="B81" s="77">
        <v>42795</v>
      </c>
      <c r="C81" s="79">
        <v>-0.32900000000000001</v>
      </c>
      <c r="D81" s="80">
        <f t="shared" si="2"/>
        <v>-2.741666666666667E-4</v>
      </c>
    </row>
    <row r="82" spans="2:4" x14ac:dyDescent="0.2">
      <c r="B82" s="77">
        <v>42826</v>
      </c>
      <c r="C82" s="79">
        <v>-0.33</v>
      </c>
      <c r="D82" s="80">
        <f t="shared" si="2"/>
        <v>-2.7500000000000002E-4</v>
      </c>
    </row>
    <row r="83" spans="2:4" x14ac:dyDescent="0.2">
      <c r="B83" s="77">
        <v>42856</v>
      </c>
      <c r="C83" s="79">
        <v>-0.32900000000000001</v>
      </c>
      <c r="D83" s="80">
        <f t="shared" si="2"/>
        <v>-2.741666666666667E-4</v>
      </c>
    </row>
    <row r="84" spans="2:4" x14ac:dyDescent="0.2">
      <c r="B84" s="77">
        <v>42887</v>
      </c>
      <c r="C84" s="79">
        <v>-0.33</v>
      </c>
      <c r="D84" s="80">
        <f t="shared" si="2"/>
        <v>-2.7500000000000002E-4</v>
      </c>
    </row>
    <row r="85" spans="2:4" x14ac:dyDescent="0.2">
      <c r="B85" s="77">
        <v>42917</v>
      </c>
      <c r="C85" s="79">
        <v>-0.33</v>
      </c>
      <c r="D85" s="80">
        <f t="shared" si="2"/>
        <v>-2.7500000000000002E-4</v>
      </c>
    </row>
    <row r="86" spans="2:4" x14ac:dyDescent="0.2">
      <c r="B86" s="77">
        <v>42948</v>
      </c>
      <c r="C86" s="79">
        <v>-0.32900000000000001</v>
      </c>
      <c r="D86" s="80">
        <f t="shared" si="2"/>
        <v>-2.741666666666667E-4</v>
      </c>
    </row>
    <row r="87" spans="2:4" x14ac:dyDescent="0.2">
      <c r="B87" s="77">
        <v>42979</v>
      </c>
      <c r="C87" s="79">
        <v>-0.32900000000000001</v>
      </c>
      <c r="D87" s="80">
        <f t="shared" si="2"/>
        <v>-2.741666666666667E-4</v>
      </c>
    </row>
    <row r="88" spans="2:4" x14ac:dyDescent="0.2">
      <c r="B88" s="77">
        <v>43009</v>
      </c>
      <c r="C88" s="79">
        <v>-0.33</v>
      </c>
      <c r="D88" s="80">
        <f t="shared" si="2"/>
        <v>-2.7500000000000002E-4</v>
      </c>
    </row>
    <row r="89" spans="2:4" x14ac:dyDescent="0.2">
      <c r="B89" s="77">
        <v>43040</v>
      </c>
      <c r="C89" s="79">
        <v>-0.32900000000000001</v>
      </c>
      <c r="D89" s="80">
        <f t="shared" si="2"/>
        <v>-2.741666666666667E-4</v>
      </c>
    </row>
    <row r="90" spans="2:4" x14ac:dyDescent="0.2">
      <c r="B90" s="77">
        <v>43070</v>
      </c>
      <c r="C90" s="79">
        <v>-0.32800000000000001</v>
      </c>
      <c r="D90" s="80">
        <f t="shared" si="2"/>
        <v>-2.7333333333333333E-4</v>
      </c>
    </row>
    <row r="91" spans="2:4" x14ac:dyDescent="0.2">
      <c r="B91" s="77">
        <v>43101</v>
      </c>
      <c r="C91" s="79">
        <v>-0.32800000000000001</v>
      </c>
      <c r="D91" s="80">
        <f t="shared" si="2"/>
        <v>-2.7333333333333333E-4</v>
      </c>
    </row>
    <row r="92" spans="2:4" x14ac:dyDescent="0.2">
      <c r="B92" s="77">
        <v>43132</v>
      </c>
      <c r="C92" s="79">
        <v>-0.32900000000000001</v>
      </c>
      <c r="D92" s="80">
        <f t="shared" si="2"/>
        <v>-2.741666666666667E-4</v>
      </c>
    </row>
    <row r="93" spans="2:4" x14ac:dyDescent="0.2">
      <c r="B93" s="77">
        <v>43160</v>
      </c>
      <c r="C93" s="79">
        <v>-0.32800000000000001</v>
      </c>
      <c r="D93" s="80">
        <f t="shared" si="2"/>
        <v>-2.7333333333333333E-4</v>
      </c>
    </row>
    <row r="94" spans="2:4" x14ac:dyDescent="0.2">
      <c r="B94" s="77">
        <v>43191</v>
      </c>
      <c r="C94" s="79">
        <v>-0.32800000000000001</v>
      </c>
      <c r="D94" s="80">
        <f t="shared" si="2"/>
        <v>-2.7333333333333333E-4</v>
      </c>
    </row>
    <row r="95" spans="2:4" x14ac:dyDescent="0.2">
      <c r="B95" s="77">
        <v>43221</v>
      </c>
      <c r="C95" s="79">
        <v>-0.32500000000000001</v>
      </c>
      <c r="D95" s="80">
        <f t="shared" si="2"/>
        <v>-2.7083333333333332E-4</v>
      </c>
    </row>
    <row r="96" spans="2:4" x14ac:dyDescent="0.2">
      <c r="B96" s="77">
        <v>43252</v>
      </c>
      <c r="C96" s="79">
        <v>-0.32200000000000001</v>
      </c>
      <c r="D96" s="80">
        <f t="shared" si="2"/>
        <v>-2.6833333333333331E-4</v>
      </c>
    </row>
    <row r="97" spans="2:4" x14ac:dyDescent="0.2">
      <c r="B97" s="77">
        <v>43282</v>
      </c>
      <c r="C97" s="79">
        <v>-0.32100000000000001</v>
      </c>
      <c r="D97" s="80">
        <f t="shared" si="2"/>
        <v>-2.675E-4</v>
      </c>
    </row>
    <row r="98" spans="2:4" x14ac:dyDescent="0.2">
      <c r="B98" s="77">
        <v>43313</v>
      </c>
      <c r="C98" s="79">
        <v>-0.31900000000000001</v>
      </c>
      <c r="D98" s="80">
        <f t="shared" si="2"/>
        <v>-2.6583333333333336E-4</v>
      </c>
    </row>
    <row r="99" spans="2:4" x14ac:dyDescent="0.2">
      <c r="B99" s="77">
        <v>43344</v>
      </c>
      <c r="C99" s="79">
        <v>-0.31900000000000001</v>
      </c>
      <c r="D99" s="80">
        <f t="shared" ref="D99:D130" si="3">C99/(100*12)</f>
        <v>-2.6583333333333336E-4</v>
      </c>
    </row>
    <row r="100" spans="2:4" x14ac:dyDescent="0.2">
      <c r="B100" s="77">
        <v>43374</v>
      </c>
      <c r="C100" s="79">
        <v>-0.318</v>
      </c>
      <c r="D100" s="80">
        <f t="shared" si="3"/>
        <v>-2.6499999999999999E-4</v>
      </c>
    </row>
    <row r="101" spans="2:4" x14ac:dyDescent="0.2">
      <c r="B101" s="77">
        <v>43405</v>
      </c>
      <c r="C101" s="79">
        <v>-0.316</v>
      </c>
      <c r="D101" s="80">
        <f t="shared" si="3"/>
        <v>-2.6333333333333336E-4</v>
      </c>
    </row>
    <row r="102" spans="2:4" x14ac:dyDescent="0.2">
      <c r="B102" s="77">
        <v>43435</v>
      </c>
      <c r="C102" s="79">
        <v>-0.312</v>
      </c>
      <c r="D102" s="80">
        <f t="shared" si="3"/>
        <v>-2.5999999999999998E-4</v>
      </c>
    </row>
    <row r="103" spans="2:4" x14ac:dyDescent="0.2">
      <c r="B103" s="77">
        <v>43466</v>
      </c>
      <c r="C103" s="79">
        <v>-0.308</v>
      </c>
      <c r="D103" s="80">
        <f t="shared" si="3"/>
        <v>-2.5666666666666665E-4</v>
      </c>
    </row>
    <row r="104" spans="2:4" x14ac:dyDescent="0.2">
      <c r="B104" s="77">
        <v>43497</v>
      </c>
      <c r="C104" s="79">
        <v>-0.308</v>
      </c>
      <c r="D104" s="80">
        <f t="shared" si="3"/>
        <v>-2.5666666666666665E-4</v>
      </c>
    </row>
    <row r="105" spans="2:4" x14ac:dyDescent="0.2">
      <c r="B105" s="77">
        <v>43525</v>
      </c>
      <c r="C105" s="79">
        <v>-0.309</v>
      </c>
      <c r="D105" s="80">
        <f t="shared" si="3"/>
        <v>-2.5749999999999997E-4</v>
      </c>
    </row>
    <row r="106" spans="2:4" x14ac:dyDescent="0.2">
      <c r="B106" s="77">
        <v>43556</v>
      </c>
      <c r="C106" s="79">
        <v>-0.31</v>
      </c>
      <c r="D106" s="80">
        <f t="shared" si="3"/>
        <v>-2.5833333333333334E-4</v>
      </c>
    </row>
    <row r="107" spans="2:4" x14ac:dyDescent="0.2">
      <c r="B107" s="77">
        <v>43586</v>
      </c>
      <c r="C107" s="79">
        <v>-0.312</v>
      </c>
      <c r="D107" s="80">
        <f t="shared" si="3"/>
        <v>-2.5999999999999998E-4</v>
      </c>
    </row>
    <row r="108" spans="2:4" x14ac:dyDescent="0.2">
      <c r="B108" s="77">
        <v>43617</v>
      </c>
      <c r="C108" s="79">
        <v>-0.32900000000000001</v>
      </c>
      <c r="D108" s="80">
        <f t="shared" si="3"/>
        <v>-2.741666666666667E-4</v>
      </c>
    </row>
    <row r="109" spans="2:4" x14ac:dyDescent="0.2">
      <c r="B109" s="77">
        <v>43647</v>
      </c>
      <c r="C109" s="79">
        <v>-0.36499999999999999</v>
      </c>
      <c r="D109" s="80">
        <f t="shared" si="3"/>
        <v>-3.0416666666666667E-4</v>
      </c>
    </row>
    <row r="110" spans="2:4" x14ac:dyDescent="0.2">
      <c r="B110" s="77">
        <v>43678</v>
      </c>
      <c r="C110" s="79">
        <v>-0.40799999999999997</v>
      </c>
      <c r="D110" s="80">
        <f t="shared" si="3"/>
        <v>-3.3999999999999997E-4</v>
      </c>
    </row>
    <row r="111" spans="2:4" x14ac:dyDescent="0.2">
      <c r="B111" s="77">
        <v>43709</v>
      </c>
      <c r="C111" s="79">
        <v>-0.41799999999999998</v>
      </c>
      <c r="D111" s="80">
        <f t="shared" si="3"/>
        <v>-3.4833333333333331E-4</v>
      </c>
    </row>
    <row r="112" spans="2:4" x14ac:dyDescent="0.2">
      <c r="B112" s="77">
        <v>43739</v>
      </c>
      <c r="C112" s="79">
        <v>-0.41299999999999998</v>
      </c>
      <c r="D112" s="80">
        <f t="shared" si="3"/>
        <v>-3.4416666666666667E-4</v>
      </c>
    </row>
    <row r="113" spans="2:4" x14ac:dyDescent="0.2">
      <c r="B113" s="77">
        <v>43770</v>
      </c>
      <c r="C113" s="79">
        <v>-0.40100000000000002</v>
      </c>
      <c r="D113" s="80">
        <f t="shared" si="3"/>
        <v>-3.3416666666666669E-4</v>
      </c>
    </row>
    <row r="114" spans="2:4" x14ac:dyDescent="0.2">
      <c r="B114" s="77">
        <v>43800</v>
      </c>
      <c r="C114" s="79">
        <v>-0.39500000000000002</v>
      </c>
      <c r="D114" s="80">
        <f t="shared" si="3"/>
        <v>-3.2916666666666668E-4</v>
      </c>
    </row>
    <row r="115" spans="2:4" x14ac:dyDescent="0.2">
      <c r="B115" s="77">
        <v>43831</v>
      </c>
      <c r="C115" s="79">
        <v>-0.39100000000000001</v>
      </c>
      <c r="D115" s="80">
        <f t="shared" si="3"/>
        <v>-3.2583333333333336E-4</v>
      </c>
    </row>
    <row r="116" spans="2:4" x14ac:dyDescent="0.2">
      <c r="B116" s="77">
        <v>43862</v>
      </c>
      <c r="C116" s="79">
        <v>-0.40899999999999997</v>
      </c>
      <c r="D116" s="80">
        <f t="shared" si="3"/>
        <v>-3.4083333333333329E-4</v>
      </c>
    </row>
    <row r="117" spans="2:4" x14ac:dyDescent="0.2">
      <c r="B117" s="77">
        <v>43891</v>
      </c>
      <c r="C117" s="79">
        <v>-0.41699999999999998</v>
      </c>
      <c r="D117" s="80">
        <f t="shared" si="3"/>
        <v>-3.4749999999999999E-4</v>
      </c>
    </row>
    <row r="118" spans="2:4" x14ac:dyDescent="0.2">
      <c r="B118" s="77">
        <v>43922</v>
      </c>
      <c r="C118" s="79">
        <v>-0.254</v>
      </c>
      <c r="D118" s="80">
        <f t="shared" si="3"/>
        <v>-2.1166666666666667E-4</v>
      </c>
    </row>
    <row r="119" spans="2:4" x14ac:dyDescent="0.2">
      <c r="B119" s="77">
        <v>43952</v>
      </c>
      <c r="C119" s="79">
        <v>-0.27200000000000002</v>
      </c>
      <c r="D119" s="80">
        <f t="shared" si="3"/>
        <v>-2.2666666666666668E-4</v>
      </c>
    </row>
    <row r="120" spans="2:4" x14ac:dyDescent="0.2">
      <c r="B120" s="77">
        <v>43983</v>
      </c>
      <c r="C120" s="79">
        <v>-0.376</v>
      </c>
      <c r="D120" s="80">
        <f t="shared" si="3"/>
        <v>-3.1333333333333332E-4</v>
      </c>
    </row>
    <row r="121" spans="2:4" x14ac:dyDescent="0.2">
      <c r="B121" s="77">
        <v>44013</v>
      </c>
      <c r="C121" s="79">
        <v>-0.44400000000000001</v>
      </c>
      <c r="D121" s="80">
        <f t="shared" si="3"/>
        <v>-3.6999999999999999E-4</v>
      </c>
    </row>
    <row r="122" spans="2:4" x14ac:dyDescent="0.2">
      <c r="B122" s="77">
        <v>44044</v>
      </c>
      <c r="C122" s="79">
        <v>-0.48</v>
      </c>
      <c r="D122" s="80">
        <f t="shared" si="3"/>
        <v>-3.9999999999999996E-4</v>
      </c>
    </row>
    <row r="123" spans="2:4" x14ac:dyDescent="0.2">
      <c r="B123" s="77">
        <v>44075</v>
      </c>
      <c r="C123" s="79">
        <v>-0.49099999999999999</v>
      </c>
      <c r="D123" s="80">
        <f t="shared" si="3"/>
        <v>-4.0916666666666667E-4</v>
      </c>
    </row>
    <row r="124" spans="2:4" x14ac:dyDescent="0.2">
      <c r="B124" s="77">
        <v>44105</v>
      </c>
      <c r="C124" s="79">
        <v>-0.50900000000000001</v>
      </c>
      <c r="D124" s="80">
        <f t="shared" si="3"/>
        <v>-4.2416666666666666E-4</v>
      </c>
    </row>
    <row r="125" spans="2:4" x14ac:dyDescent="0.2">
      <c r="B125" s="77">
        <v>44136</v>
      </c>
      <c r="C125" s="79">
        <v>-0.52100000000000002</v>
      </c>
      <c r="D125" s="80">
        <f t="shared" si="3"/>
        <v>-4.3416666666666669E-4</v>
      </c>
    </row>
    <row r="126" spans="2:4" x14ac:dyDescent="0.2">
      <c r="B126" s="77">
        <v>44166</v>
      </c>
      <c r="C126" s="79">
        <v>-0.53800000000000003</v>
      </c>
      <c r="D126" s="80">
        <f t="shared" si="3"/>
        <v>-4.4833333333333335E-4</v>
      </c>
    </row>
    <row r="127" spans="2:4" x14ac:dyDescent="0.2">
      <c r="B127" s="77">
        <v>44197</v>
      </c>
      <c r="C127" s="79">
        <v>-0.54700000000000004</v>
      </c>
      <c r="D127" s="80">
        <f t="shared" si="3"/>
        <v>-4.5583333333333337E-4</v>
      </c>
    </row>
    <row r="128" spans="2:4" x14ac:dyDescent="0.2">
      <c r="B128" s="77">
        <v>44228</v>
      </c>
      <c r="C128" s="79">
        <v>-0.54100000000000004</v>
      </c>
      <c r="D128" s="80">
        <f t="shared" si="3"/>
        <v>-4.5083333333333336E-4</v>
      </c>
    </row>
    <row r="129" spans="2:4" x14ac:dyDescent="0.2">
      <c r="B129" s="77">
        <v>44256</v>
      </c>
      <c r="C129" s="79">
        <v>-0.53900000000000003</v>
      </c>
      <c r="D129" s="80">
        <f t="shared" si="3"/>
        <v>-4.4916666666666667E-4</v>
      </c>
    </row>
    <row r="130" spans="2:4" x14ac:dyDescent="0.2">
      <c r="B130" s="77">
        <v>44287</v>
      </c>
      <c r="C130" s="79">
        <v>-0.53800000000000003</v>
      </c>
      <c r="D130" s="80">
        <f t="shared" si="3"/>
        <v>-4.4833333333333335E-4</v>
      </c>
    </row>
    <row r="131" spans="2:4" x14ac:dyDescent="0.2">
      <c r="B131" s="77">
        <v>44317</v>
      </c>
      <c r="C131" s="79">
        <v>-0.54</v>
      </c>
      <c r="D131" s="80">
        <f t="shared" ref="D131:D162" si="4">C131/(100*12)</f>
        <v>-4.5000000000000004E-4</v>
      </c>
    </row>
    <row r="132" spans="2:4" x14ac:dyDescent="0.2">
      <c r="B132" s="77">
        <v>44348</v>
      </c>
      <c r="C132" s="79">
        <v>-0.54300000000000004</v>
      </c>
      <c r="D132" s="80">
        <f t="shared" si="4"/>
        <v>-4.5250000000000005E-4</v>
      </c>
    </row>
    <row r="133" spans="2:4" x14ac:dyDescent="0.2">
      <c r="B133" s="77">
        <v>44378</v>
      </c>
      <c r="C133" s="79">
        <v>-0.54500000000000004</v>
      </c>
      <c r="D133" s="80">
        <f t="shared" si="4"/>
        <v>-4.5416666666666668E-4</v>
      </c>
    </row>
    <row r="134" spans="2:4" x14ac:dyDescent="0.2">
      <c r="B134" s="77">
        <v>44409</v>
      </c>
      <c r="C134" s="79">
        <v>-0.54800000000000004</v>
      </c>
      <c r="D134" s="80">
        <f t="shared" si="4"/>
        <v>-4.5666666666666669E-4</v>
      </c>
    </row>
    <row r="135" spans="2:4" x14ac:dyDescent="0.2">
      <c r="B135" s="77">
        <v>44440</v>
      </c>
      <c r="C135" s="79">
        <v>-0.54500000000000004</v>
      </c>
      <c r="D135" s="80">
        <f t="shared" si="4"/>
        <v>-4.5416666666666668E-4</v>
      </c>
    </row>
    <row r="136" spans="2:4" x14ac:dyDescent="0.2">
      <c r="B136" s="77">
        <v>44470</v>
      </c>
      <c r="C136" s="79">
        <v>-0.55000000000000004</v>
      </c>
      <c r="D136" s="80">
        <f t="shared" si="4"/>
        <v>-4.5833333333333338E-4</v>
      </c>
    </row>
    <row r="137" spans="2:4" x14ac:dyDescent="0.2">
      <c r="B137" s="77">
        <v>44501</v>
      </c>
      <c r="C137" s="79">
        <v>-0.56699999999999995</v>
      </c>
      <c r="D137" s="80">
        <f t="shared" si="4"/>
        <v>-4.7249999999999994E-4</v>
      </c>
    </row>
    <row r="138" spans="2:4" x14ac:dyDescent="0.2">
      <c r="B138" s="77">
        <v>44531</v>
      </c>
      <c r="C138" s="79">
        <v>-0.58199999999999996</v>
      </c>
      <c r="D138" s="80">
        <f t="shared" si="4"/>
        <v>-4.8499999999999997E-4</v>
      </c>
    </row>
    <row r="139" spans="2:4" x14ac:dyDescent="0.2">
      <c r="B139" s="77">
        <v>44562</v>
      </c>
      <c r="C139" s="79">
        <v>-0.56000000000000005</v>
      </c>
      <c r="D139" s="80">
        <f t="shared" si="4"/>
        <v>-4.6666666666666672E-4</v>
      </c>
    </row>
    <row r="140" spans="2:4" x14ac:dyDescent="0.2">
      <c r="B140" s="77">
        <v>44593</v>
      </c>
      <c r="C140" s="79">
        <v>-0.53200000000000003</v>
      </c>
      <c r="D140" s="80">
        <f t="shared" si="4"/>
        <v>-4.4333333333333334E-4</v>
      </c>
    </row>
    <row r="141" spans="2:4" x14ac:dyDescent="0.2">
      <c r="B141" s="77">
        <v>44621</v>
      </c>
      <c r="C141" s="79">
        <v>-0.495</v>
      </c>
      <c r="D141" s="80">
        <f t="shared" si="4"/>
        <v>-4.125E-4</v>
      </c>
    </row>
    <row r="142" spans="2:4" x14ac:dyDescent="0.2">
      <c r="B142" s="77">
        <v>44652</v>
      </c>
      <c r="C142" s="79">
        <v>-0.44800000000000001</v>
      </c>
      <c r="D142" s="80">
        <f t="shared" si="4"/>
        <v>-3.7333333333333332E-4</v>
      </c>
    </row>
    <row r="143" spans="2:4" x14ac:dyDescent="0.2">
      <c r="B143" s="77">
        <v>44682</v>
      </c>
      <c r="C143" s="79">
        <v>-0.38600000000000001</v>
      </c>
      <c r="D143" s="80">
        <f t="shared" si="4"/>
        <v>-3.2166666666666666E-4</v>
      </c>
    </row>
    <row r="144" spans="2:4" x14ac:dyDescent="0.2">
      <c r="B144" s="77">
        <v>44713</v>
      </c>
      <c r="C144" s="79">
        <v>-0.23899999999999999</v>
      </c>
      <c r="D144" s="80">
        <f t="shared" si="4"/>
        <v>-1.9916666666666667E-4</v>
      </c>
    </row>
    <row r="145" spans="2:4" x14ac:dyDescent="0.2">
      <c r="B145" s="77">
        <v>44743</v>
      </c>
      <c r="C145" s="79">
        <v>3.6999999999999998E-2</v>
      </c>
      <c r="D145" s="80">
        <f t="shared" si="4"/>
        <v>3.0833333333333335E-5</v>
      </c>
    </row>
    <row r="146" spans="2:4" x14ac:dyDescent="0.2">
      <c r="B146" s="77">
        <v>44774</v>
      </c>
      <c r="C146" s="79">
        <v>0.39500000000000002</v>
      </c>
      <c r="D146" s="80">
        <f t="shared" si="4"/>
        <v>3.2916666666666668E-4</v>
      </c>
    </row>
    <row r="147" spans="2:4" x14ac:dyDescent="0.2">
      <c r="B147" s="77">
        <v>44805</v>
      </c>
      <c r="C147" s="79">
        <v>1.0109999999999999</v>
      </c>
      <c r="D147" s="80">
        <f t="shared" si="4"/>
        <v>8.4249999999999993E-4</v>
      </c>
    </row>
    <row r="148" spans="2:4" x14ac:dyDescent="0.2">
      <c r="B148" s="77">
        <v>44835</v>
      </c>
      <c r="C148" s="79">
        <v>1.4279999999999999</v>
      </c>
      <c r="D148" s="80">
        <f t="shared" si="4"/>
        <v>1.1899999999999999E-3</v>
      </c>
    </row>
    <row r="149" spans="2:4" x14ac:dyDescent="0.2">
      <c r="B149" s="77">
        <v>44866</v>
      </c>
      <c r="C149" s="79">
        <v>1.825</v>
      </c>
      <c r="D149" s="80">
        <f t="shared" si="4"/>
        <v>1.5208333333333332E-3</v>
      </c>
    </row>
    <row r="150" spans="2:4" x14ac:dyDescent="0.2">
      <c r="B150" s="77">
        <v>44896</v>
      </c>
      <c r="C150" s="79">
        <v>2.0630000000000002</v>
      </c>
      <c r="D150" s="80">
        <f t="shared" si="4"/>
        <v>1.7191666666666668E-3</v>
      </c>
    </row>
    <row r="151" spans="2:4" x14ac:dyDescent="0.2">
      <c r="B151" s="77">
        <v>44927</v>
      </c>
      <c r="C151" s="79">
        <v>2.3450000000000002</v>
      </c>
      <c r="D151" s="80">
        <f t="shared" si="4"/>
        <v>1.954166666666667E-3</v>
      </c>
    </row>
    <row r="152" spans="2:4" x14ac:dyDescent="0.2">
      <c r="B152" s="77">
        <v>44958</v>
      </c>
      <c r="C152" s="79">
        <v>2.64</v>
      </c>
      <c r="D152" s="80">
        <f t="shared" si="4"/>
        <v>2.2000000000000001E-3</v>
      </c>
    </row>
    <row r="153" spans="2:4" x14ac:dyDescent="0.2">
      <c r="B153" s="77">
        <v>44986</v>
      </c>
      <c r="C153" s="79">
        <v>2.911</v>
      </c>
      <c r="D153" s="80">
        <f t="shared" si="4"/>
        <v>2.4258333333333332E-3</v>
      </c>
    </row>
    <row r="154" spans="2:4" x14ac:dyDescent="0.2">
      <c r="B154" s="77">
        <v>45017</v>
      </c>
      <c r="C154" s="79">
        <v>3.1669999999999998</v>
      </c>
      <c r="D154" s="80">
        <f t="shared" si="4"/>
        <v>2.6391666666666664E-3</v>
      </c>
    </row>
    <row r="155" spans="2:4" x14ac:dyDescent="0.2">
      <c r="B155" s="77">
        <v>45047</v>
      </c>
      <c r="C155" s="79">
        <v>3.3660000000000001</v>
      </c>
      <c r="D155" s="80">
        <f t="shared" si="4"/>
        <v>2.8050000000000002E-3</v>
      </c>
    </row>
    <row r="156" spans="2:4" x14ac:dyDescent="0.2">
      <c r="B156" s="77">
        <v>45078</v>
      </c>
      <c r="C156" s="79">
        <v>3.536</v>
      </c>
      <c r="D156" s="80">
        <f t="shared" si="4"/>
        <v>2.9466666666666669E-3</v>
      </c>
    </row>
    <row r="157" spans="2:4" x14ac:dyDescent="0.2">
      <c r="B157" s="77">
        <v>45108</v>
      </c>
      <c r="C157" s="79">
        <v>3.6720000000000002</v>
      </c>
      <c r="D157" s="80">
        <f t="shared" si="4"/>
        <v>3.0600000000000002E-3</v>
      </c>
    </row>
    <row r="158" spans="2:4" x14ac:dyDescent="0.2">
      <c r="B158" s="77">
        <v>45139</v>
      </c>
      <c r="C158" s="79">
        <v>3.78</v>
      </c>
      <c r="D158" s="80">
        <f t="shared" si="4"/>
        <v>3.15E-3</v>
      </c>
    </row>
    <row r="159" spans="2:4" x14ac:dyDescent="0.2">
      <c r="B159" s="77">
        <v>45170</v>
      </c>
      <c r="C159" s="79">
        <v>3.88</v>
      </c>
      <c r="D159" s="80">
        <f t="shared" si="4"/>
        <v>3.2333333333333333E-3</v>
      </c>
    </row>
    <row r="160" spans="2:4" x14ac:dyDescent="0.2">
      <c r="B160" s="77">
        <v>45200</v>
      </c>
      <c r="C160" s="79">
        <v>3.968</v>
      </c>
      <c r="D160" s="80">
        <f t="shared" si="4"/>
        <v>3.3066666666666665E-3</v>
      </c>
    </row>
    <row r="161" spans="2:4" x14ac:dyDescent="0.2">
      <c r="B161" s="77">
        <v>45231</v>
      </c>
      <c r="C161" s="79">
        <v>3.972</v>
      </c>
      <c r="D161" s="80">
        <f t="shared" si="4"/>
        <v>3.31E-3</v>
      </c>
    </row>
    <row r="162" spans="2:4" x14ac:dyDescent="0.2">
      <c r="B162" s="77">
        <v>45261</v>
      </c>
      <c r="C162" s="79">
        <v>3.9329999999999998</v>
      </c>
      <c r="D162" s="80">
        <f t="shared" si="4"/>
        <v>3.2775E-3</v>
      </c>
    </row>
    <row r="163" spans="2:4" x14ac:dyDescent="0.2">
      <c r="B163" s="77">
        <v>45292</v>
      </c>
      <c r="C163" s="79">
        <v>3.9249999999999998</v>
      </c>
      <c r="D163" s="80">
        <f t="shared" ref="D163:D182" si="5">C163/(100*12)</f>
        <v>3.2708333333333331E-3</v>
      </c>
    </row>
    <row r="164" spans="2:4" x14ac:dyDescent="0.2">
      <c r="B164" s="77">
        <v>45323</v>
      </c>
      <c r="C164" s="79">
        <v>3.923</v>
      </c>
      <c r="D164" s="80">
        <f t="shared" si="5"/>
        <v>3.2691666666666667E-3</v>
      </c>
    </row>
    <row r="165" spans="2:4" x14ac:dyDescent="0.2">
      <c r="B165" s="77">
        <v>45352</v>
      </c>
      <c r="C165" s="79">
        <v>3.9220000000000002</v>
      </c>
      <c r="D165" s="80">
        <f t="shared" si="5"/>
        <v>3.2683333333333336E-3</v>
      </c>
    </row>
    <row r="166" spans="2:4" x14ac:dyDescent="0.2">
      <c r="B166" s="77">
        <v>45383</v>
      </c>
      <c r="C166" s="79">
        <v>3.8860000000000001</v>
      </c>
      <c r="D166" s="80">
        <f t="shared" si="5"/>
        <v>3.2383333333333335E-3</v>
      </c>
    </row>
    <row r="167" spans="2:4" x14ac:dyDescent="0.2">
      <c r="B167" s="77">
        <v>45413</v>
      </c>
      <c r="C167" s="79">
        <v>3.8140000000000001</v>
      </c>
      <c r="D167" s="80">
        <f t="shared" si="5"/>
        <v>3.1783333333333334E-3</v>
      </c>
    </row>
    <row r="168" spans="2:4" x14ac:dyDescent="0.2">
      <c r="B168" s="77">
        <v>45444</v>
      </c>
      <c r="C168" s="79">
        <v>3.7250000000000001</v>
      </c>
      <c r="D168" s="80">
        <f t="shared" si="5"/>
        <v>3.1041666666666665E-3</v>
      </c>
    </row>
    <row r="169" spans="2:4" x14ac:dyDescent="0.2">
      <c r="B169" s="77">
        <v>45474</v>
      </c>
      <c r="C169" s="79">
        <v>3.6850000000000001</v>
      </c>
      <c r="D169" s="80">
        <f t="shared" si="5"/>
        <v>3.0708333333333334E-3</v>
      </c>
    </row>
    <row r="170" spans="2:4" x14ac:dyDescent="0.2">
      <c r="B170" s="77">
        <v>45505</v>
      </c>
      <c r="C170" s="79">
        <v>3.548</v>
      </c>
      <c r="D170" s="80">
        <f t="shared" si="5"/>
        <v>2.9566666666666669E-3</v>
      </c>
    </row>
    <row r="171" spans="2:4" x14ac:dyDescent="0.2">
      <c r="B171" s="77">
        <v>45536</v>
      </c>
      <c r="C171" s="79">
        <v>3.4340000000000002</v>
      </c>
      <c r="D171" s="80">
        <f t="shared" si="5"/>
        <v>2.8616666666666669E-3</v>
      </c>
    </row>
    <row r="172" spans="2:4" x14ac:dyDescent="0.2">
      <c r="B172" s="77">
        <v>45566</v>
      </c>
      <c r="C172" s="79">
        <v>3.1669999999999998</v>
      </c>
      <c r="D172" s="80">
        <f t="shared" si="5"/>
        <v>2.6391666666666664E-3</v>
      </c>
    </row>
    <row r="173" spans="2:4" x14ac:dyDescent="0.2">
      <c r="B173" s="77">
        <v>45597</v>
      </c>
      <c r="C173" s="79">
        <v>3.0070000000000001</v>
      </c>
      <c r="D173" s="80">
        <f t="shared" si="5"/>
        <v>2.5058333333333334E-3</v>
      </c>
    </row>
    <row r="174" spans="2:4" x14ac:dyDescent="0.2">
      <c r="B174" s="77">
        <v>45627</v>
      </c>
      <c r="C174" s="79">
        <v>2.8159999999999998</v>
      </c>
      <c r="D174" s="80">
        <f t="shared" si="5"/>
        <v>2.3466666666666666E-3</v>
      </c>
    </row>
    <row r="175" spans="2:4" x14ac:dyDescent="0.2">
      <c r="B175" s="77">
        <v>45658</v>
      </c>
      <c r="C175" s="79">
        <v>2.7029999999999998</v>
      </c>
      <c r="D175" s="80">
        <f t="shared" si="5"/>
        <v>2.2524999999999997E-3</v>
      </c>
    </row>
    <row r="176" spans="2:4" x14ac:dyDescent="0.2">
      <c r="B176" s="77">
        <v>45689</v>
      </c>
      <c r="C176" s="79">
        <v>2.5249999999999999</v>
      </c>
      <c r="D176" s="80">
        <f t="shared" si="5"/>
        <v>2.1041666666666665E-3</v>
      </c>
    </row>
    <row r="177" spans="2:4" x14ac:dyDescent="0.2">
      <c r="B177" s="77">
        <v>45717</v>
      </c>
      <c r="C177" s="79">
        <v>2.4420000000000002</v>
      </c>
      <c r="D177" s="80">
        <f t="shared" si="5"/>
        <v>2.0350000000000004E-3</v>
      </c>
    </row>
    <row r="178" spans="2:4" x14ac:dyDescent="0.2">
      <c r="B178" s="77">
        <v>45748</v>
      </c>
      <c r="C178" s="79">
        <v>2.2480000000000002</v>
      </c>
      <c r="D178" s="80">
        <f t="shared" si="5"/>
        <v>1.8733333333333336E-3</v>
      </c>
    </row>
    <row r="179" spans="2:4" x14ac:dyDescent="0.2">
      <c r="B179" s="77">
        <v>45778</v>
      </c>
      <c r="C179" s="79">
        <v>2.0910000000000002</v>
      </c>
      <c r="D179" s="80">
        <f t="shared" si="5"/>
        <v>1.7425000000000001E-3</v>
      </c>
    </row>
    <row r="180" spans="2:4" x14ac:dyDescent="0.2">
      <c r="B180" s="77">
        <v>45809</v>
      </c>
      <c r="C180" s="79">
        <v>1.984</v>
      </c>
      <c r="D180" s="80">
        <f t="shared" si="5"/>
        <v>1.6533333333333333E-3</v>
      </c>
    </row>
    <row r="181" spans="2:4" x14ac:dyDescent="0.2">
      <c r="B181" s="77">
        <v>45839</v>
      </c>
      <c r="C181" s="79">
        <v>1.986</v>
      </c>
      <c r="D181" s="80">
        <f t="shared" si="5"/>
        <v>1.655E-3</v>
      </c>
    </row>
    <row r="182" spans="2:4" x14ac:dyDescent="0.2">
      <c r="B182" s="77">
        <v>45870</v>
      </c>
      <c r="C182" s="79">
        <v>2.0209999999999999</v>
      </c>
      <c r="D182" s="80">
        <f t="shared" si="5"/>
        <v>1.6841666666666665E-3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9" tint="0.59999389629810485"/>
  </sheetPr>
  <dimension ref="A2:D14"/>
  <sheetViews>
    <sheetView showGridLines="0" topLeftCell="B2" zoomScale="132" workbookViewId="0">
      <selection activeCell="C3" sqref="C3"/>
    </sheetView>
  </sheetViews>
  <sheetFormatPr baseColWidth="10" defaultColWidth="0" defaultRowHeight="15" zeroHeight="1" x14ac:dyDescent="0.2"/>
  <cols>
    <col min="1" max="1" width="0" hidden="1" customWidth="1"/>
    <col min="2" max="2" width="10.83203125" customWidth="1"/>
    <col min="3" max="3" width="26.1640625" bestFit="1" customWidth="1"/>
    <col min="4" max="4" width="17.5" bestFit="1" customWidth="1"/>
    <col min="5" max="5" width="10.83203125" hidden="1" customWidth="1"/>
    <col min="6" max="16384" width="10.83203125" hidden="1"/>
  </cols>
  <sheetData>
    <row r="2" spans="2:4" x14ac:dyDescent="0.2">
      <c r="B2" s="20" t="s">
        <v>313</v>
      </c>
      <c r="C2" s="20" t="s">
        <v>314</v>
      </c>
      <c r="D2" s="20" t="s">
        <v>315</v>
      </c>
    </row>
    <row r="3" spans="2:4" x14ac:dyDescent="0.2">
      <c r="B3">
        <v>1</v>
      </c>
      <c r="C3" t="s">
        <v>9</v>
      </c>
      <c r="D3" t="s">
        <v>22</v>
      </c>
    </row>
    <row r="4" spans="2:4" x14ac:dyDescent="0.2">
      <c r="B4">
        <v>2</v>
      </c>
      <c r="C4" t="s">
        <v>316</v>
      </c>
      <c r="D4" t="s">
        <v>23</v>
      </c>
    </row>
    <row r="5" spans="2:4" x14ac:dyDescent="0.2">
      <c r="B5">
        <v>3</v>
      </c>
      <c r="C5" t="s">
        <v>11</v>
      </c>
      <c r="D5" t="s">
        <v>24</v>
      </c>
    </row>
    <row r="6" spans="2:4" x14ac:dyDescent="0.2">
      <c r="B6">
        <v>4</v>
      </c>
      <c r="C6" t="s">
        <v>12</v>
      </c>
      <c r="D6" t="s">
        <v>25</v>
      </c>
    </row>
    <row r="7" spans="2:4" x14ac:dyDescent="0.2">
      <c r="B7">
        <v>5</v>
      </c>
      <c r="C7" t="s">
        <v>13</v>
      </c>
      <c r="D7" t="s">
        <v>26</v>
      </c>
    </row>
    <row r="8" spans="2:4" x14ac:dyDescent="0.2">
      <c r="B8">
        <v>6</v>
      </c>
      <c r="C8" t="s">
        <v>14</v>
      </c>
      <c r="D8" t="s">
        <v>27</v>
      </c>
    </row>
    <row r="9" spans="2:4" x14ac:dyDescent="0.2">
      <c r="B9">
        <v>7</v>
      </c>
      <c r="C9" t="s">
        <v>15</v>
      </c>
      <c r="D9" t="s">
        <v>28</v>
      </c>
    </row>
    <row r="10" spans="2:4" x14ac:dyDescent="0.2">
      <c r="B10">
        <v>8</v>
      </c>
      <c r="C10" t="s">
        <v>16</v>
      </c>
      <c r="D10" t="s">
        <v>29</v>
      </c>
    </row>
    <row r="11" spans="2:4" x14ac:dyDescent="0.2">
      <c r="B11">
        <v>9</v>
      </c>
      <c r="C11" t="s">
        <v>17</v>
      </c>
      <c r="D11" t="s">
        <v>30</v>
      </c>
    </row>
    <row r="12" spans="2:4" x14ac:dyDescent="0.2">
      <c r="B12">
        <v>10</v>
      </c>
      <c r="C12" t="s">
        <v>18</v>
      </c>
      <c r="D12" t="s">
        <v>31</v>
      </c>
    </row>
    <row r="13" spans="2:4" x14ac:dyDescent="0.2">
      <c r="B13">
        <v>11</v>
      </c>
      <c r="C13" t="s">
        <v>19</v>
      </c>
      <c r="D13" t="s">
        <v>32</v>
      </c>
    </row>
    <row r="14" spans="2:4" x14ac:dyDescent="0.2">
      <c r="B14">
        <v>12</v>
      </c>
      <c r="C14" t="s">
        <v>20</v>
      </c>
      <c r="D14" t="s">
        <v>33</v>
      </c>
    </row>
  </sheetData>
  <pageMargins left="0.7" right="0.7" top="0.75" bottom="0.75" header="0.3" footer="0.3"/>
  <pageSetup paperSize="9"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BE584-CAE1-1749-852E-344BA4A0E686}">
  <sheetPr codeName="Sheet24"/>
  <dimension ref="B2:N183"/>
  <sheetViews>
    <sheetView workbookViewId="0">
      <selection activeCell="C3" sqref="C3"/>
    </sheetView>
  </sheetViews>
  <sheetFormatPr baseColWidth="10" defaultRowHeight="15" x14ac:dyDescent="0.2"/>
  <cols>
    <col min="2" max="2" width="10.83203125" style="111"/>
    <col min="11" max="11" width="13.5" customWidth="1"/>
    <col min="12" max="12" width="19.83203125" customWidth="1"/>
  </cols>
  <sheetData>
    <row r="2" spans="2:14" x14ac:dyDescent="0.2">
      <c r="B2" s="111" t="s">
        <v>308</v>
      </c>
      <c r="C2" t="s">
        <v>9</v>
      </c>
      <c r="D2" t="s">
        <v>316</v>
      </c>
      <c r="E2" t="s">
        <v>11</v>
      </c>
      <c r="F2" t="s">
        <v>12</v>
      </c>
      <c r="G2" t="s">
        <v>13</v>
      </c>
      <c r="H2" t="s">
        <v>14</v>
      </c>
      <c r="I2" t="s">
        <v>15</v>
      </c>
      <c r="J2" t="s">
        <v>16</v>
      </c>
      <c r="K2" t="s">
        <v>17</v>
      </c>
      <c r="L2" t="s">
        <v>18</v>
      </c>
      <c r="M2" t="s">
        <v>19</v>
      </c>
      <c r="N2" t="s">
        <v>20</v>
      </c>
    </row>
    <row r="3" spans="2:14" x14ac:dyDescent="0.2">
      <c r="B3" s="111">
        <v>40451</v>
      </c>
      <c r="C3" s="26">
        <v>5.3555971306760222E-2</v>
      </c>
      <c r="D3" s="26">
        <v>5.6714487270693427E-2</v>
      </c>
      <c r="E3" s="26">
        <v>0.10311741846834083</v>
      </c>
      <c r="F3" s="26">
        <v>3.4665943323180064E-2</v>
      </c>
      <c r="G3" s="26">
        <v>7.4688219627718669E-2</v>
      </c>
      <c r="H3" s="26">
        <v>0.17132819811551889</v>
      </c>
      <c r="I3" s="26">
        <v>-7.1321713142540981E-3</v>
      </c>
      <c r="J3" s="26">
        <v>0.17732390094757144</v>
      </c>
      <c r="K3" s="26">
        <v>7.9633172630904886E-2</v>
      </c>
      <c r="L3" s="26">
        <v>0.11136330368954504</v>
      </c>
      <c r="M3" s="26">
        <v>2.5359166649043825E-2</v>
      </c>
      <c r="N3" s="26">
        <v>6.1949368577682476E-2</v>
      </c>
    </row>
    <row r="4" spans="2:14" x14ac:dyDescent="0.2">
      <c r="B4" s="111">
        <v>40482</v>
      </c>
      <c r="C4" s="26">
        <v>3.2249369886116423E-2</v>
      </c>
      <c r="D4" s="26">
        <v>7.2837100402801686E-3</v>
      </c>
      <c r="E4" s="26">
        <v>-3.9400482623412267E-3</v>
      </c>
      <c r="F4" s="26">
        <v>3.646680162839596E-2</v>
      </c>
      <c r="G4" s="26">
        <v>9.2155460205188569E-2</v>
      </c>
      <c r="H4" s="26">
        <v>-8.9850307178739208E-2</v>
      </c>
      <c r="I4" s="26">
        <v>4.0162883172908462E-2</v>
      </c>
      <c r="J4" s="26">
        <v>5.7755857122280131E-2</v>
      </c>
      <c r="K4" s="26">
        <v>2.670064088694063E-2</v>
      </c>
      <c r="L4" s="26">
        <v>9.6656394725314204E-2</v>
      </c>
      <c r="M4" s="26">
        <v>3.2800275625824722E-2</v>
      </c>
      <c r="N4" s="26">
        <v>4.3785886750765293E-2</v>
      </c>
    </row>
    <row r="5" spans="2:14" x14ac:dyDescent="0.2">
      <c r="B5" s="111">
        <v>40512</v>
      </c>
      <c r="C5" s="26">
        <v>-8.6047324972625627E-2</v>
      </c>
      <c r="D5" s="26">
        <v>-0.13225481807965223</v>
      </c>
      <c r="E5" s="26">
        <v>-0.11362716943822053</v>
      </c>
      <c r="F5" s="26">
        <v>-7.696354397518289E-3</v>
      </c>
      <c r="G5" s="26">
        <v>-0.10913528700493846</v>
      </c>
      <c r="H5" s="26">
        <v>-4.2309471306659061E-2</v>
      </c>
      <c r="I5" s="26">
        <v>-1.4440146757042789E-2</v>
      </c>
      <c r="J5" s="26">
        <v>1.139646247738226E-2</v>
      </c>
      <c r="K5" s="26">
        <v>-7.17417231286583E-2</v>
      </c>
      <c r="L5" s="26">
        <v>6.0293873175166109E-2</v>
      </c>
      <c r="M5" s="26">
        <v>-4.4307802566365885E-2</v>
      </c>
      <c r="N5" s="26">
        <v>-2.8139597405940568E-2</v>
      </c>
    </row>
    <row r="6" spans="2:14" x14ac:dyDescent="0.2">
      <c r="B6" s="111">
        <v>40543</v>
      </c>
      <c r="C6" s="26">
        <v>1.0428939996455255E-2</v>
      </c>
      <c r="D6" s="26">
        <v>4.4078880202459383E-2</v>
      </c>
      <c r="E6" s="26">
        <v>7.5100104736098711E-2</v>
      </c>
      <c r="F6" s="26">
        <v>4.1994358259575128E-2</v>
      </c>
      <c r="G6" s="26">
        <v>8.1987222426953665E-2</v>
      </c>
      <c r="H6" s="26">
        <v>7.3630665095190992E-2</v>
      </c>
      <c r="I6" s="26">
        <v>0.13365278573141876</v>
      </c>
      <c r="J6" s="26">
        <v>7.7265943421792049E-2</v>
      </c>
      <c r="K6" s="26">
        <v>2.7265178356712928E-2</v>
      </c>
      <c r="L6" s="26">
        <v>3.5598561564820885E-2</v>
      </c>
      <c r="M6" s="26">
        <v>9.3091074053869113E-2</v>
      </c>
      <c r="N6" s="26">
        <v>9.0616435792286953E-2</v>
      </c>
    </row>
    <row r="7" spans="2:14" x14ac:dyDescent="0.2">
      <c r="B7" s="111">
        <v>40574</v>
      </c>
      <c r="C7" s="26">
        <v>0.20699549484094942</v>
      </c>
      <c r="D7" s="26">
        <v>0.14681807813520584</v>
      </c>
      <c r="E7" s="26">
        <v>5.3678612017126037E-2</v>
      </c>
      <c r="F7" s="26">
        <v>-6.4440635444343378E-2</v>
      </c>
      <c r="G7" s="26">
        <v>7.9143148287542653E-2</v>
      </c>
      <c r="H7" s="26">
        <v>-5.9649482440594447E-2</v>
      </c>
      <c r="I7" s="26">
        <v>-1.0375156202841844E-2</v>
      </c>
      <c r="J7" s="26">
        <v>9.850578513172005E-2</v>
      </c>
      <c r="K7" s="26">
        <v>4.2319496065881229E-2</v>
      </c>
      <c r="L7" s="26">
        <v>1.6964610046627113E-2</v>
      </c>
      <c r="M7" s="26">
        <v>7.730134207708908E-2</v>
      </c>
      <c r="N7" s="26">
        <v>5.3048637106515584E-2</v>
      </c>
    </row>
    <row r="8" spans="2:14" x14ac:dyDescent="0.2">
      <c r="B8" s="111">
        <v>40602</v>
      </c>
      <c r="C8" s="26">
        <v>-4.2756727614037589E-3</v>
      </c>
      <c r="D8" s="26">
        <v>3.6263543660819741E-2</v>
      </c>
      <c r="E8" s="26">
        <v>0.15038712634117757</v>
      </c>
      <c r="F8" s="26">
        <v>3.2734789827122912E-2</v>
      </c>
      <c r="G8" s="26">
        <v>1.3805211108738599E-2</v>
      </c>
      <c r="H8" s="26">
        <v>7.0217169098397897E-2</v>
      </c>
      <c r="I8" s="26">
        <v>-4.0499993288568993E-2</v>
      </c>
      <c r="J8" s="26">
        <v>-7.0524269517882918E-2</v>
      </c>
      <c r="K8" s="26">
        <v>2.5062265694819766E-3</v>
      </c>
      <c r="L8" s="26">
        <v>5.2677653182907666E-2</v>
      </c>
      <c r="M8" s="26">
        <v>3.9681634092753618E-2</v>
      </c>
      <c r="N8" s="26">
        <v>3.1571616789875794E-2</v>
      </c>
    </row>
    <row r="9" spans="2:14" x14ac:dyDescent="0.2">
      <c r="B9" s="111">
        <v>40633</v>
      </c>
      <c r="C9" s="26">
        <v>-2.0038141319407329E-2</v>
      </c>
      <c r="D9" s="26">
        <v>-8.7840156738998712E-2</v>
      </c>
      <c r="E9" s="26">
        <v>-3.2002740430320718E-2</v>
      </c>
      <c r="F9" s="26">
        <v>1.4637946353779884E-2</v>
      </c>
      <c r="G9" s="26">
        <v>-2.1276670043466485E-2</v>
      </c>
      <c r="H9" s="26">
        <v>-1.275277411194276E-2</v>
      </c>
      <c r="I9" s="26">
        <v>-1.362054861550502E-2</v>
      </c>
      <c r="J9" s="26">
        <v>-0.12169308792471414</v>
      </c>
      <c r="K9" s="26">
        <v>-1.0500098246934771E-2</v>
      </c>
      <c r="L9" s="26">
        <v>5.8380608898524096E-3</v>
      </c>
      <c r="M9" s="26">
        <v>-3.2763226346857625E-2</v>
      </c>
      <c r="N9" s="26">
        <v>1.0889674345785826E-2</v>
      </c>
    </row>
    <row r="10" spans="2:14" x14ac:dyDescent="0.2">
      <c r="B10" s="111">
        <v>40663</v>
      </c>
      <c r="C10" s="26">
        <v>1.7039937421768559E-2</v>
      </c>
      <c r="D10" s="26">
        <v>3.5264510643983359E-2</v>
      </c>
      <c r="E10" s="26">
        <v>-1.7079181055604212E-3</v>
      </c>
      <c r="F10" s="26">
        <v>7.2892995280724127E-2</v>
      </c>
      <c r="G10" s="26">
        <v>-3.9130235442378966E-2</v>
      </c>
      <c r="H10" s="26">
        <v>2.2624543543883404E-2</v>
      </c>
      <c r="I10" s="26">
        <v>2.9742273509908889E-2</v>
      </c>
      <c r="J10" s="26">
        <v>5.460145426187539E-2</v>
      </c>
      <c r="K10" s="26">
        <v>7.9333133687481294E-2</v>
      </c>
      <c r="L10" s="26">
        <v>-1.0779279198713663E-2</v>
      </c>
      <c r="M10" s="26">
        <v>6.169679172035483E-3</v>
      </c>
      <c r="N10" s="26">
        <v>2.2791259892318939E-2</v>
      </c>
    </row>
    <row r="11" spans="2:14" x14ac:dyDescent="0.2">
      <c r="B11" s="111">
        <v>40694</v>
      </c>
      <c r="C11" s="26">
        <v>9.5260997245574019E-2</v>
      </c>
      <c r="D11" s="26">
        <v>1.4785728649600439E-2</v>
      </c>
      <c r="E11" s="26">
        <v>-3.0306845873596625E-2</v>
      </c>
      <c r="F11" s="26">
        <v>3.0229410522661863E-2</v>
      </c>
      <c r="G11" s="26">
        <v>-7.4751227951254925E-2</v>
      </c>
      <c r="H11" s="26">
        <v>0.13084707610470347</v>
      </c>
      <c r="I11" s="26">
        <v>3.3745924759741044E-2</v>
      </c>
      <c r="J11" s="26">
        <v>-4.180857800191122E-2</v>
      </c>
      <c r="K11" s="26">
        <v>3.033689199300604E-2</v>
      </c>
      <c r="L11" s="26">
        <v>-1.3357298202991641E-2</v>
      </c>
      <c r="M11" s="26">
        <v>-7.3808658801393354E-2</v>
      </c>
      <c r="N11" s="26">
        <v>-5.8756440607066586E-3</v>
      </c>
    </row>
    <row r="12" spans="2:14" x14ac:dyDescent="0.2">
      <c r="B12" s="111">
        <v>40724</v>
      </c>
      <c r="C12" s="26">
        <v>8.7410586818618061E-3</v>
      </c>
      <c r="D12" s="26">
        <v>2.1206231968364603E-2</v>
      </c>
      <c r="E12" s="26">
        <v>1.8273656238634368E-2</v>
      </c>
      <c r="F12" s="26">
        <v>3.6992818315605004E-2</v>
      </c>
      <c r="G12" s="26">
        <v>1.1653184642281511E-2</v>
      </c>
      <c r="H12" s="26">
        <v>0.139742996498123</v>
      </c>
      <c r="I12" s="26">
        <v>-3.1076324161329539E-2</v>
      </c>
      <c r="J12" s="26">
        <v>4.4838939207466524E-2</v>
      </c>
      <c r="K12" s="26">
        <v>5.4759663079832648E-2</v>
      </c>
      <c r="L12" s="26">
        <v>5.23548357223099E-3</v>
      </c>
      <c r="M12" s="26">
        <v>2.4695868974051037E-2</v>
      </c>
      <c r="N12" s="26">
        <v>-1.4832211614416422E-2</v>
      </c>
    </row>
    <row r="13" spans="2:14" x14ac:dyDescent="0.2">
      <c r="B13" s="111">
        <v>40755</v>
      </c>
      <c r="C13" s="26">
        <v>5.8706629834482826E-2</v>
      </c>
      <c r="D13" s="26">
        <v>-0.14587646639214089</v>
      </c>
      <c r="E13" s="26">
        <v>-0.12660918227327836</v>
      </c>
      <c r="F13" s="26">
        <v>-3.2069898614767028E-2</v>
      </c>
      <c r="G13" s="26">
        <v>-9.5304113150669195E-2</v>
      </c>
      <c r="H13" s="26">
        <v>0.18423530540135855</v>
      </c>
      <c r="I13" s="26">
        <v>1.6918712515477236E-2</v>
      </c>
      <c r="J13" s="26">
        <v>-8.8540952982406232E-2</v>
      </c>
      <c r="K13" s="26">
        <v>-2.0743067700219393E-2</v>
      </c>
      <c r="L13" s="26">
        <v>-0.12196159369617199</v>
      </c>
      <c r="M13" s="26">
        <v>-5.2657904566006025E-2</v>
      </c>
      <c r="N13" s="26">
        <v>-5.7606156222963105E-2</v>
      </c>
    </row>
    <row r="14" spans="2:14" x14ac:dyDescent="0.2">
      <c r="B14" s="111">
        <v>40786</v>
      </c>
      <c r="C14" s="26">
        <v>-8.5123904248879861E-2</v>
      </c>
      <c r="D14" s="26">
        <v>-0.21104147358646011</v>
      </c>
      <c r="E14" s="26">
        <v>-0.17469094041918048</v>
      </c>
      <c r="F14" s="26">
        <v>-5.6225079373646639E-2</v>
      </c>
      <c r="G14" s="26">
        <v>-3.7669700780264444E-2</v>
      </c>
      <c r="H14" s="26">
        <v>0.12188542146385616</v>
      </c>
      <c r="I14" s="26">
        <v>-8.6772939780910427E-2</v>
      </c>
      <c r="J14" s="26">
        <v>-0.23856151358769809</v>
      </c>
      <c r="K14" s="26">
        <v>-7.7730613308052407E-2</v>
      </c>
      <c r="L14" s="26">
        <v>-8.2056649339746601E-2</v>
      </c>
      <c r="M14" s="26">
        <v>-0.10124419150150926</v>
      </c>
      <c r="N14" s="26">
        <v>-0.1077246070443704</v>
      </c>
    </row>
    <row r="15" spans="2:14" x14ac:dyDescent="0.2">
      <c r="B15" s="111">
        <v>40816</v>
      </c>
      <c r="C15" s="26">
        <v>-4.223126791440316E-2</v>
      </c>
      <c r="D15" s="26">
        <v>-0.16225268690216066</v>
      </c>
      <c r="E15" s="26">
        <v>-0.1150862684977903</v>
      </c>
      <c r="F15" s="26">
        <v>-1.7021106355960009E-2</v>
      </c>
      <c r="G15" s="26">
        <v>2.1392875572561688E-2</v>
      </c>
      <c r="H15" s="26">
        <v>-0.16398299598278729</v>
      </c>
      <c r="I15" s="26">
        <v>-5.87201791233724E-2</v>
      </c>
      <c r="J15" s="26">
        <v>-0.11647597483199058</v>
      </c>
      <c r="K15" s="26">
        <v>-1.4379829775804901E-2</v>
      </c>
      <c r="L15" s="26">
        <v>-0.12611717655878343</v>
      </c>
      <c r="M15" s="26">
        <v>-2.1203980353563901E-2</v>
      </c>
      <c r="N15" s="26">
        <v>-0.10330539507961006</v>
      </c>
    </row>
    <row r="16" spans="2:14" x14ac:dyDescent="0.2">
      <c r="B16" s="111">
        <v>40847</v>
      </c>
      <c r="C16" s="26">
        <v>7.7814136791320449E-3</v>
      </c>
      <c r="D16" s="26">
        <v>9.3178209904458312E-2</v>
      </c>
      <c r="E16" s="26">
        <v>0.1041624996736681</v>
      </c>
      <c r="F16" s="26">
        <v>8.8744559695426703E-2</v>
      </c>
      <c r="G16" s="26">
        <v>-8.5784503979778867E-2</v>
      </c>
      <c r="H16" s="26">
        <v>8.8554153538014574E-2</v>
      </c>
      <c r="I16" s="26">
        <v>0.14737375764814736</v>
      </c>
      <c r="J16" s="26">
        <v>0.21439967746856078</v>
      </c>
      <c r="K16" s="26">
        <v>5.2887461308698092E-2</v>
      </c>
      <c r="L16" s="26">
        <v>5.1269230537655683E-2</v>
      </c>
      <c r="M16" s="26">
        <v>0.15785094804321589</v>
      </c>
      <c r="N16" s="26">
        <v>0.101172376455736</v>
      </c>
    </row>
    <row r="17" spans="2:14" x14ac:dyDescent="0.2">
      <c r="B17" s="111">
        <v>40877</v>
      </c>
      <c r="C17" s="26">
        <v>3.8605447214683668E-2</v>
      </c>
      <c r="D17" s="26">
        <v>-0.10289195532667639</v>
      </c>
      <c r="E17" s="26">
        <v>1.3528215681914025E-2</v>
      </c>
      <c r="F17" s="26">
        <v>-2.495054668403493E-2</v>
      </c>
      <c r="G17" s="26">
        <v>1.3161089041125519E-2</v>
      </c>
      <c r="H17" s="26">
        <v>-4.0065074087489723E-2</v>
      </c>
      <c r="I17" s="26">
        <v>3.7629718793865743E-2</v>
      </c>
      <c r="J17" s="26">
        <v>-8.8520337454299131E-2</v>
      </c>
      <c r="K17" s="26">
        <v>2.5017843441385366E-3</v>
      </c>
      <c r="L17" s="26">
        <v>-1.5240248454203126E-2</v>
      </c>
      <c r="M17" s="26">
        <v>1.3751275426696593E-2</v>
      </c>
      <c r="N17" s="26">
        <v>-7.2689096608854767E-2</v>
      </c>
    </row>
    <row r="18" spans="2:14" x14ac:dyDescent="0.2">
      <c r="B18" s="111">
        <v>40908</v>
      </c>
      <c r="C18" s="26">
        <v>8.8082885681902159E-2</v>
      </c>
      <c r="D18" s="26">
        <v>2.9860865768425136E-2</v>
      </c>
      <c r="E18" s="26">
        <v>-0.14059448744585912</v>
      </c>
      <c r="F18" s="26">
        <v>-9.6847550604393963E-3</v>
      </c>
      <c r="G18" s="26">
        <v>5.9940654105257785E-2</v>
      </c>
      <c r="H18" s="26">
        <v>-2.3940408150763249E-2</v>
      </c>
      <c r="I18" s="26">
        <v>3.4960334083162674E-2</v>
      </c>
      <c r="J18" s="26">
        <v>-3.4234094832341883E-2</v>
      </c>
      <c r="K18" s="26">
        <v>8.9460486982788134E-2</v>
      </c>
      <c r="L18" s="26">
        <v>-3.1428516421288015E-2</v>
      </c>
      <c r="M18" s="26">
        <v>3.0389896583440334E-2</v>
      </c>
      <c r="N18" s="26">
        <v>1.9785529106762078E-2</v>
      </c>
    </row>
    <row r="19" spans="2:14" x14ac:dyDescent="0.2">
      <c r="B19" s="111">
        <v>40939</v>
      </c>
      <c r="C19" s="26">
        <v>6.3353959238977575E-2</v>
      </c>
      <c r="D19" s="26">
        <v>6.6556878985566531E-2</v>
      </c>
      <c r="E19" s="26">
        <v>0.1559329419539493</v>
      </c>
      <c r="F19" s="26">
        <v>-2.8515626994663989E-2</v>
      </c>
      <c r="G19" s="26">
        <v>-1.7518987318764223E-2</v>
      </c>
      <c r="H19" s="26">
        <v>0.15346205078019967</v>
      </c>
      <c r="I19" s="26">
        <v>2.4141598646216723E-2</v>
      </c>
      <c r="J19" s="26">
        <v>0.21511187602874701</v>
      </c>
      <c r="K19" s="26">
        <v>-4.9338056435239228E-3</v>
      </c>
      <c r="L19" s="26">
        <v>0.16715831832013375</v>
      </c>
      <c r="M19" s="26">
        <v>3.8980300908307404E-2</v>
      </c>
      <c r="N19" s="26">
        <v>6.8119576144857086E-2</v>
      </c>
    </row>
    <row r="20" spans="2:14" x14ac:dyDescent="0.2">
      <c r="B20" s="111">
        <v>40968</v>
      </c>
      <c r="C20" s="26">
        <v>6.1721238818070324E-2</v>
      </c>
      <c r="D20" s="26">
        <v>0.13175751713740066</v>
      </c>
      <c r="E20" s="26">
        <v>0.18488010064456487</v>
      </c>
      <c r="F20" s="26">
        <v>7.6189603646056134E-2</v>
      </c>
      <c r="G20" s="26">
        <v>-6.1686692184383198E-2</v>
      </c>
      <c r="H20" s="26">
        <v>5.4008219353531631E-2</v>
      </c>
      <c r="I20" s="26">
        <v>5.8182779461664738E-2</v>
      </c>
      <c r="J20" s="26">
        <v>0.22032871819087924</v>
      </c>
      <c r="K20" s="26">
        <v>-1.700032775589071E-2</v>
      </c>
      <c r="L20" s="26">
        <v>7.4346898974979078E-2</v>
      </c>
      <c r="M20" s="26">
        <v>3.9227873157385074E-2</v>
      </c>
      <c r="N20" s="26">
        <v>0.10222780798463892</v>
      </c>
    </row>
    <row r="21" spans="2:14" x14ac:dyDescent="0.2">
      <c r="B21" s="111">
        <v>40999</v>
      </c>
      <c r="C21" s="26">
        <v>0.12616904041236501</v>
      </c>
      <c r="D21" s="26">
        <v>-2.8933762898208353E-2</v>
      </c>
      <c r="E21" s="26">
        <v>1.4817000682417108E-2</v>
      </c>
      <c r="F21" s="26">
        <v>2.9932967381457575E-2</v>
      </c>
      <c r="G21" s="26">
        <v>-5.1360875274091208E-3</v>
      </c>
      <c r="H21" s="26">
        <v>-9.2998133988291362E-2</v>
      </c>
      <c r="I21" s="26">
        <v>9.5283172343125395E-3</v>
      </c>
      <c r="J21" s="26">
        <v>-5.4102416698298128E-3</v>
      </c>
      <c r="K21" s="26">
        <v>4.9000562697792377E-2</v>
      </c>
      <c r="L21" s="26">
        <v>-3.9600112945031241E-2</v>
      </c>
      <c r="M21" s="26">
        <v>-8.9306908730326345E-2</v>
      </c>
      <c r="N21" s="26">
        <v>3.8382817776313869E-4</v>
      </c>
    </row>
    <row r="22" spans="2:14" x14ac:dyDescent="0.2">
      <c r="B22" s="111">
        <v>41029</v>
      </c>
      <c r="C22" s="26">
        <v>-2.865965400967543E-2</v>
      </c>
      <c r="D22" s="26">
        <v>-0.1468729021369945</v>
      </c>
      <c r="E22" s="26">
        <v>-0.12127539344147747</v>
      </c>
      <c r="F22" s="26">
        <v>1.6252253627309241E-2</v>
      </c>
      <c r="G22" s="26">
        <v>-0.10222009893791931</v>
      </c>
      <c r="H22" s="26">
        <v>5.7787622469594319E-2</v>
      </c>
      <c r="I22" s="26">
        <v>1.2770607810600067E-4</v>
      </c>
      <c r="J22" s="26">
        <v>-0.13156218364275424</v>
      </c>
      <c r="K22" s="26">
        <v>-9.7890616202031336E-3</v>
      </c>
      <c r="L22" s="26">
        <v>-5.26635554457731E-2</v>
      </c>
      <c r="M22" s="26">
        <v>-4.3933347480584826E-2</v>
      </c>
      <c r="N22" s="26">
        <v>-0.10485935462318478</v>
      </c>
    </row>
    <row r="23" spans="2:14" x14ac:dyDescent="0.2">
      <c r="B23" s="111">
        <v>41060</v>
      </c>
      <c r="C23" s="26">
        <v>-9.2372413957913166E-2</v>
      </c>
      <c r="D23" s="26">
        <v>-0.15238874930660345</v>
      </c>
      <c r="E23" s="26">
        <v>-7.5957950071477154E-2</v>
      </c>
      <c r="F23" s="26">
        <v>-2.3706526324059566E-2</v>
      </c>
      <c r="G23" s="26">
        <v>-4.6367859619341062E-2</v>
      </c>
      <c r="H23" s="26">
        <v>-2.1141298209798213E-2</v>
      </c>
      <c r="I23" s="26">
        <v>7.5243104312366421E-3</v>
      </c>
      <c r="J23" s="26">
        <v>-1.2818749274506939E-2</v>
      </c>
      <c r="K23" s="26">
        <v>-4.613256429186139E-2</v>
      </c>
      <c r="L23" s="26">
        <v>-7.1967344234440372E-2</v>
      </c>
      <c r="M23" s="26">
        <v>-3.6179860843457139E-2</v>
      </c>
      <c r="N23" s="26">
        <v>-7.6999657989997541E-2</v>
      </c>
    </row>
    <row r="24" spans="2:14" x14ac:dyDescent="0.2">
      <c r="B24" s="111">
        <v>41090</v>
      </c>
      <c r="C24" s="26">
        <v>3.2138983169456979E-2</v>
      </c>
      <c r="D24" s="26">
        <v>0.23563554483696339</v>
      </c>
      <c r="E24" s="26">
        <v>6.4220153282639691E-2</v>
      </c>
      <c r="F24" s="26">
        <v>-3.0776240318754842E-2</v>
      </c>
      <c r="G24" s="26">
        <v>0.17402190117309474</v>
      </c>
      <c r="H24" s="26">
        <v>-5.4638941430761361E-2</v>
      </c>
      <c r="I24" s="26">
        <v>6.6582551114333796E-2</v>
      </c>
      <c r="J24" s="26">
        <v>-3.6681200224710268E-2</v>
      </c>
      <c r="K24" s="26">
        <v>0.13838854295882128</v>
      </c>
      <c r="L24" s="26">
        <v>5.4994283631240801E-2</v>
      </c>
      <c r="M24" s="26">
        <v>2.1141931544002224E-2</v>
      </c>
      <c r="N24" s="26">
        <v>0.18266743980292388</v>
      </c>
    </row>
    <row r="25" spans="2:14" x14ac:dyDescent="0.2">
      <c r="B25" s="111">
        <v>41121</v>
      </c>
      <c r="C25" s="26">
        <v>6.5581073744296503E-2</v>
      </c>
      <c r="D25" s="26">
        <v>-5.4391372055017373E-3</v>
      </c>
      <c r="E25" s="26">
        <v>6.5967025767690923E-2</v>
      </c>
      <c r="F25" s="26">
        <v>9.4868606372340309E-3</v>
      </c>
      <c r="G25" s="26">
        <v>-3.0392048553832676E-2</v>
      </c>
      <c r="H25" s="26">
        <v>-8.5036235370040944E-2</v>
      </c>
      <c r="I25" s="26">
        <v>3.857078172164654E-2</v>
      </c>
      <c r="J25" s="26">
        <v>0.1319973473605173</v>
      </c>
      <c r="K25" s="26">
        <v>0.11265484979808632</v>
      </c>
      <c r="L25" s="26">
        <v>5.259531781792106E-2</v>
      </c>
      <c r="M25" s="26">
        <v>7.6616269956985283E-2</v>
      </c>
      <c r="N25" s="26">
        <v>-6.0758554780317463E-2</v>
      </c>
    </row>
    <row r="26" spans="2:14" x14ac:dyDescent="0.2">
      <c r="B26" s="111">
        <v>41152</v>
      </c>
      <c r="C26" s="26">
        <v>3.6226980484889398E-2</v>
      </c>
      <c r="D26" s="26">
        <v>0.14534275115482548</v>
      </c>
      <c r="E26" s="26">
        <v>-1.7977199295758941E-2</v>
      </c>
      <c r="F26" s="26">
        <v>1.4147340696454784E-3</v>
      </c>
      <c r="G26" s="26">
        <v>7.6436696187363942E-2</v>
      </c>
      <c r="H26" s="26">
        <v>3.2934954972044982E-2</v>
      </c>
      <c r="I26" s="26">
        <v>-1.2588544871534298E-2</v>
      </c>
      <c r="J26" s="26">
        <v>4.4254162751540344E-2</v>
      </c>
      <c r="K26" s="26">
        <v>-2.1362864882812607E-2</v>
      </c>
      <c r="L26" s="26">
        <v>9.0810256783545706E-2</v>
      </c>
      <c r="M26" s="26">
        <v>5.5844074845906741E-2</v>
      </c>
      <c r="N26" s="26">
        <v>1.1577876582149187E-3</v>
      </c>
    </row>
    <row r="27" spans="2:14" x14ac:dyDescent="0.2">
      <c r="B27" s="111">
        <v>41182</v>
      </c>
      <c r="C27" s="26">
        <v>-0.18651062412053604</v>
      </c>
      <c r="D27" s="26">
        <v>7.0178094927637852E-2</v>
      </c>
      <c r="E27" s="26">
        <v>0.12660407367502952</v>
      </c>
      <c r="F27" s="26">
        <v>-3.309780558047045E-2</v>
      </c>
      <c r="G27" s="26">
        <v>-0.11111113078898406</v>
      </c>
      <c r="H27" s="26">
        <v>-8.7136902921341741E-2</v>
      </c>
      <c r="I27" s="26">
        <v>1.9143251201317203E-2</v>
      </c>
      <c r="J27" s="26">
        <v>-1.7355344539233868E-2</v>
      </c>
      <c r="K27" s="26">
        <v>1.9984622093245433E-2</v>
      </c>
      <c r="L27" s="26">
        <v>-8.2752159087973967E-2</v>
      </c>
      <c r="M27" s="26">
        <v>-2.7830188728471015E-2</v>
      </c>
      <c r="N27" s="26">
        <v>-4.1775050276131744E-2</v>
      </c>
    </row>
    <row r="28" spans="2:14" x14ac:dyDescent="0.2">
      <c r="B28" s="111">
        <v>41213</v>
      </c>
      <c r="C28" s="26">
        <v>0.11129131840836119</v>
      </c>
      <c r="D28" s="26">
        <v>4.9486075736509094E-2</v>
      </c>
      <c r="E28" s="26">
        <v>-1.5034300849232905E-2</v>
      </c>
      <c r="F28" s="26">
        <v>-1.0123238558720467E-2</v>
      </c>
      <c r="G28" s="26">
        <v>6.2849177872335821E-2</v>
      </c>
      <c r="H28" s="26">
        <v>7.655578858582375E-3</v>
      </c>
      <c r="I28" s="26">
        <v>-4.9020637708787375E-2</v>
      </c>
      <c r="J28" s="26">
        <v>-5.5038248144587805E-2</v>
      </c>
      <c r="K28" s="26">
        <v>2.2155233999052861E-2</v>
      </c>
      <c r="L28" s="26">
        <v>4.7334387610208604E-2</v>
      </c>
      <c r="M28" s="26">
        <v>1.9948372530217331E-2</v>
      </c>
      <c r="N28" s="26">
        <v>3.0170553004648444E-2</v>
      </c>
    </row>
    <row r="29" spans="2:14" x14ac:dyDescent="0.2">
      <c r="B29" s="111">
        <v>41243</v>
      </c>
      <c r="C29" s="26">
        <v>-5.5454271939492934E-2</v>
      </c>
      <c r="D29" s="26">
        <v>0.10654488014510557</v>
      </c>
      <c r="E29" s="26">
        <v>3.700227632906684E-3</v>
      </c>
      <c r="F29" s="26">
        <v>2.8466066801301586E-2</v>
      </c>
      <c r="G29" s="26">
        <v>-2.3156932589354747E-2</v>
      </c>
      <c r="H29" s="26">
        <v>0.12820497114153817</v>
      </c>
      <c r="I29" s="26">
        <v>4.8536639666131615E-2</v>
      </c>
      <c r="J29" s="26">
        <v>0.11431488870845426</v>
      </c>
      <c r="K29" s="26">
        <v>1.2385870486025111E-2</v>
      </c>
      <c r="L29" s="26">
        <v>0.12034830085747443</v>
      </c>
      <c r="M29" s="26">
        <v>-8.8873625029088094E-3</v>
      </c>
      <c r="N29" s="26">
        <v>-6.443229156773948E-3</v>
      </c>
    </row>
    <row r="30" spans="2:14" x14ac:dyDescent="0.2">
      <c r="B30" s="111">
        <v>41274</v>
      </c>
      <c r="C30" s="26">
        <v>0.13943614150085001</v>
      </c>
      <c r="D30" s="26">
        <v>-8.3828091667052171E-3</v>
      </c>
      <c r="E30" s="26">
        <v>9.5239948360251025E-3</v>
      </c>
      <c r="F30" s="26">
        <v>2.3167488461374234E-2</v>
      </c>
      <c r="G30" s="26">
        <v>-9.9451048603480183E-2</v>
      </c>
      <c r="H30" s="26">
        <v>-4.7559006243081244E-2</v>
      </c>
      <c r="I30" s="26">
        <v>1.4738816850687755E-2</v>
      </c>
      <c r="J30" s="26">
        <v>5.7989681911927327E-2</v>
      </c>
      <c r="K30" s="26">
        <v>3.9760843027050234E-2</v>
      </c>
      <c r="L30" s="26">
        <v>1.4618880961182881E-2</v>
      </c>
      <c r="M30" s="26">
        <v>1.3905260720985432E-2</v>
      </c>
      <c r="N30" s="26">
        <v>7.8073671963682756E-2</v>
      </c>
    </row>
    <row r="31" spans="2:14" x14ac:dyDescent="0.2">
      <c r="B31" s="111">
        <v>41305</v>
      </c>
      <c r="C31" s="26">
        <v>0.17305100902342535</v>
      </c>
      <c r="D31" s="26">
        <v>8.5123850727245057E-2</v>
      </c>
      <c r="E31" s="26">
        <v>8.0492917602147079E-2</v>
      </c>
      <c r="F31" s="26">
        <v>2.2743382578467274E-2</v>
      </c>
      <c r="G31" s="26">
        <v>-2.9855269991828592E-2</v>
      </c>
      <c r="H31" s="26">
        <v>5.8108654112443099E-2</v>
      </c>
      <c r="I31" s="26">
        <v>5.4437114870423263E-2</v>
      </c>
      <c r="J31" s="26">
        <v>9.1680096767335489E-2</v>
      </c>
      <c r="K31" s="26">
        <v>6.5835497141392202E-3</v>
      </c>
      <c r="L31" s="26">
        <v>2.3162266758199972E-2</v>
      </c>
      <c r="M31" s="26">
        <v>3.9120630278855997E-2</v>
      </c>
      <c r="N31" s="26">
        <v>4.3520634405585026E-2</v>
      </c>
    </row>
    <row r="32" spans="2:14" x14ac:dyDescent="0.2">
      <c r="B32" s="111">
        <v>41333</v>
      </c>
      <c r="C32" s="26">
        <v>0.13220606048983841</v>
      </c>
      <c r="D32" s="26">
        <v>-6.7193239933374171E-2</v>
      </c>
      <c r="E32" s="26">
        <v>6.1681243214327677E-2</v>
      </c>
      <c r="F32" s="26">
        <v>4.212378530910172E-2</v>
      </c>
      <c r="G32" s="26">
        <v>-4.1694418942572267E-2</v>
      </c>
      <c r="H32" s="26">
        <v>6.5775964809716841E-2</v>
      </c>
      <c r="I32" s="26">
        <v>7.7982665949355809E-2</v>
      </c>
      <c r="J32" s="26">
        <v>9.4562718006994756E-2</v>
      </c>
      <c r="K32" s="26">
        <v>1.0019412836156387E-2</v>
      </c>
      <c r="L32" s="26">
        <v>5.0267627255401459E-2</v>
      </c>
      <c r="M32" s="26">
        <v>-4.0946676376683998E-2</v>
      </c>
      <c r="N32" s="26">
        <v>-5.5296493447984922E-2</v>
      </c>
    </row>
    <row r="33" spans="2:14" x14ac:dyDescent="0.2">
      <c r="B33" s="111">
        <v>41364</v>
      </c>
      <c r="C33" s="26">
        <v>1.3272179541285621E-2</v>
      </c>
      <c r="D33" s="26">
        <v>-7.1105516116629422E-2</v>
      </c>
      <c r="E33" s="26">
        <v>-5.8230274786301814E-2</v>
      </c>
      <c r="F33" s="26">
        <v>2.0492348579810665E-2</v>
      </c>
      <c r="G33" s="26">
        <v>3.7292829815314725E-2</v>
      </c>
      <c r="H33" s="26">
        <v>6.7593304853862682E-2</v>
      </c>
      <c r="I33" s="26">
        <v>-2.1933624671508192E-2</v>
      </c>
      <c r="J33" s="26">
        <v>5.3479727932964115E-3</v>
      </c>
      <c r="K33" s="26">
        <v>9.2174243865321082E-2</v>
      </c>
      <c r="L33" s="26">
        <v>-3.2586400569328391E-2</v>
      </c>
      <c r="M33" s="26">
        <v>-2.45460962257508E-2</v>
      </c>
      <c r="N33" s="26">
        <v>-8.603591485772279E-3</v>
      </c>
    </row>
    <row r="34" spans="2:14" x14ac:dyDescent="0.2">
      <c r="B34" s="111">
        <v>41394</v>
      </c>
      <c r="C34" s="26">
        <v>1.0201421248052012E-2</v>
      </c>
      <c r="D34" s="26">
        <v>5.6693726728509593E-2</v>
      </c>
      <c r="E34" s="26">
        <v>-1.6197342670773402E-2</v>
      </c>
      <c r="F34" s="26">
        <v>6.8717963163198739E-2</v>
      </c>
      <c r="G34" s="26">
        <v>8.5219845639786213E-2</v>
      </c>
      <c r="H34" s="26">
        <v>-5.4458154150467911E-2</v>
      </c>
      <c r="I34" s="26">
        <v>-3.3021087891995676E-2</v>
      </c>
      <c r="J34" s="26">
        <v>7.0485995893878758E-2</v>
      </c>
      <c r="K34" s="26">
        <v>4.9829821353588148E-2</v>
      </c>
      <c r="L34" s="26">
        <v>1.5789486658227096E-2</v>
      </c>
      <c r="M34" s="26">
        <v>4.0164133223131795E-2</v>
      </c>
      <c r="N34" s="26">
        <v>4.0261591848868766E-2</v>
      </c>
    </row>
    <row r="35" spans="2:14" x14ac:dyDescent="0.2">
      <c r="B35" s="111">
        <v>41425</v>
      </c>
      <c r="C35" s="26">
        <v>0.1083407142998313</v>
      </c>
      <c r="D35" s="26">
        <v>7.1259373387069808E-2</v>
      </c>
      <c r="E35" s="26">
        <v>8.1460403828627265E-2</v>
      </c>
      <c r="F35" s="26">
        <v>-2.189281098344225E-2</v>
      </c>
      <c r="G35" s="26">
        <v>6.9100146548508471E-3</v>
      </c>
      <c r="H35" s="26">
        <v>7.4580359862366677E-2</v>
      </c>
      <c r="I35" s="26">
        <v>-1.3936228142709806E-2</v>
      </c>
      <c r="J35" s="26">
        <v>0.14220187620806099</v>
      </c>
      <c r="K35" s="26">
        <v>-8.5317280470759739E-3</v>
      </c>
      <c r="L35" s="26">
        <v>5.9412339218751158E-2</v>
      </c>
      <c r="M35" s="26">
        <v>8.230669646846182E-3</v>
      </c>
      <c r="N35" s="26">
        <v>0.12537318254206825</v>
      </c>
    </row>
    <row r="36" spans="2:14" x14ac:dyDescent="0.2">
      <c r="B36" s="111">
        <v>41455</v>
      </c>
      <c r="C36" s="26">
        <v>-6.3452694474447943E-2</v>
      </c>
      <c r="D36" s="26">
        <v>-4.3180982955812748E-2</v>
      </c>
      <c r="E36" s="26">
        <v>-1.1119944277373785E-2</v>
      </c>
      <c r="F36" s="26">
        <v>4.2266435081162325E-2</v>
      </c>
      <c r="G36" s="26">
        <v>-4.4761625123739643E-2</v>
      </c>
      <c r="H36" s="26">
        <v>-9.8837356851653888E-2</v>
      </c>
      <c r="I36" s="26">
        <v>-8.0914980734992356E-2</v>
      </c>
      <c r="J36" s="26">
        <v>-0.10587222295087526</v>
      </c>
      <c r="K36" s="26">
        <v>-2.8644518941539437E-3</v>
      </c>
      <c r="L36" s="26">
        <v>-6.1134704835285852E-2</v>
      </c>
      <c r="M36" s="26">
        <v>-2.7989598368433961E-2</v>
      </c>
      <c r="N36" s="26">
        <v>-2.8718844222259555E-2</v>
      </c>
    </row>
    <row r="37" spans="2:14" x14ac:dyDescent="0.2">
      <c r="B37" s="111">
        <v>41486</v>
      </c>
      <c r="C37" s="26">
        <v>9.3023441173008536E-2</v>
      </c>
      <c r="D37" s="26">
        <v>0.15866594337334597</v>
      </c>
      <c r="E37" s="26">
        <v>0.1317031529759384</v>
      </c>
      <c r="F37" s="26">
        <v>3.0176999654675348E-2</v>
      </c>
      <c r="G37" s="26">
        <v>4.8188761661926413E-2</v>
      </c>
      <c r="H37" s="26">
        <v>3.3775384875125665E-2</v>
      </c>
      <c r="I37" s="26">
        <v>5.0593284779755658E-2</v>
      </c>
      <c r="J37" s="26">
        <v>0.14448741484946512</v>
      </c>
      <c r="K37" s="26">
        <v>6.9080564498007428E-3</v>
      </c>
      <c r="L37" s="26">
        <v>7.3210155464686316E-2</v>
      </c>
      <c r="M37" s="26">
        <v>8.6754337817300214E-2</v>
      </c>
      <c r="N37" s="26">
        <v>5.2781561197002717E-2</v>
      </c>
    </row>
    <row r="38" spans="2:14" x14ac:dyDescent="0.2">
      <c r="B38" s="111">
        <v>41517</v>
      </c>
      <c r="C38" s="26">
        <v>-2.8517388880250353E-2</v>
      </c>
      <c r="D38" s="26">
        <v>-2.5084869888712984E-2</v>
      </c>
      <c r="E38" s="26">
        <v>7.0473672207956566E-3</v>
      </c>
      <c r="F38" s="26">
        <v>-5.1515283206588526E-2</v>
      </c>
      <c r="G38" s="26">
        <v>3.9949264662766458E-2</v>
      </c>
      <c r="H38" s="26">
        <v>-6.6562679028000305E-3</v>
      </c>
      <c r="I38" s="26">
        <v>-9.6472215569313544E-3</v>
      </c>
      <c r="J38" s="26">
        <v>-8.6023303844769125E-2</v>
      </c>
      <c r="K38" s="26">
        <v>-9.3301754008523113E-2</v>
      </c>
      <c r="L38" s="26">
        <v>-3.1934283353724072E-2</v>
      </c>
      <c r="M38" s="26">
        <v>4.5262206906303774E-2</v>
      </c>
      <c r="N38" s="26">
        <v>-3.7447515076146971E-2</v>
      </c>
    </row>
    <row r="39" spans="2:14" x14ac:dyDescent="0.2">
      <c r="B39" s="111">
        <v>41547</v>
      </c>
      <c r="C39" s="26">
        <v>8.0036713457488445E-2</v>
      </c>
      <c r="D39" s="26">
        <v>5.4518770571494138E-2</v>
      </c>
      <c r="E39" s="26">
        <v>6.1052356307167287E-2</v>
      </c>
      <c r="F39" s="26">
        <v>-1.2424506434246278E-2</v>
      </c>
      <c r="G39" s="26">
        <v>0.13231697460881292</v>
      </c>
      <c r="H39" s="26">
        <v>4.8876634948753786E-2</v>
      </c>
      <c r="I39" s="26">
        <v>4.496830246304849E-2</v>
      </c>
      <c r="J39" s="26">
        <v>8.9681933331433011E-2</v>
      </c>
      <c r="K39" s="26">
        <v>3.1365749743564673E-2</v>
      </c>
      <c r="L39" s="26">
        <v>7.9619831544254283E-2</v>
      </c>
      <c r="M39" s="26">
        <v>2.3380878425927284E-2</v>
      </c>
      <c r="N39" s="26">
        <v>9.9820658444086247E-2</v>
      </c>
    </row>
    <row r="40" spans="2:14" x14ac:dyDescent="0.2">
      <c r="B40" s="111">
        <v>41578</v>
      </c>
      <c r="C40" s="26">
        <v>7.4636348323746077E-2</v>
      </c>
      <c r="D40" s="26">
        <v>9.0799986703551536E-2</v>
      </c>
      <c r="E40" s="26">
        <v>0.10188746753511607</v>
      </c>
      <c r="F40" s="26">
        <v>-1.8332216308094753E-2</v>
      </c>
      <c r="G40" s="26">
        <v>-1.2385716201718272E-2</v>
      </c>
      <c r="H40" s="26">
        <v>-5.7121248571681285E-2</v>
      </c>
      <c r="I40" s="26">
        <v>-3.5842784155216474E-2</v>
      </c>
      <c r="J40" s="26">
        <v>9.4688614696730677E-2</v>
      </c>
      <c r="K40" s="26">
        <v>4.7619182633090985E-2</v>
      </c>
      <c r="L40" s="26">
        <v>-7.3588066619125602E-3</v>
      </c>
      <c r="M40" s="26">
        <v>7.003231355605527E-2</v>
      </c>
      <c r="N40" s="26">
        <v>9.9488155029278061E-2</v>
      </c>
    </row>
    <row r="41" spans="2:14" x14ac:dyDescent="0.2">
      <c r="B41" s="111">
        <v>41608</v>
      </c>
      <c r="C41" s="26">
        <v>3.2602160087794249E-2</v>
      </c>
      <c r="D41" s="26">
        <v>1.3017750635237656E-2</v>
      </c>
      <c r="E41" s="26">
        <v>-9.2879716630966357E-3</v>
      </c>
      <c r="F41" s="26">
        <v>-2.0871563867669772E-2</v>
      </c>
      <c r="G41" s="26">
        <v>-6.9247473562257869E-2</v>
      </c>
      <c r="H41" s="26">
        <v>2.4312356036614351E-2</v>
      </c>
      <c r="I41" s="26">
        <v>-5.728805243603028E-2</v>
      </c>
      <c r="J41" s="26">
        <v>1.2091119937716938E-2</v>
      </c>
      <c r="K41" s="26">
        <v>-8.9126967710506048E-3</v>
      </c>
      <c r="L41" s="26">
        <v>4.1902846718487267E-3</v>
      </c>
      <c r="M41" s="26">
        <v>-1.4801428429525212E-2</v>
      </c>
      <c r="N41" s="26">
        <v>1.6930948067972866E-3</v>
      </c>
    </row>
    <row r="42" spans="2:14" x14ac:dyDescent="0.2">
      <c r="B42" s="111">
        <v>41639</v>
      </c>
      <c r="C42" s="26">
        <v>6.7929723205266968E-2</v>
      </c>
      <c r="D42" s="26">
        <v>2.5339303147722609E-2</v>
      </c>
      <c r="E42" s="26">
        <v>2.3541840493999034E-2</v>
      </c>
      <c r="F42" s="26">
        <v>-2.1690119742530382E-2</v>
      </c>
      <c r="G42" s="26">
        <v>4.8412772649994128E-2</v>
      </c>
      <c r="H42" s="26">
        <v>2.529191492117332E-2</v>
      </c>
      <c r="I42" s="26">
        <v>2.1178723764750888E-3</v>
      </c>
      <c r="J42" s="26">
        <v>-0.10476341416961199</v>
      </c>
      <c r="K42" s="26">
        <v>-9.2495383462102409E-3</v>
      </c>
      <c r="L42" s="26">
        <v>1.7493142762232485E-2</v>
      </c>
      <c r="M42" s="26">
        <v>-1.4574970018204133E-3</v>
      </c>
      <c r="N42" s="26">
        <v>2.0316925474390676E-2</v>
      </c>
    </row>
    <row r="43" spans="2:14" x14ac:dyDescent="0.2">
      <c r="B43" s="111">
        <v>41670</v>
      </c>
      <c r="C43" s="26">
        <v>-5.7337449447948351E-2</v>
      </c>
      <c r="D43" s="26">
        <v>1.4122006863213259E-2</v>
      </c>
      <c r="E43" s="26">
        <v>2.9309983211504517E-2</v>
      </c>
      <c r="F43" s="26">
        <v>-6.3360263409411754E-2</v>
      </c>
      <c r="G43" s="26">
        <v>-4.1532506019061576E-2</v>
      </c>
      <c r="H43" s="26">
        <v>-0.103415545412677</v>
      </c>
      <c r="I43" s="26">
        <v>-3.8280179182731078E-2</v>
      </c>
      <c r="J43" s="26">
        <v>0.10795554521482958</v>
      </c>
      <c r="K43" s="26">
        <v>-5.6016684919604265E-2</v>
      </c>
      <c r="L43" s="26">
        <v>-5.5362894810864288E-2</v>
      </c>
      <c r="M43" s="26">
        <v>-3.5488160104535274E-2</v>
      </c>
      <c r="N43" s="26">
        <v>1.7707629844310967E-2</v>
      </c>
    </row>
    <row r="44" spans="2:14" x14ac:dyDescent="0.2">
      <c r="B44" s="111">
        <v>41698</v>
      </c>
      <c r="C44" s="26">
        <v>1.4826206571300614E-2</v>
      </c>
      <c r="D44" s="26">
        <v>3.4986811389700098E-2</v>
      </c>
      <c r="E44" s="26">
        <v>0.12181109194566903</v>
      </c>
      <c r="F44" s="26">
        <v>4.4383322704813738E-2</v>
      </c>
      <c r="G44" s="26">
        <v>0.13457426565187455</v>
      </c>
      <c r="H44" s="26">
        <v>-1.1640278221413338E-2</v>
      </c>
      <c r="I44" s="26">
        <v>7.0944221186384104E-2</v>
      </c>
      <c r="J44" s="26">
        <v>0.11504026085186782</v>
      </c>
      <c r="K44" s="26">
        <v>3.4752638046430202E-2</v>
      </c>
      <c r="L44" s="26">
        <v>8.1148816009453853E-2</v>
      </c>
      <c r="M44" s="26">
        <v>0.11077001964848072</v>
      </c>
      <c r="N44" s="26">
        <v>0.11458867952089649</v>
      </c>
    </row>
    <row r="45" spans="2:14" x14ac:dyDescent="0.2">
      <c r="B45" s="111">
        <v>41729</v>
      </c>
      <c r="C45" s="26">
        <v>-2.6222167539905285E-2</v>
      </c>
      <c r="D45" s="26">
        <v>-5.8358380576066946E-2</v>
      </c>
      <c r="E45" s="26">
        <v>-3.1376665311645485E-2</v>
      </c>
      <c r="F45" s="26">
        <v>2.930864306733573E-3</v>
      </c>
      <c r="G45" s="26">
        <v>6.8316105237490474E-2</v>
      </c>
      <c r="H45" s="26">
        <v>4.1197061335884154E-2</v>
      </c>
      <c r="I45" s="26">
        <v>-9.2627823140517974E-3</v>
      </c>
      <c r="J45" s="26">
        <v>-2.3127097791158072E-2</v>
      </c>
      <c r="K45" s="26">
        <v>4.6462850157383767E-3</v>
      </c>
      <c r="L45" s="26">
        <v>-6.1776770277038812E-3</v>
      </c>
      <c r="M45" s="26">
        <v>1.2120164047693702E-2</v>
      </c>
      <c r="N45" s="26">
        <v>-4.0642381368527812E-3</v>
      </c>
    </row>
    <row r="46" spans="2:14" x14ac:dyDescent="0.2">
      <c r="B46" s="111">
        <v>41759</v>
      </c>
      <c r="C46" s="26">
        <v>-4.8086167995552348E-2</v>
      </c>
      <c r="D46" s="26">
        <v>-3.3577517806982767E-2</v>
      </c>
      <c r="E46" s="26">
        <v>-7.3521229941036506E-2</v>
      </c>
      <c r="F46" s="26">
        <v>3.5651647470470185E-2</v>
      </c>
      <c r="G46" s="26">
        <v>-8.4843788951147386E-2</v>
      </c>
      <c r="H46" s="26">
        <v>4.7806407961081036E-2</v>
      </c>
      <c r="I46" s="26">
        <v>2.3787043927852913E-2</v>
      </c>
      <c r="J46" s="26">
        <v>-5.5286537200312045E-3</v>
      </c>
      <c r="K46" s="26">
        <v>3.0919878048074802E-2</v>
      </c>
      <c r="L46" s="26">
        <v>4.9728379791244982E-2</v>
      </c>
      <c r="M46" s="26">
        <v>9.5096281716372133E-2</v>
      </c>
      <c r="N46" s="26">
        <v>7.9762691033389791E-3</v>
      </c>
    </row>
    <row r="47" spans="2:14" x14ac:dyDescent="0.2">
      <c r="B47" s="111">
        <v>41790</v>
      </c>
      <c r="C47" s="26">
        <v>6.3042933519198499E-2</v>
      </c>
      <c r="D47" s="26">
        <v>-5.0637581289433985E-2</v>
      </c>
      <c r="E47" s="26">
        <v>4.7731229308853214E-2</v>
      </c>
      <c r="F47" s="26">
        <v>2.7652341344907318E-2</v>
      </c>
      <c r="G47" s="26">
        <v>0.16838568350196922</v>
      </c>
      <c r="H47" s="26">
        <v>2.7058709592460362E-2</v>
      </c>
      <c r="I47" s="26">
        <v>3.9764072391679742E-2</v>
      </c>
      <c r="J47" s="26">
        <v>-1.553825485854014E-2</v>
      </c>
      <c r="K47" s="26">
        <v>5.383056038304487E-3</v>
      </c>
      <c r="L47" s="26">
        <v>2.2649709687393587E-2</v>
      </c>
      <c r="M47" s="26">
        <v>0</v>
      </c>
      <c r="N47" s="26">
        <v>2.2304844654159918E-2</v>
      </c>
    </row>
    <row r="48" spans="2:14" x14ac:dyDescent="0.2">
      <c r="B48" s="111">
        <v>41820</v>
      </c>
      <c r="C48" s="26">
        <v>-5.6436430902527361E-2</v>
      </c>
      <c r="D48" s="26">
        <v>-6.9919017080484619E-3</v>
      </c>
      <c r="E48" s="26">
        <v>-1.5811079017023989E-3</v>
      </c>
      <c r="F48" s="26">
        <v>2.1200818926687279E-2</v>
      </c>
      <c r="G48" s="26">
        <v>-1.8550426091321938E-2</v>
      </c>
      <c r="H48" s="26">
        <v>3.6538517754002763E-2</v>
      </c>
      <c r="I48" s="26">
        <v>-2.5014098369843557E-2</v>
      </c>
      <c r="J48" s="26">
        <v>-1.9204288421336278E-2</v>
      </c>
      <c r="K48" s="26">
        <v>2.5884578220714639E-2</v>
      </c>
      <c r="L48" s="26">
        <v>2.9072487947341342E-2</v>
      </c>
      <c r="M48" s="26">
        <v>2.5252387857683328E-2</v>
      </c>
      <c r="N48" s="26">
        <v>5.5246580559968218E-3</v>
      </c>
    </row>
    <row r="49" spans="2:14" x14ac:dyDescent="0.2">
      <c r="B49" s="111">
        <v>41851</v>
      </c>
      <c r="C49" s="26">
        <v>-0.11401726813689549</v>
      </c>
      <c r="D49" s="26">
        <v>-9.0828725114609949E-4</v>
      </c>
      <c r="E49" s="26">
        <v>4.0883145766046611E-2</v>
      </c>
      <c r="F49" s="26">
        <v>-2.7655947477767139E-3</v>
      </c>
      <c r="G49" s="26">
        <v>-4.2526775447477322E-2</v>
      </c>
      <c r="H49" s="26">
        <v>-3.8046361323803367E-2</v>
      </c>
      <c r="I49" s="26">
        <v>-4.5609750402030538E-2</v>
      </c>
      <c r="J49" s="26">
        <v>-5.5429486299461858E-2</v>
      </c>
      <c r="K49" s="26">
        <v>1.3405429507250355E-2</v>
      </c>
      <c r="L49" s="26">
        <v>-8.0436433831088006E-2</v>
      </c>
      <c r="M49" s="26">
        <v>-7.7933644104260485E-2</v>
      </c>
      <c r="N49" s="26">
        <v>-5.4578566429168508E-2</v>
      </c>
    </row>
    <row r="50" spans="2:14" x14ac:dyDescent="0.2">
      <c r="B50" s="111">
        <v>41882</v>
      </c>
      <c r="C50" s="26">
        <v>7.9451351373141077E-2</v>
      </c>
      <c r="D50" s="26">
        <v>3.7979995628596823E-2</v>
      </c>
      <c r="E50" s="26">
        <v>-2.2128092160719937E-3</v>
      </c>
      <c r="F50" s="26">
        <v>-1.7563351572522482E-2</v>
      </c>
      <c r="G50" s="26">
        <v>-2.6233494741348604E-2</v>
      </c>
      <c r="H50" s="26">
        <v>1.4726022977808582E-2</v>
      </c>
      <c r="I50" s="26">
        <v>8.2203381356953834E-2</v>
      </c>
      <c r="J50" s="26">
        <v>-4.4733029237245869E-2</v>
      </c>
      <c r="K50" s="26">
        <v>6.2070710237686844E-2</v>
      </c>
      <c r="L50" s="26">
        <v>1.7399664030763328E-2</v>
      </c>
      <c r="M50" s="26">
        <v>4.366842466815838E-2</v>
      </c>
      <c r="N50" s="26">
        <v>-3.6226318538971083E-2</v>
      </c>
    </row>
    <row r="51" spans="2:14" x14ac:dyDescent="0.2">
      <c r="B51" s="111">
        <v>41912</v>
      </c>
      <c r="C51" s="26">
        <v>6.4416119340788044E-2</v>
      </c>
      <c r="D51" s="26">
        <v>2.2187465489492394E-2</v>
      </c>
      <c r="E51" s="26">
        <v>5.0268186627354487E-2</v>
      </c>
      <c r="F51" s="26">
        <v>-2.6344262311520507E-3</v>
      </c>
      <c r="G51" s="26">
        <v>5.948233364754054E-2</v>
      </c>
      <c r="H51" s="26">
        <v>-9.5856470785421491E-2</v>
      </c>
      <c r="I51" s="26">
        <v>-1.1143674486429902E-3</v>
      </c>
      <c r="J51" s="26">
        <v>-3.7428635003465993E-2</v>
      </c>
      <c r="K51" s="26">
        <v>7.257490602628773E-2</v>
      </c>
      <c r="L51" s="26">
        <v>-5.4726462830714799E-2</v>
      </c>
      <c r="M51" s="26">
        <v>2.510447418762814E-2</v>
      </c>
      <c r="N51" s="26">
        <v>-7.5276319183781387E-2</v>
      </c>
    </row>
    <row r="52" spans="2:14" x14ac:dyDescent="0.2">
      <c r="B52" s="111">
        <v>41943</v>
      </c>
      <c r="C52" s="26">
        <v>-4.4560504933597284E-2</v>
      </c>
      <c r="D52" s="26">
        <v>-4.5315977202190647E-2</v>
      </c>
      <c r="E52" s="26">
        <v>-7.689626940117103E-2</v>
      </c>
      <c r="F52" s="26">
        <v>2.3018815643770927E-2</v>
      </c>
      <c r="G52" s="26">
        <v>-2.5428025958239616E-2</v>
      </c>
      <c r="H52" s="26">
        <v>4.3716909271895275E-2</v>
      </c>
      <c r="I52" s="26">
        <v>1.3275135571938579E-2</v>
      </c>
      <c r="J52" s="26">
        <v>3.2781290757974597E-2</v>
      </c>
      <c r="K52" s="26">
        <v>-0.17753467991860941</v>
      </c>
      <c r="L52" s="26">
        <v>3.4210547330825028E-2</v>
      </c>
      <c r="M52" s="26">
        <v>-6.6975216035861526E-2</v>
      </c>
      <c r="N52" s="26">
        <v>-1.1520540248201087E-2</v>
      </c>
    </row>
    <row r="53" spans="2:14" x14ac:dyDescent="0.2">
      <c r="B53" s="111">
        <v>41973</v>
      </c>
      <c r="C53" s="26">
        <v>2.9306774602389719E-2</v>
      </c>
      <c r="D53" s="26">
        <v>2.8320640090445139E-2</v>
      </c>
      <c r="E53" s="26">
        <v>0.1233322421540055</v>
      </c>
      <c r="F53" s="26">
        <v>4.666175278248634E-2</v>
      </c>
      <c r="G53" s="26">
        <v>5.2196608319775795E-2</v>
      </c>
      <c r="H53" s="26">
        <v>8.9639941767023876E-2</v>
      </c>
      <c r="I53" s="26">
        <v>4.9323428389535649E-2</v>
      </c>
      <c r="J53" s="26">
        <v>8.9312655278336581E-2</v>
      </c>
      <c r="K53" s="26">
        <v>5.7018795092845617E-2</v>
      </c>
      <c r="L53" s="26">
        <v>4.3257035522934743E-2</v>
      </c>
      <c r="M53" s="26">
        <v>-5.1244048385268644E-2</v>
      </c>
      <c r="N53" s="26">
        <v>-4.398028248921098E-2</v>
      </c>
    </row>
    <row r="54" spans="2:14" x14ac:dyDescent="0.2">
      <c r="B54" s="111">
        <v>42004</v>
      </c>
      <c r="C54" s="26">
        <v>-0.15603641844383176</v>
      </c>
      <c r="D54" s="26">
        <v>-4.4608185780386049E-2</v>
      </c>
      <c r="E54" s="26">
        <v>9.3329755935649614E-3</v>
      </c>
      <c r="F54" s="26">
        <v>-4.0528748939558122E-2</v>
      </c>
      <c r="G54" s="26">
        <v>-1.9429704859015677E-2</v>
      </c>
      <c r="H54" s="26">
        <v>9.4892990565379198E-2</v>
      </c>
      <c r="I54" s="26">
        <v>-2.3255378391539606E-2</v>
      </c>
      <c r="J54" s="26">
        <v>-6.1841283123796567E-2</v>
      </c>
      <c r="K54" s="26">
        <v>-2.8255739628062267E-2</v>
      </c>
      <c r="L54" s="26">
        <v>-7.6067041814476169E-2</v>
      </c>
      <c r="M54" s="26">
        <v>-5.4901051804429266E-2</v>
      </c>
      <c r="N54" s="26">
        <v>6.9914444830676353E-2</v>
      </c>
    </row>
    <row r="55" spans="2:14" x14ac:dyDescent="0.2">
      <c r="B55" s="111">
        <v>42035</v>
      </c>
      <c r="C55" s="26">
        <v>0.14147539993923897</v>
      </c>
      <c r="D55" s="26">
        <v>-5.0446674851498556E-2</v>
      </c>
      <c r="E55" s="26">
        <v>8.5575012430724504E-2</v>
      </c>
      <c r="F55" s="26">
        <v>9.4031244776585962E-2</v>
      </c>
      <c r="G55" s="26">
        <v>1.5182702590428237E-2</v>
      </c>
      <c r="H55" s="26">
        <v>1.9165668653886643E-2</v>
      </c>
      <c r="I55" s="26">
        <v>0.1554302224320657</v>
      </c>
      <c r="J55" s="26">
        <v>0.12687923786150015</v>
      </c>
      <c r="K55" s="26">
        <v>8.3795678709393515E-2</v>
      </c>
      <c r="L55" s="26">
        <v>0.10542801501547699</v>
      </c>
      <c r="M55" s="26">
        <v>8.6191993696453431E-2</v>
      </c>
      <c r="N55" s="26">
        <v>2.9224440460903622E-2</v>
      </c>
    </row>
    <row r="56" spans="2:14" x14ac:dyDescent="0.2">
      <c r="B56" s="111">
        <v>42063</v>
      </c>
      <c r="C56" s="26">
        <v>0.17224574446579444</v>
      </c>
      <c r="D56" s="26">
        <v>0.1136287619953809</v>
      </c>
      <c r="E56" s="26">
        <v>0.11925038598748014</v>
      </c>
      <c r="F56" s="26">
        <v>4.6332128185204421E-2</v>
      </c>
      <c r="G56" s="26">
        <v>7.6044394392007601E-3</v>
      </c>
      <c r="H56" s="26">
        <v>-4.0272628145139072E-2</v>
      </c>
      <c r="I56" s="26">
        <v>-6.0974868781190532E-3</v>
      </c>
      <c r="J56" s="26">
        <v>0.25861312043965995</v>
      </c>
      <c r="K56" s="26">
        <v>6.9512278454683538E-2</v>
      </c>
      <c r="L56" s="26">
        <v>7.4328576580008465E-2</v>
      </c>
      <c r="M56" s="26">
        <v>6.0109941352369078E-2</v>
      </c>
      <c r="N56" s="26">
        <v>0.1319386375868688</v>
      </c>
    </row>
    <row r="57" spans="2:14" x14ac:dyDescent="0.2">
      <c r="B57" s="111">
        <v>42094</v>
      </c>
      <c r="C57" s="26">
        <v>9.2354897899822097E-2</v>
      </c>
      <c r="D57" s="26">
        <v>8.6005195464224679E-2</v>
      </c>
      <c r="E57" s="26">
        <v>5.6731713988727728E-2</v>
      </c>
      <c r="F57" s="26">
        <v>4.6525580734103371E-3</v>
      </c>
      <c r="G57" s="26">
        <v>-7.3962108441910493E-2</v>
      </c>
      <c r="H57" s="26">
        <v>0.13889373212313164</v>
      </c>
      <c r="I57" s="26">
        <v>3.9641269680508129E-2</v>
      </c>
      <c r="J57" s="26">
        <v>-1.2580080857740577E-2</v>
      </c>
      <c r="K57" s="26">
        <v>4.8232609720454317E-2</v>
      </c>
      <c r="L57" s="26">
        <v>5.1401078850698669E-3</v>
      </c>
      <c r="M57" s="26">
        <v>-4.0634548119179471E-2</v>
      </c>
      <c r="N57" s="26">
        <v>3.9605997557971839E-3</v>
      </c>
    </row>
    <row r="58" spans="2:14" x14ac:dyDescent="0.2">
      <c r="B58" s="111">
        <v>42124</v>
      </c>
      <c r="C58" s="26">
        <v>2.5810827525025677E-2</v>
      </c>
      <c r="D58" s="26">
        <v>-2.2979588250809655E-3</v>
      </c>
      <c r="E58" s="26">
        <v>4.0984702742204344E-2</v>
      </c>
      <c r="F58" s="26">
        <v>3.0182077518861237E-2</v>
      </c>
      <c r="G58" s="26">
        <v>-1.08666769891879E-2</v>
      </c>
      <c r="H58" s="26">
        <v>3.1723387099207155E-2</v>
      </c>
      <c r="I58" s="26">
        <v>7.7168045844980878E-3</v>
      </c>
      <c r="J58" s="26">
        <v>0.11006253955011851</v>
      </c>
      <c r="K58" s="26">
        <v>-7.9407302068169577E-3</v>
      </c>
      <c r="L58" s="26">
        <v>-7.6157532346215237E-2</v>
      </c>
      <c r="M58" s="26">
        <v>6.1349350952737462E-2</v>
      </c>
      <c r="N58" s="26">
        <v>2.9870500336847693E-2</v>
      </c>
    </row>
    <row r="59" spans="2:14" x14ac:dyDescent="0.2">
      <c r="B59" s="111">
        <v>42155</v>
      </c>
      <c r="C59" s="26">
        <v>0</v>
      </c>
      <c r="D59" s="26">
        <v>-2.6754122231896757E-2</v>
      </c>
      <c r="E59" s="26">
        <v>-6.037768472043065E-3</v>
      </c>
      <c r="F59" s="26">
        <v>-3.0692863866611162E-2</v>
      </c>
      <c r="G59" s="26">
        <v>3.701386158492246E-2</v>
      </c>
      <c r="H59" s="26">
        <v>5.518479338829687E-2</v>
      </c>
      <c r="I59" s="26">
        <v>1.3964021201254829E-2</v>
      </c>
      <c r="J59" s="26">
        <v>4.5696054732695503E-3</v>
      </c>
      <c r="K59" s="26">
        <v>-2.2478164223122207E-2</v>
      </c>
      <c r="L59" s="26">
        <v>5.9439049264565585E-2</v>
      </c>
      <c r="M59" s="26">
        <v>-5.1768658888080625E-2</v>
      </c>
      <c r="N59" s="26">
        <v>8.1981865885514451E-3</v>
      </c>
    </row>
    <row r="60" spans="2:14" x14ac:dyDescent="0.2">
      <c r="B60" s="111">
        <v>42185</v>
      </c>
      <c r="C60" s="26">
        <v>-6.1290379243560365E-2</v>
      </c>
      <c r="D60" s="26">
        <v>1.2248147383452208E-2</v>
      </c>
      <c r="E60" s="26">
        <v>1.956197841837394E-2</v>
      </c>
      <c r="F60" s="26">
        <v>-5.0322656955568992E-2</v>
      </c>
      <c r="G60" s="26">
        <v>-9.4421769777580752E-2</v>
      </c>
      <c r="H60" s="26">
        <v>-5.9187421692477947E-2</v>
      </c>
      <c r="I60" s="26">
        <v>-7.9520459887955808E-2</v>
      </c>
      <c r="J60" s="26">
        <v>8.7969221373295822E-3</v>
      </c>
      <c r="K60" s="26">
        <v>2.1724407476455803E-2</v>
      </c>
      <c r="L60" s="26">
        <v>-9.9592785922099858E-2</v>
      </c>
      <c r="M60" s="26">
        <v>-5.2311271943596707E-2</v>
      </c>
      <c r="N60" s="26">
        <v>-4.0680411258301824E-2</v>
      </c>
    </row>
    <row r="61" spans="2:14" x14ac:dyDescent="0.2">
      <c r="B61" s="111">
        <v>42216</v>
      </c>
      <c r="C61" s="26">
        <v>0.13187278098352639</v>
      </c>
      <c r="D61" s="26">
        <v>9.5290977614712197E-2</v>
      </c>
      <c r="E61" s="26">
        <v>9.6761930993674319E-2</v>
      </c>
      <c r="F61" s="26">
        <v>6.380404927034089E-2</v>
      </c>
      <c r="G61" s="26">
        <v>5.0781459216036752E-2</v>
      </c>
      <c r="H61" s="26">
        <v>7.8525807986556451E-2</v>
      </c>
      <c r="I61" s="26">
        <v>5.2606350180355019E-2</v>
      </c>
      <c r="J61" s="26">
        <v>-0.1031898082773806</v>
      </c>
      <c r="K61" s="26">
        <v>0.11026735682019423</v>
      </c>
      <c r="L61" s="26">
        <v>2.6804395369393316E-2</v>
      </c>
      <c r="M61" s="26">
        <v>4.8583414800672083E-2</v>
      </c>
      <c r="N61" s="26">
        <v>0.12567455006807399</v>
      </c>
    </row>
    <row r="62" spans="2:14" x14ac:dyDescent="0.2">
      <c r="B62" s="111">
        <v>42247</v>
      </c>
      <c r="C62" s="26">
        <v>-0.10077400821523196</v>
      </c>
      <c r="D62" s="26">
        <v>-5.1256360080044312E-2</v>
      </c>
      <c r="E62" s="26">
        <v>-7.9609195827915938E-2</v>
      </c>
      <c r="F62" s="26">
        <v>-0.10212355223753981</v>
      </c>
      <c r="G62" s="26">
        <v>-8.5787991461468566E-2</v>
      </c>
      <c r="H62" s="26">
        <v>-0.10664437188598028</v>
      </c>
      <c r="I62" s="26">
        <v>-0.13559616529040491</v>
      </c>
      <c r="J62" s="26">
        <v>-0.11566026562067157</v>
      </c>
      <c r="K62" s="26">
        <v>-0.10003065015024584</v>
      </c>
      <c r="L62" s="26">
        <v>-0.11416892324761377</v>
      </c>
      <c r="M62" s="26">
        <v>-9.4730773785617242E-2</v>
      </c>
      <c r="N62" s="26">
        <v>-1.6952047116846544E-2</v>
      </c>
    </row>
    <row r="63" spans="2:14" x14ac:dyDescent="0.2">
      <c r="B63" s="111">
        <v>42277</v>
      </c>
      <c r="C63" s="26">
        <v>-8.9171859348187082E-2</v>
      </c>
      <c r="D63" s="26">
        <v>-6.7709181653575312E-2</v>
      </c>
      <c r="E63" s="26">
        <v>-6.2408327163759082E-3</v>
      </c>
      <c r="F63" s="26">
        <v>1.8595483482946845E-2</v>
      </c>
      <c r="G63" s="26">
        <v>-9.6653117259938193E-2</v>
      </c>
      <c r="H63" s="26">
        <v>2.6369704496421478E-2</v>
      </c>
      <c r="I63" s="26">
        <v>-3.5714516463330029E-2</v>
      </c>
      <c r="J63" s="26">
        <v>-0.13618555464683574</v>
      </c>
      <c r="K63" s="26">
        <v>-3.7200935991717837E-2</v>
      </c>
      <c r="L63" s="26">
        <v>-0.11219616206550227</v>
      </c>
      <c r="M63" s="26">
        <v>-1.4826934010978818E-2</v>
      </c>
      <c r="N63" s="26">
        <v>-1.2192954111392609E-2</v>
      </c>
    </row>
    <row r="64" spans="2:14" x14ac:dyDescent="0.2">
      <c r="B64" s="111">
        <v>42308</v>
      </c>
      <c r="C64" s="26">
        <v>0.19750509751586981</v>
      </c>
      <c r="D64" s="26">
        <v>5.3373928207646415E-2</v>
      </c>
      <c r="E64" s="26">
        <v>1.7709119505034832E-2</v>
      </c>
      <c r="F64" s="26">
        <v>0.12389219659829694</v>
      </c>
      <c r="G64" s="26">
        <v>0.10491692465381107</v>
      </c>
      <c r="H64" s="26">
        <v>7.8000042715609952E-2</v>
      </c>
      <c r="I64" s="26">
        <v>0.18873395311895519</v>
      </c>
      <c r="J64" s="26">
        <v>0.33953124009525798</v>
      </c>
      <c r="K64" s="26">
        <v>8.198835130291636E-2</v>
      </c>
      <c r="L64" s="26">
        <v>0.10138002687344622</v>
      </c>
      <c r="M64" s="26">
        <v>0.1149752938684339</v>
      </c>
      <c r="N64" s="26">
        <v>8.234871017137306E-2</v>
      </c>
    </row>
    <row r="65" spans="2:14" x14ac:dyDescent="0.2">
      <c r="B65" s="111">
        <v>42338</v>
      </c>
      <c r="C65" s="26">
        <v>8.0176878950401625E-2</v>
      </c>
      <c r="D65" s="26">
        <v>1.5381909191549359E-2</v>
      </c>
      <c r="E65" s="26">
        <v>7.7625470314712106E-2</v>
      </c>
      <c r="F65" s="26">
        <v>4.6049514279631519E-2</v>
      </c>
      <c r="G65" s="26">
        <v>6.8578670470481926E-2</v>
      </c>
      <c r="H65" s="26">
        <v>-4.8808410607385416E-2</v>
      </c>
      <c r="I65" s="26">
        <v>4.6640494929095369E-3</v>
      </c>
      <c r="J65" s="26">
        <v>0.11407899633628039</v>
      </c>
      <c r="K65" s="26">
        <v>-8.1327965540469088E-2</v>
      </c>
      <c r="L65" s="26">
        <v>8.9324496322774685E-2</v>
      </c>
      <c r="M65" s="26">
        <v>6.4673381080146503E-2</v>
      </c>
      <c r="N65" s="26">
        <v>2.9326905208083539E-3</v>
      </c>
    </row>
    <row r="66" spans="2:14" x14ac:dyDescent="0.2">
      <c r="B66" s="111">
        <v>42369</v>
      </c>
      <c r="C66" s="26">
        <v>-9.4096970796048438E-2</v>
      </c>
      <c r="D66" s="26">
        <v>-6.9150028245038089E-2</v>
      </c>
      <c r="E66" s="26">
        <v>-1.9697459949593765E-2</v>
      </c>
      <c r="F66" s="26">
        <v>-6.1058358265403581E-2</v>
      </c>
      <c r="G66" s="26">
        <v>-1.000615984381671E-2</v>
      </c>
      <c r="H66" s="26">
        <v>-6.4515938443693965E-2</v>
      </c>
      <c r="I66" s="26">
        <v>-1.4093452430991086E-2</v>
      </c>
      <c r="J66" s="26">
        <v>-3.0153984016673279E-2</v>
      </c>
      <c r="K66" s="26">
        <v>-6.8499915100416517E-2</v>
      </c>
      <c r="L66" s="26">
        <v>-0.1240000556741359</v>
      </c>
      <c r="M66" s="26">
        <v>-0.12202121049673911</v>
      </c>
      <c r="N66" s="26">
        <v>-3.0372590585643747E-2</v>
      </c>
    </row>
    <row r="67" spans="2:14" x14ac:dyDescent="0.2">
      <c r="B67" s="111">
        <v>42400</v>
      </c>
      <c r="C67" s="26">
        <v>-6.7419500088324244E-2</v>
      </c>
      <c r="D67" s="26">
        <v>-0.16283727435150466</v>
      </c>
      <c r="E67" s="26">
        <v>-1.7756998040943554E-2</v>
      </c>
      <c r="F67" s="26">
        <v>1.8786146485906787E-2</v>
      </c>
      <c r="G67" s="26">
        <v>-9.98467527164075E-2</v>
      </c>
      <c r="H67" s="26">
        <v>5.7738430075184467E-3</v>
      </c>
      <c r="I67" s="26">
        <v>2.6140657793809779E-2</v>
      </c>
      <c r="J67" s="26">
        <v>-0.15869575138292602</v>
      </c>
      <c r="K67" s="26">
        <v>-2.6081291350750598E-2</v>
      </c>
      <c r="L67" s="26">
        <v>-6.5639275914672376E-2</v>
      </c>
      <c r="M67" s="26">
        <v>6.2504462780830676E-3</v>
      </c>
      <c r="N67" s="26">
        <v>5.5461576354983971E-2</v>
      </c>
    </row>
    <row r="68" spans="2:14" x14ac:dyDescent="0.2">
      <c r="B68" s="111">
        <v>42429</v>
      </c>
      <c r="C68" s="26">
        <v>3.3898284471429785E-2</v>
      </c>
      <c r="D68" s="26">
        <v>-1.6580919862913174E-2</v>
      </c>
      <c r="E68" s="26">
        <v>-8.777361892257364E-2</v>
      </c>
      <c r="F68" s="26">
        <v>1.2293019931511336E-2</v>
      </c>
      <c r="G68" s="26">
        <v>-2.7900794033104231E-2</v>
      </c>
      <c r="H68" s="26">
        <v>3.0298892379029057E-3</v>
      </c>
      <c r="I68" s="26">
        <v>-9.115315885174817E-2</v>
      </c>
      <c r="J68" s="26">
        <v>7.9686808587214733E-2</v>
      </c>
      <c r="K68" s="26">
        <v>-4.3893026262400978E-2</v>
      </c>
      <c r="L68" s="26">
        <v>0.11525161144215562</v>
      </c>
      <c r="M68" s="26">
        <v>1.1119573369090143E-2</v>
      </c>
      <c r="N68" s="26">
        <v>2.2428845323031039E-2</v>
      </c>
    </row>
    <row r="69" spans="2:14" x14ac:dyDescent="0.2">
      <c r="B69" s="111">
        <v>42460</v>
      </c>
      <c r="C69" s="26">
        <v>-2.3921086022935679E-2</v>
      </c>
      <c r="D69" s="26">
        <v>2.8604617858189314E-2</v>
      </c>
      <c r="E69" s="26">
        <v>7.6662381950191219E-2</v>
      </c>
      <c r="F69" s="26">
        <v>-2.6778764359899648E-2</v>
      </c>
      <c r="G69" s="26">
        <v>-4.5152090181488559E-2</v>
      </c>
      <c r="H69" s="26">
        <v>-1.1426869425714763E-2</v>
      </c>
      <c r="I69" s="26">
        <v>-1.1213635346678506E-3</v>
      </c>
      <c r="J69" s="26">
        <v>3.7794073421832532E-2</v>
      </c>
      <c r="K69" s="26">
        <v>-3.1834755807889532E-2</v>
      </c>
      <c r="L69" s="26">
        <v>1.4058841272574483E-2</v>
      </c>
      <c r="M69" s="26">
        <v>-3.1782668935262638E-2</v>
      </c>
      <c r="N69" s="26">
        <v>2.5853928376028939E-2</v>
      </c>
    </row>
    <row r="70" spans="2:14" x14ac:dyDescent="0.2">
      <c r="B70" s="111">
        <v>42490</v>
      </c>
      <c r="C70" s="26">
        <v>-6.4095914594217318E-2</v>
      </c>
      <c r="D70" s="26">
        <v>4.5444119396015996E-2</v>
      </c>
      <c r="E70" s="26">
        <v>-1.2714968092100406E-2</v>
      </c>
      <c r="F70" s="26">
        <v>-2.1436445728698031E-2</v>
      </c>
      <c r="G70" s="26">
        <v>5.5718319800011122E-2</v>
      </c>
      <c r="H70" s="26">
        <v>5.0088541815368299E-3</v>
      </c>
      <c r="I70" s="26">
        <v>-3.7958948749155799E-2</v>
      </c>
      <c r="J70" s="26">
        <v>-3.481439078028218E-2</v>
      </c>
      <c r="K70" s="26">
        <v>1.7640337769280711E-2</v>
      </c>
      <c r="L70" s="26">
        <v>2.3406449780024253E-2</v>
      </c>
      <c r="M70" s="26">
        <v>0.11242658306865055</v>
      </c>
      <c r="N70" s="26">
        <v>-3.5130855880169151E-3</v>
      </c>
    </row>
    <row r="71" spans="2:14" x14ac:dyDescent="0.2">
      <c r="B71" s="111">
        <v>42521</v>
      </c>
      <c r="C71" s="26">
        <v>2.581946334597101E-2</v>
      </c>
      <c r="D71" s="26">
        <v>7.6232861739248092E-2</v>
      </c>
      <c r="E71" s="26">
        <v>5.1146802263301365E-2</v>
      </c>
      <c r="F71" s="26">
        <v>3.1224431845731655E-2</v>
      </c>
      <c r="G71" s="26">
        <v>-3.854145030357875E-2</v>
      </c>
      <c r="H71" s="26">
        <v>4.4855335806782373E-2</v>
      </c>
      <c r="I71" s="26">
        <v>3.8502326376443484E-2</v>
      </c>
      <c r="J71" s="26">
        <v>7.1195153880205554E-4</v>
      </c>
      <c r="K71" s="26">
        <v>2.1910987547159269E-2</v>
      </c>
      <c r="L71" s="26">
        <v>2.2343577027521277E-2</v>
      </c>
      <c r="M71" s="26">
        <v>-5.8047047976460941E-3</v>
      </c>
      <c r="N71" s="26">
        <v>5.651219144328621E-2</v>
      </c>
    </row>
    <row r="72" spans="2:14" x14ac:dyDescent="0.2">
      <c r="B72" s="111">
        <v>42551</v>
      </c>
      <c r="C72" s="26">
        <v>-5.4061600476371693E-2</v>
      </c>
      <c r="D72" s="26">
        <v>-0.20114528232097789</v>
      </c>
      <c r="E72" s="26">
        <v>-7.296912630088552E-2</v>
      </c>
      <c r="F72" s="26">
        <v>3.2542895796211356E-2</v>
      </c>
      <c r="G72" s="26">
        <v>8.74016986371942E-2</v>
      </c>
      <c r="H72" s="26">
        <v>3.6928475527579142E-2</v>
      </c>
      <c r="I72" s="26">
        <v>2.2367392952735519E-2</v>
      </c>
      <c r="J72" s="26">
        <v>-0.1641111854360677</v>
      </c>
      <c r="K72" s="26">
        <v>6.0185473474150833E-2</v>
      </c>
      <c r="L72" s="26">
        <v>-5.238911902105256E-2</v>
      </c>
      <c r="M72" s="26">
        <v>-6.7543775064641811E-3</v>
      </c>
      <c r="N72" s="26">
        <v>-5.7700855387634378E-2</v>
      </c>
    </row>
    <row r="73" spans="2:14" x14ac:dyDescent="0.2">
      <c r="B73" s="111">
        <v>42582</v>
      </c>
      <c r="C73" s="26">
        <v>1.7398007156362659E-2</v>
      </c>
      <c r="D73" s="26">
        <v>0.17107466262083063</v>
      </c>
      <c r="E73" s="26">
        <v>9.9104751366038121E-2</v>
      </c>
      <c r="F73" s="26">
        <v>8.6263944948661547E-2</v>
      </c>
      <c r="G73" s="26">
        <v>1.4817691953514431E-2</v>
      </c>
      <c r="H73" s="26">
        <v>0.14856543964216035</v>
      </c>
      <c r="I73" s="26">
        <v>2.0979169676659623E-2</v>
      </c>
      <c r="J73" s="26">
        <v>0.14333709518770391</v>
      </c>
      <c r="K73" s="26">
        <v>1.6417669234179609E-2</v>
      </c>
      <c r="L73" s="26">
        <v>0.10290234901340597</v>
      </c>
      <c r="M73" s="26">
        <v>1.3196973886013568E-4</v>
      </c>
      <c r="N73" s="26">
        <v>6.5944340176442226E-2</v>
      </c>
    </row>
    <row r="74" spans="2:14" x14ac:dyDescent="0.2">
      <c r="B74" s="111">
        <v>42613</v>
      </c>
      <c r="C74" s="26">
        <v>-6.4601698131129415E-3</v>
      </c>
      <c r="D74" s="26">
        <v>2.8181633925933904E-2</v>
      </c>
      <c r="E74" s="26">
        <v>1.6172236311945622E-2</v>
      </c>
      <c r="F74" s="26">
        <v>-1.117885244569399E-2</v>
      </c>
      <c r="G74" s="26">
        <v>-2.9541716747892823E-2</v>
      </c>
      <c r="H74" s="26">
        <v>-1.6112199378896328E-2</v>
      </c>
      <c r="I74" s="26">
        <v>1.6022714636316833E-2</v>
      </c>
      <c r="J74" s="26">
        <v>-6.3131052808085508E-2</v>
      </c>
      <c r="K74" s="26">
        <v>-9.2974404502589106E-2</v>
      </c>
      <c r="L74" s="26">
        <v>4.3916611185046757E-2</v>
      </c>
      <c r="M74" s="26">
        <v>-2.3381704508497917E-4</v>
      </c>
      <c r="N74" s="26">
        <v>1.472917284780752E-3</v>
      </c>
    </row>
    <row r="75" spans="2:14" x14ac:dyDescent="0.2">
      <c r="B75" s="111">
        <v>42643</v>
      </c>
      <c r="C75" s="26">
        <v>2.9642260994793189E-2</v>
      </c>
      <c r="D75" s="26">
        <v>3.6180088177784407E-3</v>
      </c>
      <c r="E75" s="26">
        <v>-1.8319625408614061E-3</v>
      </c>
      <c r="F75" s="26">
        <v>-3.0245093591061024E-2</v>
      </c>
      <c r="G75" s="26">
        <v>-3.4989634632504686E-2</v>
      </c>
      <c r="H75" s="26">
        <v>-4.318554770437643E-2</v>
      </c>
      <c r="I75" s="26">
        <v>2.3809432298841842E-2</v>
      </c>
      <c r="J75" s="26">
        <v>-2.3188183172915149E-3</v>
      </c>
      <c r="K75" s="26">
        <v>-2.0703729449658044E-2</v>
      </c>
      <c r="L75" s="26">
        <v>1.587817409288703E-2</v>
      </c>
      <c r="M75" s="26">
        <v>-1.3567113256193468E-2</v>
      </c>
      <c r="N75" s="26">
        <v>1.9122397952767429E-3</v>
      </c>
    </row>
    <row r="76" spans="2:14" x14ac:dyDescent="0.2">
      <c r="B76" s="111">
        <v>42674</v>
      </c>
      <c r="C76" s="26">
        <v>5.7579698719614778E-3</v>
      </c>
      <c r="D76" s="26">
        <v>0.15446801755415634</v>
      </c>
      <c r="E76" s="26">
        <v>-0.13420520240468803</v>
      </c>
      <c r="F76" s="26">
        <v>-4.4966012873881495E-2</v>
      </c>
      <c r="G76" s="26">
        <v>-4.749805829900159E-2</v>
      </c>
      <c r="H76" s="26">
        <v>1.8909736313401853E-2</v>
      </c>
      <c r="I76" s="26">
        <v>2.8476649885393373E-2</v>
      </c>
      <c r="J76" s="26">
        <v>8.1624425820437524E-2</v>
      </c>
      <c r="K76" s="26">
        <v>4.9083460177070805E-2</v>
      </c>
      <c r="L76" s="26">
        <v>-1.4824403732674834E-2</v>
      </c>
      <c r="M76" s="26">
        <v>5.2135904710409617E-2</v>
      </c>
      <c r="N76" s="26">
        <v>-3.1415202398545714E-2</v>
      </c>
    </row>
    <row r="77" spans="2:14" x14ac:dyDescent="0.2">
      <c r="B77" s="111">
        <v>42704</v>
      </c>
      <c r="C77" s="26">
        <v>0.11301927899967207</v>
      </c>
      <c r="D77" s="26">
        <v>3.6714498083734726E-2</v>
      </c>
      <c r="E77" s="26">
        <v>-1.298342648472425E-2</v>
      </c>
      <c r="F77" s="26">
        <v>-5.8972721680965366E-2</v>
      </c>
      <c r="G77" s="26">
        <v>-7.8288381526532849E-2</v>
      </c>
      <c r="H77" s="26">
        <v>5.4998511563500697E-2</v>
      </c>
      <c r="I77" s="26">
        <v>-8.6294474035066043E-2</v>
      </c>
      <c r="J77" s="26">
        <v>-6.0295874859610354E-2</v>
      </c>
      <c r="K77" s="26">
        <v>7.2576275258201872E-2</v>
      </c>
      <c r="L77" s="26">
        <v>2.7477897571577502E-2</v>
      </c>
      <c r="M77" s="26">
        <v>2.824771033512646E-2</v>
      </c>
      <c r="N77" s="26">
        <v>-7.1991558507653444E-2</v>
      </c>
    </row>
    <row r="78" spans="2:14" x14ac:dyDescent="0.2">
      <c r="B78" s="111">
        <v>42735</v>
      </c>
      <c r="C78" s="26">
        <v>4.2641425515320609E-2</v>
      </c>
      <c r="D78" s="26">
        <v>0.10533037683487602</v>
      </c>
      <c r="E78" s="26">
        <v>7.5839106450425228E-2</v>
      </c>
      <c r="F78" s="26">
        <v>1.4150868922511347E-2</v>
      </c>
      <c r="G78" s="26">
        <v>4.0343302268106604E-2</v>
      </c>
      <c r="H78" s="26">
        <v>1.5407737657804812E-3</v>
      </c>
      <c r="I78" s="26">
        <v>5.0308569434947943E-2</v>
      </c>
      <c r="J78" s="26">
        <v>0.13680386633187128</v>
      </c>
      <c r="K78" s="26">
        <v>1.0379694999040958E-2</v>
      </c>
      <c r="L78" s="26">
        <v>5.2371831064025119E-2</v>
      </c>
      <c r="M78" s="26">
        <v>8.3750361473520649E-2</v>
      </c>
      <c r="N78" s="26">
        <v>6.7229980445114843E-2</v>
      </c>
    </row>
    <row r="79" spans="2:14" x14ac:dyDescent="0.2">
      <c r="B79" s="111">
        <v>42766</v>
      </c>
      <c r="C79" s="26">
        <v>-1.2731822537734236E-3</v>
      </c>
      <c r="D79" s="26">
        <v>-2.2625850894369214E-2</v>
      </c>
      <c r="E79" s="26">
        <v>-5.9638270654684439E-2</v>
      </c>
      <c r="F79" s="26">
        <v>-3.6710901179853976E-2</v>
      </c>
      <c r="G79" s="26">
        <v>-8.7046132404831417E-2</v>
      </c>
      <c r="H79" s="26">
        <v>3.1923289668315175E-2</v>
      </c>
      <c r="I79" s="26">
        <v>5.2452733033476986E-2</v>
      </c>
      <c r="J79" s="26">
        <v>-1.3371082935972336E-2</v>
      </c>
      <c r="K79" s="26">
        <v>-3.1339503900648255E-2</v>
      </c>
      <c r="L79" s="26">
        <v>1.6640631595062549E-3</v>
      </c>
      <c r="M79" s="26">
        <v>-3.0024405490349418E-2</v>
      </c>
      <c r="N79" s="26">
        <v>3.0911248503135689E-3</v>
      </c>
    </row>
    <row r="80" spans="2:14" x14ac:dyDescent="0.2">
      <c r="B80" s="111">
        <v>42794</v>
      </c>
      <c r="C80" s="26">
        <v>0.10452535377761543</v>
      </c>
      <c r="D80" s="26">
        <v>-6.8435344756097208E-2</v>
      </c>
      <c r="E80" s="26">
        <v>7.0584996821046936E-2</v>
      </c>
      <c r="F80" s="26">
        <v>7.8806780111139549E-2</v>
      </c>
      <c r="G80" s="26">
        <v>4.2928354506207328E-2</v>
      </c>
      <c r="H80" s="26">
        <v>2.3481086212367615E-2</v>
      </c>
      <c r="I80" s="26">
        <v>-4.1532853831416699E-3</v>
      </c>
      <c r="J80" s="26">
        <v>3.957757176073007E-3</v>
      </c>
      <c r="K80" s="26">
        <v>9.1824396285102305E-2</v>
      </c>
      <c r="L80" s="26">
        <v>-3.5185777951111108E-2</v>
      </c>
      <c r="M80" s="26">
        <v>8.3582431276389389E-3</v>
      </c>
      <c r="N80" s="26">
        <v>4.7919918559128832E-2</v>
      </c>
    </row>
    <row r="81" spans="2:14" x14ac:dyDescent="0.2">
      <c r="B81" s="111">
        <v>42825</v>
      </c>
      <c r="C81" s="26">
        <v>2.899606210882278E-2</v>
      </c>
      <c r="D81" s="26">
        <v>0.1324143335206989</v>
      </c>
      <c r="E81" s="26">
        <v>7.2747645928696841E-2</v>
      </c>
      <c r="F81" s="26">
        <v>1.9181460173005552E-2</v>
      </c>
      <c r="G81" s="26">
        <v>0.15077961058357692</v>
      </c>
      <c r="H81" s="26">
        <v>8.215188470795412E-2</v>
      </c>
      <c r="I81" s="26">
        <v>2.7803557734886533E-2</v>
      </c>
      <c r="J81" s="26">
        <v>-2.723692963112578E-2</v>
      </c>
      <c r="K81" s="26">
        <v>4.0452426625267754E-2</v>
      </c>
      <c r="L81" s="26">
        <v>7.4189950806157506E-2</v>
      </c>
      <c r="M81" s="26">
        <v>7.7577024255819473E-3</v>
      </c>
      <c r="N81" s="26">
        <v>9.2486501970788018E-2</v>
      </c>
    </row>
    <row r="82" spans="2:14" x14ac:dyDescent="0.2">
      <c r="B82" s="111">
        <v>42855</v>
      </c>
      <c r="C82" s="26">
        <v>4.0656052605081532E-2</v>
      </c>
      <c r="D82" s="26">
        <v>3.7642217516704157E-2</v>
      </c>
      <c r="E82" s="26">
        <v>6.1691345361735053E-2</v>
      </c>
      <c r="F82" s="26">
        <v>6.5871676640986403E-3</v>
      </c>
      <c r="G82" s="26">
        <v>-2.4849362107841694E-2</v>
      </c>
      <c r="H82" s="26">
        <v>-1.1033564732662654E-2</v>
      </c>
      <c r="I82" s="26">
        <v>3.5617691773021674E-2</v>
      </c>
      <c r="J82" s="26">
        <v>5.1332371651754742E-2</v>
      </c>
      <c r="K82" s="26">
        <v>2.3517043529796579E-2</v>
      </c>
      <c r="L82" s="26">
        <v>5.6389379695992954E-2</v>
      </c>
      <c r="M82" s="26">
        <v>7.8140317185543713E-3</v>
      </c>
      <c r="N82" s="26">
        <v>5.1143882512992664E-2</v>
      </c>
    </row>
    <row r="83" spans="2:14" x14ac:dyDescent="0.2">
      <c r="B83" s="111">
        <v>42886</v>
      </c>
      <c r="C83" s="26">
        <v>3.3627044975743483E-3</v>
      </c>
      <c r="D83" s="26">
        <v>-3.0256313836055274E-2</v>
      </c>
      <c r="E83" s="26">
        <v>2.8292498803946268E-3</v>
      </c>
      <c r="F83" s="26">
        <v>2.9604404236771773E-2</v>
      </c>
      <c r="G83" s="26">
        <v>4.9034560557259937E-2</v>
      </c>
      <c r="H83" s="26">
        <v>1.7076210784853366E-3</v>
      </c>
      <c r="I83" s="26">
        <v>5.2677469312436373E-2</v>
      </c>
      <c r="J83" s="26">
        <v>-2.9435692735500989E-2</v>
      </c>
      <c r="K83" s="26">
        <v>1.8011738274647918E-2</v>
      </c>
      <c r="L83" s="26">
        <v>-5.4344788700612996E-2</v>
      </c>
      <c r="M83" s="26">
        <v>2.1195347285924383E-3</v>
      </c>
      <c r="N83" s="26">
        <v>1.4255626841152518E-2</v>
      </c>
    </row>
    <row r="84" spans="2:14" x14ac:dyDescent="0.2">
      <c r="B84" s="111">
        <v>42916</v>
      </c>
      <c r="C84" s="26">
        <v>-1.4643660932513857E-2</v>
      </c>
      <c r="D84" s="26">
        <v>4.6401954321845441E-2</v>
      </c>
      <c r="E84" s="26">
        <v>-1.715474689511072E-3</v>
      </c>
      <c r="F84" s="26">
        <v>2.2450719862630118E-2</v>
      </c>
      <c r="G84" s="26">
        <v>9.0071573017109947E-3</v>
      </c>
      <c r="H84" s="26">
        <v>-1.659274578661497E-2</v>
      </c>
      <c r="I84" s="26">
        <v>-3.0190335893811569E-2</v>
      </c>
      <c r="J84" s="26">
        <v>-4.6215122795777455E-2</v>
      </c>
      <c r="K84" s="26">
        <v>-1.8600235169573133E-2</v>
      </c>
      <c r="L84" s="26">
        <v>8.8079907721665823E-3</v>
      </c>
      <c r="M84" s="26">
        <v>-8.4302580885981901E-2</v>
      </c>
      <c r="N84" s="26">
        <v>-3.8595102268642503E-2</v>
      </c>
    </row>
    <row r="85" spans="2:14" x14ac:dyDescent="0.2">
      <c r="B85" s="111">
        <v>42947</v>
      </c>
      <c r="C85" s="26">
        <v>-1.9444308036236348E-2</v>
      </c>
      <c r="D85" s="26">
        <v>3.980342188869658E-2</v>
      </c>
      <c r="E85" s="26">
        <v>1.679929317239346E-2</v>
      </c>
      <c r="F85" s="26">
        <v>-4.1331000638609054E-2</v>
      </c>
      <c r="G85" s="26">
        <v>2.951196231656876E-2</v>
      </c>
      <c r="H85" s="26">
        <v>-5.7407751476230631E-3</v>
      </c>
      <c r="I85" s="26">
        <v>0</v>
      </c>
      <c r="J85" s="26">
        <v>-6.4729053080307762E-4</v>
      </c>
      <c r="K85" s="26">
        <v>-3.6294139367433219E-2</v>
      </c>
      <c r="L85" s="26">
        <v>-1.3676205629205391E-2</v>
      </c>
      <c r="M85" s="26">
        <v>5.8162564882513748E-3</v>
      </c>
      <c r="N85" s="26">
        <v>1.351497131795344E-2</v>
      </c>
    </row>
    <row r="86" spans="2:14" x14ac:dyDescent="0.2">
      <c r="B86" s="111">
        <v>42978</v>
      </c>
      <c r="C86" s="26">
        <v>1.4165695110208393E-4</v>
      </c>
      <c r="D86" s="26">
        <v>-2.5316341202777457E-2</v>
      </c>
      <c r="E86" s="26">
        <v>1.2282498119923404E-2</v>
      </c>
      <c r="F86" s="26">
        <v>4.8502178627937619E-2</v>
      </c>
      <c r="G86" s="26">
        <v>3.0503647317323641E-2</v>
      </c>
      <c r="H86" s="26">
        <v>3.80842946401376E-2</v>
      </c>
      <c r="I86" s="26">
        <v>-1.3026450316143318E-2</v>
      </c>
      <c r="J86" s="26">
        <v>-2.3765914858762793E-2</v>
      </c>
      <c r="K86" s="26">
        <v>1.1645059054025216E-2</v>
      </c>
      <c r="L86" s="26">
        <v>2.0798791208646316E-2</v>
      </c>
      <c r="M86" s="26">
        <v>1.128968549562526E-2</v>
      </c>
      <c r="N86" s="26">
        <v>2.1257202936507708E-2</v>
      </c>
    </row>
    <row r="87" spans="2:14" x14ac:dyDescent="0.2">
      <c r="B87" s="111">
        <v>43008</v>
      </c>
      <c r="C87" s="26">
        <v>0.13879049847778976</v>
      </c>
      <c r="D87" s="26">
        <v>6.7907923735945799E-2</v>
      </c>
      <c r="E87" s="26">
        <v>6.4748177200099982E-2</v>
      </c>
      <c r="F87" s="26">
        <v>3.3258245859336746E-3</v>
      </c>
      <c r="G87" s="26">
        <v>2.4964287016382578E-2</v>
      </c>
      <c r="H87" s="26">
        <v>-3.995078088082487E-2</v>
      </c>
      <c r="I87" s="26">
        <v>1.9599298574316231E-2</v>
      </c>
      <c r="J87" s="26">
        <v>0.11782110571775815</v>
      </c>
      <c r="K87" s="26">
        <v>2.877795068551078E-2</v>
      </c>
      <c r="L87" s="26">
        <v>8.7110571608683032E-2</v>
      </c>
      <c r="M87" s="26">
        <v>4.6035137333551406E-2</v>
      </c>
      <c r="N87" s="26">
        <v>3.9431077238364899E-2</v>
      </c>
    </row>
    <row r="88" spans="2:14" x14ac:dyDescent="0.2">
      <c r="B88" s="111">
        <v>43039</v>
      </c>
      <c r="C88" s="26">
        <v>9.1282025082051257E-2</v>
      </c>
      <c r="D88" s="26">
        <v>-1.7728909009029632E-2</v>
      </c>
      <c r="E88" s="26">
        <v>5.2339597950656395E-2</v>
      </c>
      <c r="F88" s="26">
        <v>5.6802596644248658E-2</v>
      </c>
      <c r="G88" s="26">
        <v>9.7424779330438412E-3</v>
      </c>
      <c r="H88" s="26">
        <v>4.4543579074664733E-2</v>
      </c>
      <c r="I88" s="26">
        <v>9.9957260395293068E-2</v>
      </c>
      <c r="J88" s="26">
        <v>2.44253914701348E-2</v>
      </c>
      <c r="K88" s="26">
        <v>-3.2376991617781736E-2</v>
      </c>
      <c r="L88" s="26">
        <v>2.4718400677795346E-2</v>
      </c>
      <c r="M88" s="26">
        <v>6.7773201890034176E-2</v>
      </c>
      <c r="N88" s="26">
        <v>4.5398202406238902E-2</v>
      </c>
    </row>
    <row r="89" spans="2:14" x14ac:dyDescent="0.2">
      <c r="B89" s="111">
        <v>43069</v>
      </c>
      <c r="C89" s="26">
        <v>-5.2421046087777062E-3</v>
      </c>
      <c r="D89" s="26">
        <v>-5.1611075055696093E-2</v>
      </c>
      <c r="E89" s="26">
        <v>-7.1586047045802598E-2</v>
      </c>
      <c r="F89" s="26">
        <v>1.1120707085418033E-2</v>
      </c>
      <c r="G89" s="26">
        <v>3.8675851296981062E-2</v>
      </c>
      <c r="H89" s="26">
        <v>-6.060034705607527E-3</v>
      </c>
      <c r="I89" s="26">
        <v>1.7864209651505373E-2</v>
      </c>
      <c r="J89" s="26">
        <v>2.8188744646373718E-3</v>
      </c>
      <c r="K89" s="26">
        <v>-5.7694861171402323E-2</v>
      </c>
      <c r="L89" s="26">
        <v>-4.2942341896959522E-2</v>
      </c>
      <c r="M89" s="26">
        <v>-9.7137301604820134E-3</v>
      </c>
      <c r="N89" s="26">
        <v>2.1296645730961638E-2</v>
      </c>
    </row>
    <row r="90" spans="2:14" x14ac:dyDescent="0.2">
      <c r="B90" s="111">
        <v>43100</v>
      </c>
      <c r="C90" s="26">
        <v>-4.9146526089121782E-2</v>
      </c>
      <c r="D90" s="26">
        <v>-2.0918558255646424E-2</v>
      </c>
      <c r="E90" s="26">
        <v>2.0747580816386068E-2</v>
      </c>
      <c r="F90" s="26">
        <v>-1.3677566123937689E-2</v>
      </c>
      <c r="G90" s="26">
        <v>-2.5161381825636143E-2</v>
      </c>
      <c r="H90" s="26">
        <v>7.6776900469476238E-3</v>
      </c>
      <c r="I90" s="26">
        <v>1.5425046977930108E-2</v>
      </c>
      <c r="J90" s="26">
        <v>-1.7217073327544484E-2</v>
      </c>
      <c r="K90" s="26">
        <v>-6.2010485546096956E-2</v>
      </c>
      <c r="L90" s="26">
        <v>-1.8695671605887743E-2</v>
      </c>
      <c r="M90" s="26">
        <v>-2.8689285094423051E-2</v>
      </c>
      <c r="N90" s="26">
        <v>1.3209554400311066E-5</v>
      </c>
    </row>
    <row r="91" spans="2:14" x14ac:dyDescent="0.2">
      <c r="B91" s="111">
        <v>43131</v>
      </c>
      <c r="C91" s="26">
        <v>0.11445801340279964</v>
      </c>
      <c r="D91" s="26">
        <v>6.9879502215017708E-2</v>
      </c>
      <c r="E91" s="26">
        <v>8.1504514039212092E-2</v>
      </c>
      <c r="F91" s="26">
        <v>-7.0049015970054824E-3</v>
      </c>
      <c r="G91" s="26">
        <v>-2.4764682241273366E-2</v>
      </c>
      <c r="H91" s="26">
        <v>-2.3529955519554298E-3</v>
      </c>
      <c r="I91" s="26">
        <v>-2.7661897919556089E-2</v>
      </c>
      <c r="J91" s="26">
        <v>5.5535637366868472E-2</v>
      </c>
      <c r="K91" s="26">
        <v>-1.0159917778556458E-2</v>
      </c>
      <c r="L91" s="26">
        <v>6.5199050973992811E-2</v>
      </c>
      <c r="M91" s="26">
        <v>2.6250110714838334E-2</v>
      </c>
      <c r="N91" s="26">
        <v>2.1726417288251039E-2</v>
      </c>
    </row>
    <row r="92" spans="2:14" x14ac:dyDescent="0.2">
      <c r="B92" s="111">
        <v>43159</v>
      </c>
      <c r="C92" s="26">
        <v>6.313495280227209E-2</v>
      </c>
      <c r="D92" s="26">
        <v>-1.8468343621779484E-2</v>
      </c>
      <c r="E92" s="26">
        <v>-3.7400613706769816E-2</v>
      </c>
      <c r="F92" s="26">
        <v>-5.3411973213772175E-2</v>
      </c>
      <c r="G92" s="26">
        <v>-7.9041487519791634E-2</v>
      </c>
      <c r="H92" s="26">
        <v>-6.9631243190031609E-3</v>
      </c>
      <c r="I92" s="26">
        <v>5.2221349455144603E-2</v>
      </c>
      <c r="J92" s="26">
        <v>1.0274491121752969E-2</v>
      </c>
      <c r="K92" s="26">
        <v>-8.5629970226759763E-2</v>
      </c>
      <c r="L92" s="26">
        <v>-5.1669300520450309E-2</v>
      </c>
      <c r="M92" s="26">
        <v>7.1835126267002095E-3</v>
      </c>
      <c r="N92" s="26">
        <v>-6.5287230791126999E-2</v>
      </c>
    </row>
    <row r="93" spans="2:14" x14ac:dyDescent="0.2">
      <c r="B93" s="111">
        <v>43190</v>
      </c>
      <c r="C93" s="26">
        <v>-4.6166357563511118E-2</v>
      </c>
      <c r="D93" s="26">
        <v>-7.9547246543271E-2</v>
      </c>
      <c r="E93" s="26">
        <v>-1.6998581920545531E-2</v>
      </c>
      <c r="F93" s="26">
        <v>-3.0409838618440747E-4</v>
      </c>
      <c r="G93" s="26">
        <v>5.281558512303753E-2</v>
      </c>
      <c r="H93" s="26">
        <v>9.2832185076541673E-2</v>
      </c>
      <c r="I93" s="26">
        <v>1.8518313463973346E-3</v>
      </c>
      <c r="J93" s="26">
        <v>0.10080476048491509</v>
      </c>
      <c r="K93" s="26">
        <v>4.6132267965668132E-3</v>
      </c>
      <c r="L93" s="26">
        <v>-3.3529610393788077E-3</v>
      </c>
      <c r="M93" s="26">
        <v>-1.7883642212033021E-2</v>
      </c>
      <c r="N93" s="26">
        <v>-1.7461918907427657E-2</v>
      </c>
    </row>
    <row r="94" spans="2:14" x14ac:dyDescent="0.2">
      <c r="B94" s="111">
        <v>43220</v>
      </c>
      <c r="C94" s="26">
        <v>3.837961951639253E-2</v>
      </c>
      <c r="D94" s="26">
        <v>6.3320642540848279E-2</v>
      </c>
      <c r="E94" s="26">
        <v>0.12648231624463338</v>
      </c>
      <c r="F94" s="26">
        <v>2.0690535842162308E-2</v>
      </c>
      <c r="G94" s="26">
        <v>7.3404752136630141E-2</v>
      </c>
      <c r="H94" s="26">
        <v>0.11277245293239264</v>
      </c>
      <c r="I94" s="26">
        <v>1.7005696366169637E-2</v>
      </c>
      <c r="J94" s="26">
        <v>-8.7918890198320832E-2</v>
      </c>
      <c r="K94" s="26">
        <v>7.0412341687884515E-3</v>
      </c>
      <c r="L94" s="26">
        <v>5.522851329785583E-2</v>
      </c>
      <c r="M94" s="26">
        <v>0.14931631563687547</v>
      </c>
      <c r="N94" s="26">
        <v>4.0050060955449635E-2</v>
      </c>
    </row>
    <row r="95" spans="2:14" x14ac:dyDescent="0.2">
      <c r="B95" s="111">
        <v>43251</v>
      </c>
      <c r="C95" s="26">
        <v>1.5727245973093638E-2</v>
      </c>
      <c r="D95" s="26">
        <v>-0.1706783869582667</v>
      </c>
      <c r="E95" s="26">
        <v>-1.1842151438096221E-2</v>
      </c>
      <c r="F95" s="26">
        <v>-2.5339004822895524E-2</v>
      </c>
      <c r="G95" s="26">
        <v>-6.975960038269971E-2</v>
      </c>
      <c r="H95" s="26">
        <v>0.13624491940405678</v>
      </c>
      <c r="I95" s="26">
        <v>4.471098007683505E-2</v>
      </c>
      <c r="J95" s="26">
        <v>-8.0253916624588209E-2</v>
      </c>
      <c r="K95" s="26">
        <v>-2.4319867237915381E-3</v>
      </c>
      <c r="L95" s="26">
        <v>-1.9925548969175994E-2</v>
      </c>
      <c r="M95" s="26">
        <v>-5.3507028099723866E-3</v>
      </c>
      <c r="N95" s="26">
        <v>2.8860221089853536E-2</v>
      </c>
    </row>
    <row r="96" spans="2:14" x14ac:dyDescent="0.2">
      <c r="B96" s="111">
        <v>43281</v>
      </c>
      <c r="C96" s="26">
        <v>3.0315482138324301E-2</v>
      </c>
      <c r="D96" s="26">
        <v>5.8306109726402225E-2</v>
      </c>
      <c r="E96" s="26">
        <v>2.2636574009419749E-2</v>
      </c>
      <c r="F96" s="26">
        <v>-1.0381778791954789E-2</v>
      </c>
      <c r="G96" s="26">
        <v>-6.0959058069695584E-3</v>
      </c>
      <c r="H96" s="26">
        <v>-0.13961905078358353</v>
      </c>
      <c r="I96" s="26">
        <v>-2.6444195733255731E-2</v>
      </c>
      <c r="J96" s="26">
        <v>-0.11860092062654565</v>
      </c>
      <c r="K96" s="26">
        <v>9.6531770482926535E-2</v>
      </c>
      <c r="L96" s="26">
        <v>-2.8460074650523016E-3</v>
      </c>
      <c r="M96" s="26">
        <v>3.0741412790265222E-3</v>
      </c>
      <c r="N96" s="26">
        <v>-1.6244934529120868E-2</v>
      </c>
    </row>
    <row r="97" spans="2:14" x14ac:dyDescent="0.2">
      <c r="B97" s="111">
        <v>43312</v>
      </c>
      <c r="C97" s="26">
        <v>5.7251048152019576E-2</v>
      </c>
      <c r="D97" s="26">
        <v>4.6625380902118867E-2</v>
      </c>
      <c r="E97" s="26">
        <v>-3.2592762068359274E-2</v>
      </c>
      <c r="F97" s="26">
        <v>6.9031332146774316E-2</v>
      </c>
      <c r="G97" s="26">
        <v>5.2170768080746222E-2</v>
      </c>
      <c r="H97" s="26">
        <v>4.7333179145413525E-2</v>
      </c>
      <c r="I97" s="26">
        <v>-1.3938571588612112E-2</v>
      </c>
      <c r="J97" s="26">
        <v>8.1271884261257518E-2</v>
      </c>
      <c r="K97" s="26">
        <v>8.3321249137583847E-2</v>
      </c>
      <c r="L97" s="26">
        <v>-3.6124345189257355E-2</v>
      </c>
      <c r="M97" s="26">
        <v>8.2549798958159171E-2</v>
      </c>
      <c r="N97" s="26">
        <v>4.4196429671166576E-2</v>
      </c>
    </row>
    <row r="98" spans="2:14" x14ac:dyDescent="0.2">
      <c r="B98" s="111">
        <v>43343</v>
      </c>
      <c r="C98" s="26">
        <v>2.4528523118089608E-3</v>
      </c>
      <c r="D98" s="26">
        <v>-9.0892833382453353E-2</v>
      </c>
      <c r="E98" s="26">
        <v>6.3751115145945971E-3</v>
      </c>
      <c r="F98" s="26">
        <v>9.076003109122566E-3</v>
      </c>
      <c r="G98" s="26">
        <v>-8.5776407490830667E-2</v>
      </c>
      <c r="H98" s="26">
        <v>3.4343034241332629E-2</v>
      </c>
      <c r="I98" s="26">
        <v>-6.8933254054332005E-3</v>
      </c>
      <c r="J98" s="26">
        <v>-1.4477374419200554E-2</v>
      </c>
      <c r="K98" s="26">
        <v>-5.1096035179456377E-3</v>
      </c>
      <c r="L98" s="26">
        <v>2.0336846736021076E-2</v>
      </c>
      <c r="M98" s="26">
        <v>-3.5624615921110082E-2</v>
      </c>
      <c r="N98" s="26">
        <v>-3.9999999999999765E-2</v>
      </c>
    </row>
    <row r="99" spans="2:14" x14ac:dyDescent="0.2">
      <c r="B99" s="111">
        <v>43373</v>
      </c>
      <c r="C99" s="26">
        <v>1.8068900350297051E-2</v>
      </c>
      <c r="D99" s="26">
        <v>4.1493761213844051E-2</v>
      </c>
      <c r="E99" s="26">
        <v>-1.900456933415557E-2</v>
      </c>
      <c r="F99" s="26">
        <v>-1.651439597580372E-2</v>
      </c>
      <c r="G99" s="26">
        <v>2.7712849332172428E-3</v>
      </c>
      <c r="H99" s="26">
        <v>1.8564767616969059E-2</v>
      </c>
      <c r="I99" s="26">
        <v>3.8970673240444231E-2</v>
      </c>
      <c r="J99" s="26">
        <v>4.0432484799410029E-3</v>
      </c>
      <c r="K99" s="26">
        <v>3.4734451113073196E-2</v>
      </c>
      <c r="L99" s="26">
        <v>-1.3382561374653046E-2</v>
      </c>
      <c r="M99" s="26">
        <v>3.6569502964997946E-2</v>
      </c>
      <c r="N99" s="26">
        <v>-6.5408970185833245E-3</v>
      </c>
    </row>
    <row r="100" spans="2:14" x14ac:dyDescent="0.2">
      <c r="B100" s="111">
        <v>43404</v>
      </c>
      <c r="C100" s="26">
        <v>-9.678310206634691E-2</v>
      </c>
      <c r="D100" s="26">
        <v>-0.12483395116136911</v>
      </c>
      <c r="E100" s="26">
        <v>-3.690049470000937E-3</v>
      </c>
      <c r="F100" s="26">
        <v>-6.1768975269467313E-2</v>
      </c>
      <c r="G100" s="26">
        <v>-7.0272551671223552E-2</v>
      </c>
      <c r="H100" s="26">
        <v>-0.11496683225137772</v>
      </c>
      <c r="I100" s="26">
        <v>-4.6001451222642348E-2</v>
      </c>
      <c r="J100" s="26">
        <v>-0.11315445705559313</v>
      </c>
      <c r="K100" s="26">
        <v>2.9780265443867027E-2</v>
      </c>
      <c r="L100" s="26">
        <v>-7.7056273985201373E-2</v>
      </c>
      <c r="M100" s="26">
        <v>-5.863491366259245E-2</v>
      </c>
      <c r="N100" s="26">
        <v>-3.8283274451269757E-2</v>
      </c>
    </row>
    <row r="101" spans="2:14" x14ac:dyDescent="0.2">
      <c r="B101" s="111">
        <v>43434</v>
      </c>
      <c r="C101" s="26">
        <v>-3.162422916926564E-2</v>
      </c>
      <c r="D101" s="26">
        <v>-3.804468358787174E-2</v>
      </c>
      <c r="E101" s="26">
        <v>-4.5833181930545482E-2</v>
      </c>
      <c r="F101" s="26">
        <v>5.5608746452706664E-2</v>
      </c>
      <c r="G101" s="26">
        <v>8.6149136588083194E-2</v>
      </c>
      <c r="H101" s="26">
        <v>-5.4059246503190522E-2</v>
      </c>
      <c r="I101" s="26">
        <v>4.7477731580315825E-2</v>
      </c>
      <c r="J101" s="26">
        <v>-6.0844563931964982E-2</v>
      </c>
      <c r="K101" s="26">
        <v>1.2303604649667125E-2</v>
      </c>
      <c r="L101" s="26">
        <v>5.003197923925333E-3</v>
      </c>
      <c r="M101" s="26">
        <v>-5.3791176525551196E-2</v>
      </c>
      <c r="N101" s="26">
        <v>-2.2565942159410688E-2</v>
      </c>
    </row>
    <row r="102" spans="2:14" x14ac:dyDescent="0.2">
      <c r="B102" s="111">
        <v>43465</v>
      </c>
      <c r="C102" s="26">
        <v>-0.11266122007350593</v>
      </c>
      <c r="D102" s="26">
        <v>-0.11042264715843422</v>
      </c>
      <c r="E102" s="26">
        <v>-0.15769044525299172</v>
      </c>
      <c r="F102" s="26">
        <v>-6.8876702192612257E-2</v>
      </c>
      <c r="G102" s="26">
        <v>8.4541676659141314E-3</v>
      </c>
      <c r="H102" s="26">
        <v>1.4862581438098583E-2</v>
      </c>
      <c r="I102" s="26">
        <v>2.4630746097882801E-2</v>
      </c>
      <c r="J102" s="26">
        <v>-0.12087023160456214</v>
      </c>
      <c r="K102" s="26">
        <v>-5.1998409808389143E-2</v>
      </c>
      <c r="L102" s="26">
        <v>-7.0939666942628557E-2</v>
      </c>
      <c r="M102" s="26">
        <v>-6.0714232278999955E-2</v>
      </c>
      <c r="N102" s="26">
        <v>-5.6859189660262349E-2</v>
      </c>
    </row>
    <row r="103" spans="2:14" x14ac:dyDescent="0.2">
      <c r="B103" s="111">
        <v>43496</v>
      </c>
      <c r="C103" s="26">
        <v>0.19366375293611035</v>
      </c>
      <c r="D103" s="26">
        <v>3.7745601360445788E-2</v>
      </c>
      <c r="E103" s="26">
        <v>0.11152078483235742</v>
      </c>
      <c r="F103" s="26">
        <v>3.2352409352148899E-2</v>
      </c>
      <c r="G103" s="26">
        <v>0.11656667455813395</v>
      </c>
      <c r="H103" s="26">
        <v>8.1683365178252268E-2</v>
      </c>
      <c r="I103" s="26">
        <v>1.1863272089140767E-2</v>
      </c>
      <c r="J103" s="26">
        <v>0.13382227267467461</v>
      </c>
      <c r="K103" s="26">
        <v>2.1146256696327513E-3</v>
      </c>
      <c r="L103" s="26">
        <v>3.9517709747698096E-2</v>
      </c>
      <c r="M103" s="26">
        <v>5.283826690474424E-2</v>
      </c>
      <c r="N103" s="26">
        <v>6.748138094867849E-2</v>
      </c>
    </row>
    <row r="104" spans="2:14" x14ac:dyDescent="0.2">
      <c r="B104" s="111">
        <v>43524</v>
      </c>
      <c r="C104" s="26">
        <v>0.13350621611277785</v>
      </c>
      <c r="D104" s="26">
        <v>9.984118385921173E-2</v>
      </c>
      <c r="E104" s="26">
        <v>9.0381379190463018E-2</v>
      </c>
      <c r="F104" s="26">
        <v>4.4566859046251614E-2</v>
      </c>
      <c r="G104" s="26">
        <v>-5.2556167964764165E-2</v>
      </c>
      <c r="H104" s="26">
        <v>6.1784694054432376E-2</v>
      </c>
      <c r="I104" s="26">
        <v>4.4138016382190892E-2</v>
      </c>
      <c r="J104" s="26">
        <v>-2.619246384102359E-2</v>
      </c>
      <c r="K104" s="26">
        <v>-3.0598628877335585E-2</v>
      </c>
      <c r="L104" s="26">
        <v>0.102126297218261</v>
      </c>
      <c r="M104" s="26">
        <v>4.1892344470679611E-2</v>
      </c>
      <c r="N104" s="26">
        <v>9.1571215418371155E-2</v>
      </c>
    </row>
    <row r="105" spans="2:14" x14ac:dyDescent="0.2">
      <c r="B105" s="111">
        <v>43555</v>
      </c>
      <c r="C105" s="26">
        <v>3.7852184603828207E-2</v>
      </c>
      <c r="D105" s="26">
        <v>-5.4266883604973046E-2</v>
      </c>
      <c r="E105" s="26">
        <v>2.7566446269510526E-2</v>
      </c>
      <c r="F105" s="26">
        <v>3.5579877919829681E-2</v>
      </c>
      <c r="G105" s="26">
        <v>2.2640714321025589E-3</v>
      </c>
      <c r="H105" s="26">
        <v>5.930727305670723E-2</v>
      </c>
      <c r="I105" s="26">
        <v>5.6803162069649457E-2</v>
      </c>
      <c r="J105" s="26">
        <v>-2.1915979504560042E-2</v>
      </c>
      <c r="K105" s="26">
        <v>7.129231465835742E-2</v>
      </c>
      <c r="L105" s="26">
        <v>2.2215714690898961E-2</v>
      </c>
      <c r="M105" s="26">
        <v>-9.4018686638002655E-3</v>
      </c>
      <c r="N105" s="26">
        <v>3.3365168432989534E-2</v>
      </c>
    </row>
    <row r="106" spans="2:14" x14ac:dyDescent="0.2">
      <c r="B106" s="111">
        <v>43585</v>
      </c>
      <c r="C106" s="26">
        <v>3.3757404626097838E-2</v>
      </c>
      <c r="D106" s="26">
        <v>0.11358819416255575</v>
      </c>
      <c r="E106" s="26">
        <v>0</v>
      </c>
      <c r="F106" s="26">
        <v>4.9352032156664123E-2</v>
      </c>
      <c r="G106" s="26">
        <v>-5.6476156532637468E-3</v>
      </c>
      <c r="H106" s="26">
        <v>6.6304173067211328E-2</v>
      </c>
      <c r="I106" s="26">
        <v>-2.9062640789073679E-2</v>
      </c>
      <c r="J106" s="26">
        <v>3.242232696258078E-2</v>
      </c>
      <c r="K106" s="26">
        <v>-1.5874975082725475E-2</v>
      </c>
      <c r="L106" s="26">
        <v>7.8924698187145176E-2</v>
      </c>
      <c r="M106" s="26">
        <v>1.2907135143960644E-2</v>
      </c>
      <c r="N106" s="26">
        <v>3.8053306407182845E-2</v>
      </c>
    </row>
    <row r="107" spans="2:14" x14ac:dyDescent="0.2">
      <c r="B107" s="111">
        <v>43616</v>
      </c>
      <c r="C107" s="26">
        <v>-4.4301662139482584E-2</v>
      </c>
      <c r="D107" s="26">
        <v>-0.13856684958268861</v>
      </c>
      <c r="E107" s="26">
        <v>-7.4005560483784982E-2</v>
      </c>
      <c r="F107" s="26">
        <v>-9.4337803015110064E-3</v>
      </c>
      <c r="G107" s="26">
        <v>-5.7175330483087636E-2</v>
      </c>
      <c r="H107" s="26">
        <v>-5.1658393869286549E-2</v>
      </c>
      <c r="I107" s="26">
        <v>1.5771013593985986E-2</v>
      </c>
      <c r="J107" s="26">
        <v>-0.11344955264690919</v>
      </c>
      <c r="K107" s="26">
        <v>-6.7750626215119999E-2</v>
      </c>
      <c r="L107" s="26">
        <v>-3.2122963759512319E-2</v>
      </c>
      <c r="M107" s="26">
        <v>-5.8633782572024132E-2</v>
      </c>
      <c r="N107" s="26">
        <v>4.2480172854467702E-3</v>
      </c>
    </row>
    <row r="108" spans="2:14" x14ac:dyDescent="0.2">
      <c r="B108" s="111">
        <v>43646</v>
      </c>
      <c r="C108" s="26">
        <v>8.5495370201865317E-2</v>
      </c>
      <c r="D108" s="26">
        <v>9.6552604072725617E-2</v>
      </c>
      <c r="E108" s="26">
        <v>9.2407506792568886E-2</v>
      </c>
      <c r="F108" s="26">
        <v>7.2129673677273867E-2</v>
      </c>
      <c r="G108" s="26">
        <v>0.13424385536294758</v>
      </c>
      <c r="H108" s="26">
        <v>6.6240723630786202E-2</v>
      </c>
      <c r="I108" s="26">
        <v>2.6933045847585903E-2</v>
      </c>
      <c r="J108" s="26">
        <v>2.540803036693379E-2</v>
      </c>
      <c r="K108" s="26">
        <v>9.5087948422652752E-2</v>
      </c>
      <c r="L108" s="26">
        <v>0.12655392027156243</v>
      </c>
      <c r="M108" s="26">
        <v>5.6496842305153713E-2</v>
      </c>
      <c r="N108" s="26">
        <v>1.8087254953534197E-2</v>
      </c>
    </row>
    <row r="109" spans="2:14" x14ac:dyDescent="0.2">
      <c r="B109" s="111">
        <v>43677</v>
      </c>
      <c r="C109" s="26">
        <v>2.7109372866504659E-2</v>
      </c>
      <c r="D109" s="26">
        <v>9.9366528126943535E-3</v>
      </c>
      <c r="E109" s="26">
        <v>7.2599679111974527E-2</v>
      </c>
      <c r="F109" s="26">
        <v>5.2348875600901866E-2</v>
      </c>
      <c r="G109" s="26">
        <v>4.3478342995176063E-2</v>
      </c>
      <c r="H109" s="26">
        <v>8.8520739358834959E-3</v>
      </c>
      <c r="I109" s="26">
        <v>-1.8512958146998382E-2</v>
      </c>
      <c r="J109" s="26">
        <v>-2.4265198555531553E-2</v>
      </c>
      <c r="K109" s="26">
        <v>-5.9279862179785342E-3</v>
      </c>
      <c r="L109" s="26">
        <v>-2.1063395949365942E-2</v>
      </c>
      <c r="M109" s="26">
        <v>-3.2627481101579411E-2</v>
      </c>
      <c r="N109" s="26">
        <v>3.5309661175841708E-2</v>
      </c>
    </row>
    <row r="110" spans="2:14" x14ac:dyDescent="0.2">
      <c r="B110" s="111">
        <v>43708</v>
      </c>
      <c r="C110" s="26">
        <v>-2.1240051655959567E-2</v>
      </c>
      <c r="D110" s="26">
        <v>-2.7145651200726421E-2</v>
      </c>
      <c r="E110" s="26">
        <v>-5.2928413055467478E-2</v>
      </c>
      <c r="F110" s="26">
        <v>3.9030613095059799E-2</v>
      </c>
      <c r="G110" s="26">
        <v>-6.8246998562111411E-3</v>
      </c>
      <c r="H110" s="26">
        <v>-2.4505327168634967E-2</v>
      </c>
      <c r="I110" s="26">
        <v>0.10014734904942967</v>
      </c>
      <c r="J110" s="26">
        <v>3.2053907688412722E-2</v>
      </c>
      <c r="K110" s="26">
        <v>3.5250481477749528E-2</v>
      </c>
      <c r="L110" s="26">
        <v>-2.4589982006329558E-2</v>
      </c>
      <c r="M110" s="26">
        <v>-3.4973988435308849E-2</v>
      </c>
      <c r="N110" s="26">
        <v>6.7138835744288375E-2</v>
      </c>
    </row>
    <row r="111" spans="2:14" x14ac:dyDescent="0.2">
      <c r="B111" s="111">
        <v>43738</v>
      </c>
      <c r="C111" s="26">
        <v>-4.8986745961510175E-2</v>
      </c>
      <c r="D111" s="26">
        <v>8.8582911581809101E-2</v>
      </c>
      <c r="E111" s="26">
        <v>-9.6198088994713712E-3</v>
      </c>
      <c r="F111" s="26">
        <v>-7.8565218237992267E-3</v>
      </c>
      <c r="G111" s="26">
        <v>8.3544226124455209E-2</v>
      </c>
      <c r="H111" s="26">
        <v>2.0934017237598305E-2</v>
      </c>
      <c r="I111" s="26">
        <v>-5.9297613975242684E-2</v>
      </c>
      <c r="J111" s="26">
        <v>9.5858499176856172E-3</v>
      </c>
      <c r="K111" s="26">
        <v>8.8837549539842228E-2</v>
      </c>
      <c r="L111" s="26">
        <v>5.6984991069323601E-2</v>
      </c>
      <c r="M111" s="26">
        <v>5.4967542093338269E-2</v>
      </c>
      <c r="N111" s="26">
        <v>-6.8343663411198239E-3</v>
      </c>
    </row>
    <row r="112" spans="2:14" x14ac:dyDescent="0.2">
      <c r="B112" s="111">
        <v>43769</v>
      </c>
      <c r="C112" s="26">
        <v>7.7348995771126819E-2</v>
      </c>
      <c r="D112" s="26">
        <v>4.790690838836785E-2</v>
      </c>
      <c r="E112" s="26">
        <v>-6.6142634056145441E-2</v>
      </c>
      <c r="F112" s="26">
        <v>-7.9930736320595566E-2</v>
      </c>
      <c r="G112" s="26">
        <v>1.0014070722641026E-3</v>
      </c>
      <c r="H112" s="26">
        <v>1.7350058175995622E-2</v>
      </c>
      <c r="I112" s="26">
        <v>1.2851859367130073E-2</v>
      </c>
      <c r="J112" s="26">
        <v>-0.13102924813471734</v>
      </c>
      <c r="K112" s="26">
        <v>-2.868566647046961E-2</v>
      </c>
      <c r="L112" s="26">
        <v>3.4285914803606078E-2</v>
      </c>
      <c r="M112" s="26">
        <v>-1.7569677648912622E-3</v>
      </c>
      <c r="N112" s="26">
        <v>1.8012512284316027E-2</v>
      </c>
    </row>
    <row r="113" spans="2:14" x14ac:dyDescent="0.2">
      <c r="B113" s="111">
        <v>43799</v>
      </c>
      <c r="C113" s="26">
        <v>3.8779030021636102E-2</v>
      </c>
      <c r="D113" s="26">
        <v>8.8870004930809418E-2</v>
      </c>
      <c r="E113" s="26">
        <v>6.3397844062563047E-2</v>
      </c>
      <c r="F113" s="26">
        <v>4.8413713629867437E-3</v>
      </c>
      <c r="G113" s="26">
        <v>-4.2347501913573643E-2</v>
      </c>
      <c r="H113" s="26">
        <v>5.426341300784987E-2</v>
      </c>
      <c r="I113" s="26">
        <v>7.2508887558084762E-3</v>
      </c>
      <c r="J113" s="26">
        <v>-5.0371545356685497E-2</v>
      </c>
      <c r="K113" s="26">
        <v>2.2875857789250095E-2</v>
      </c>
      <c r="L113" s="26">
        <v>5.212580654326323E-2</v>
      </c>
      <c r="M113" s="26">
        <v>1.0713939785197394E-2</v>
      </c>
      <c r="N113" s="26">
        <v>-1.6103085809720294E-2</v>
      </c>
    </row>
    <row r="114" spans="2:14" x14ac:dyDescent="0.2">
      <c r="B114" s="111">
        <v>43830</v>
      </c>
      <c r="C114" s="26">
        <v>-2.1889037834855702E-2</v>
      </c>
      <c r="D114" s="26">
        <v>3.6492007847629584E-2</v>
      </c>
      <c r="E114" s="26">
        <v>1.4438767525655536E-2</v>
      </c>
      <c r="F114" s="26">
        <v>-1.097435352426925E-2</v>
      </c>
      <c r="G114" s="26">
        <v>2.7854229952352272E-3</v>
      </c>
      <c r="H114" s="26">
        <v>-2.0293965110995193E-2</v>
      </c>
      <c r="I114" s="26">
        <v>-3.2518369390510303E-2</v>
      </c>
      <c r="J114" s="26">
        <v>-2.9340776049666888E-2</v>
      </c>
      <c r="K114" s="26">
        <v>6.0466390027673754E-2</v>
      </c>
      <c r="L114" s="26">
        <v>4.4520380940248232E-2</v>
      </c>
      <c r="M114" s="26">
        <v>3.2745613777142218E-2</v>
      </c>
      <c r="N114" s="26">
        <v>7.9783759628394586E-3</v>
      </c>
    </row>
    <row r="115" spans="2:14" x14ac:dyDescent="0.2">
      <c r="B115" s="111">
        <v>43861</v>
      </c>
      <c r="C115" s="26">
        <v>2.1152681367366331E-2</v>
      </c>
      <c r="D115" s="26">
        <v>-9.0573594116093878E-2</v>
      </c>
      <c r="E115" s="26">
        <v>3.1680452404552979E-2</v>
      </c>
      <c r="F115" s="26">
        <v>-2.0297693528289199E-2</v>
      </c>
      <c r="G115" s="26">
        <v>8.0555809391233857E-2</v>
      </c>
      <c r="H115" s="26">
        <v>1.5610958068146807E-2</v>
      </c>
      <c r="I115" s="26">
        <v>-1.8193237545101961E-2</v>
      </c>
      <c r="J115" s="26">
        <v>-0.16441441441441587</v>
      </c>
      <c r="K115" s="26">
        <v>-2.9792584362595027E-2</v>
      </c>
      <c r="L115" s="26">
        <v>-1.0710341135607071E-2</v>
      </c>
      <c r="M115" s="26">
        <v>-0.10274394587864175</v>
      </c>
      <c r="N115" s="26">
        <v>1.2121300281355819E-2</v>
      </c>
    </row>
    <row r="116" spans="2:14" x14ac:dyDescent="0.2">
      <c r="B116" s="111">
        <v>43890</v>
      </c>
      <c r="C116" s="26">
        <v>-0.18868216366391899</v>
      </c>
      <c r="D116" s="26">
        <v>-8.8666833354337074E-2</v>
      </c>
      <c r="E116" s="26">
        <v>-0.11686691193689584</v>
      </c>
      <c r="F116" s="26">
        <v>-0.11988945416301365</v>
      </c>
      <c r="G116" s="26">
        <v>-3.4061889831353755E-2</v>
      </c>
      <c r="H116" s="26">
        <v>-6.8873796530546996E-2</v>
      </c>
      <c r="I116" s="26">
        <v>-6.453687768280858E-2</v>
      </c>
      <c r="J116" s="26">
        <v>-0.24826207103716322</v>
      </c>
      <c r="K116" s="26">
        <v>-3.4732595179123645E-2</v>
      </c>
      <c r="L116" s="26">
        <v>-2.2074161332564764E-4</v>
      </c>
      <c r="M116" s="26">
        <v>-0.11905134725891428</v>
      </c>
      <c r="N116" s="26">
        <v>-9.2016012686121376E-2</v>
      </c>
    </row>
    <row r="117" spans="2:14" x14ac:dyDescent="0.2">
      <c r="B117" s="111">
        <v>43921</v>
      </c>
      <c r="C117" s="26">
        <v>-0.45106382368030196</v>
      </c>
      <c r="D117" s="26">
        <v>-0.37170258956443919</v>
      </c>
      <c r="E117" s="26">
        <v>-0.22394690126708786</v>
      </c>
      <c r="F117" s="26">
        <v>-7.9723778488272265E-2</v>
      </c>
      <c r="G117" s="26">
        <v>-0.37378579558260916</v>
      </c>
      <c r="H117" s="26">
        <v>-1.9048046167435577E-3</v>
      </c>
      <c r="I117" s="26">
        <v>-0.1157785038884262</v>
      </c>
      <c r="J117" s="26">
        <v>-0.33164757986668414</v>
      </c>
      <c r="K117" s="26">
        <v>-4.5156647156403412E-2</v>
      </c>
      <c r="L117" s="26">
        <v>-0.13171274237031017</v>
      </c>
      <c r="M117" s="26">
        <v>-7.7905378699617472E-2</v>
      </c>
      <c r="N117" s="26">
        <v>-0.17124655878771994</v>
      </c>
    </row>
    <row r="118" spans="2:14" x14ac:dyDescent="0.2">
      <c r="B118" s="111">
        <v>43951</v>
      </c>
      <c r="C118" s="26">
        <v>-2.4603890009327601E-2</v>
      </c>
      <c r="D118" s="26">
        <v>4.2348156765712096E-2</v>
      </c>
      <c r="E118" s="26">
        <v>0.11350650429409738</v>
      </c>
      <c r="F118" s="26">
        <v>7.8785728124324342E-2</v>
      </c>
      <c r="G118" s="26">
        <v>5.227391477201556E-2</v>
      </c>
      <c r="H118" s="26">
        <v>6.4538264406494308E-2</v>
      </c>
      <c r="I118" s="26">
        <v>7.4546060069790504E-2</v>
      </c>
      <c r="J118" s="26">
        <v>2.247594924434896E-2</v>
      </c>
      <c r="K118" s="26">
        <v>0.11292733295738283</v>
      </c>
      <c r="L118" s="26">
        <v>6.2102297475368454E-2</v>
      </c>
      <c r="M118" s="26">
        <v>-5.1778310852745001E-2</v>
      </c>
      <c r="N118" s="26">
        <v>-9.28379585038752E-3</v>
      </c>
    </row>
    <row r="119" spans="2:14" x14ac:dyDescent="0.2">
      <c r="B119" s="111">
        <v>43982</v>
      </c>
      <c r="C119" s="26">
        <v>-2.0387009966099132E-2</v>
      </c>
      <c r="D119" s="26">
        <v>0.12484744223318892</v>
      </c>
      <c r="E119" s="26">
        <v>7.4177739720264341E-2</v>
      </c>
      <c r="F119" s="26">
        <v>-2.6873203810255489E-2</v>
      </c>
      <c r="G119" s="26">
        <v>7.3808500744179759E-2</v>
      </c>
      <c r="H119" s="26">
        <v>0.12480028281986724</v>
      </c>
      <c r="I119" s="26">
        <v>7.1889683585519958E-3</v>
      </c>
      <c r="J119" s="26">
        <v>0.11592827986281305</v>
      </c>
      <c r="K119" s="26">
        <v>-1.8611886603384378E-2</v>
      </c>
      <c r="L119" s="26">
        <v>6.9254515806647793E-2</v>
      </c>
      <c r="M119" s="26">
        <v>2.3592355119668652E-2</v>
      </c>
      <c r="N119" s="26">
        <v>0.11164659443736272</v>
      </c>
    </row>
    <row r="120" spans="2:14" x14ac:dyDescent="0.2">
      <c r="B120" s="111">
        <v>44012</v>
      </c>
      <c r="C120" s="26">
        <v>0.12028223413806392</v>
      </c>
      <c r="D120" s="26">
        <v>9.6574077846282899E-2</v>
      </c>
      <c r="E120" s="26">
        <v>0.10694911921851204</v>
      </c>
      <c r="F120" s="26">
        <v>0</v>
      </c>
      <c r="G120" s="26">
        <v>3.4320602793289225E-2</v>
      </c>
      <c r="H120" s="26">
        <v>-5.3490446024265122E-3</v>
      </c>
      <c r="I120" s="26">
        <v>-3.5672492794897921E-4</v>
      </c>
      <c r="J120" s="26">
        <v>0.117545153112359</v>
      </c>
      <c r="K120" s="26">
        <v>7.3775450984450347E-2</v>
      </c>
      <c r="L120" s="26">
        <v>0.14425187122252625</v>
      </c>
      <c r="M120" s="26">
        <v>1.040884169444195E-2</v>
      </c>
      <c r="N120" s="26">
        <v>-1.2524087473148336E-2</v>
      </c>
    </row>
    <row r="121" spans="2:14" x14ac:dyDescent="0.2">
      <c r="B121" s="111">
        <v>44043</v>
      </c>
      <c r="C121" s="26">
        <v>-2.3772135799788381E-2</v>
      </c>
      <c r="D121" s="26">
        <v>-3.548194975606004E-2</v>
      </c>
      <c r="E121" s="26">
        <v>8.9783975119990908E-2</v>
      </c>
      <c r="F121" s="26">
        <v>-8.1546437070834962E-2</v>
      </c>
      <c r="G121" s="26">
        <v>2.6363557750732104E-2</v>
      </c>
      <c r="H121" s="26">
        <v>-7.7440082188216575E-2</v>
      </c>
      <c r="I121" s="26">
        <v>4.2484871524983495E-2</v>
      </c>
      <c r="J121" s="26">
        <v>-0.11182464520463431</v>
      </c>
      <c r="K121" s="26">
        <v>-2.3166009306892887E-2</v>
      </c>
      <c r="L121" s="26">
        <v>-6.4724768053670435E-3</v>
      </c>
      <c r="M121" s="26">
        <v>-6.0557650432168895E-2</v>
      </c>
      <c r="N121" s="26">
        <v>-9.9013460536156436E-2</v>
      </c>
    </row>
    <row r="122" spans="2:14" x14ac:dyDescent="0.2">
      <c r="B122" s="111">
        <v>44074</v>
      </c>
      <c r="C122" s="26">
        <v>0.11014347969010857</v>
      </c>
      <c r="D122" s="26">
        <v>7.1815972800597275E-2</v>
      </c>
      <c r="E122" s="26">
        <v>5.9360634186238888E-2</v>
      </c>
      <c r="F122" s="26">
        <v>9.0191991259468193E-3</v>
      </c>
      <c r="G122" s="26">
        <v>3.2329464267558686E-2</v>
      </c>
      <c r="H122" s="26">
        <v>4.8382469205364938E-2</v>
      </c>
      <c r="I122" s="26">
        <v>-8.8728329881637112E-3</v>
      </c>
      <c r="J122" s="26">
        <v>0.18873101994858127</v>
      </c>
      <c r="K122" s="26">
        <v>-4.1558304117310256E-2</v>
      </c>
      <c r="L122" s="26">
        <v>5.6087165961749855E-2</v>
      </c>
      <c r="M122" s="26">
        <v>5.7508015826313229E-2</v>
      </c>
      <c r="N122" s="26">
        <v>7.9395598073271734E-2</v>
      </c>
    </row>
    <row r="123" spans="2:14" x14ac:dyDescent="0.2">
      <c r="B123" s="111">
        <v>44104</v>
      </c>
      <c r="C123" s="26">
        <v>-9.8343927800504716E-2</v>
      </c>
      <c r="D123" s="26">
        <v>-0.15287845662115998</v>
      </c>
      <c r="E123" s="26">
        <v>-5.3879216713671962E-2</v>
      </c>
      <c r="F123" s="26">
        <v>2.1779493647023024E-3</v>
      </c>
      <c r="G123" s="26">
        <v>-2.0162909379871592E-2</v>
      </c>
      <c r="H123" s="26">
        <v>2.3352722525107266E-2</v>
      </c>
      <c r="I123" s="26">
        <v>-5.1219366654693128E-2</v>
      </c>
      <c r="J123" s="26">
        <v>-6.9001696182016417E-2</v>
      </c>
      <c r="K123" s="26">
        <v>5.4199259560867357E-3</v>
      </c>
      <c r="L123" s="26">
        <v>2.2168680077400055E-2</v>
      </c>
      <c r="M123" s="26">
        <v>-0.1178247755857196</v>
      </c>
      <c r="N123" s="26">
        <v>-8.9844843605732652E-2</v>
      </c>
    </row>
    <row r="124" spans="2:14" x14ac:dyDescent="0.2">
      <c r="B124" s="111">
        <v>44135</v>
      </c>
      <c r="C124" s="26">
        <v>8.3777107588981735E-3</v>
      </c>
      <c r="D124" s="26">
        <v>-3.6158231758204047E-2</v>
      </c>
      <c r="E124" s="26">
        <v>-9.6674196562721026E-2</v>
      </c>
      <c r="F124" s="26">
        <v>-0.14161542160117133</v>
      </c>
      <c r="G124" s="26">
        <v>-9.0630424981447494E-2</v>
      </c>
      <c r="H124" s="26">
        <v>8.530299050297506E-2</v>
      </c>
      <c r="I124" s="26">
        <v>1.6525885781581644E-2</v>
      </c>
      <c r="J124" s="26">
        <v>-4.2351933572071801E-2</v>
      </c>
      <c r="K124" s="26">
        <v>-9.3284929756160845E-2</v>
      </c>
      <c r="L124" s="26">
        <v>-1.7444684863623793E-2</v>
      </c>
      <c r="M124" s="26">
        <v>-9.5178737817550499E-2</v>
      </c>
      <c r="N124" s="26">
        <v>-5.173383330909663E-2</v>
      </c>
    </row>
    <row r="125" spans="2:14" x14ac:dyDescent="0.2">
      <c r="B125" s="111">
        <v>44165</v>
      </c>
      <c r="C125" s="26">
        <v>0.40166164765774698</v>
      </c>
      <c r="D125" s="26">
        <v>0.43912256900193219</v>
      </c>
      <c r="E125" s="26">
        <v>0.17308850862981559</v>
      </c>
      <c r="F125" s="26">
        <v>0.13628695119959625</v>
      </c>
      <c r="G125" s="26">
        <v>0.1911411069457809</v>
      </c>
      <c r="H125" s="26">
        <v>2.3028681282688698E-2</v>
      </c>
      <c r="I125" s="26">
        <v>0.1560692183239405</v>
      </c>
      <c r="J125" s="26">
        <v>0.56927796511952233</v>
      </c>
      <c r="K125" s="26">
        <v>9.486877236493417E-2</v>
      </c>
      <c r="L125" s="26">
        <v>0.11948188484454211</v>
      </c>
      <c r="M125" s="26">
        <v>0.3874903259932661</v>
      </c>
      <c r="N125" s="26">
        <v>0.26069027221591173</v>
      </c>
    </row>
    <row r="126" spans="2:14" x14ac:dyDescent="0.2">
      <c r="B126" s="111">
        <v>44196</v>
      </c>
      <c r="C126" s="26">
        <v>2.3366994987468269E-2</v>
      </c>
      <c r="D126" s="26">
        <v>3.2582262189068587E-3</v>
      </c>
      <c r="E126" s="26">
        <v>9.0283775363438762E-2</v>
      </c>
      <c r="F126" s="26">
        <v>-1.8566173671493858E-3</v>
      </c>
      <c r="G126" s="26">
        <v>1.2126076246981907E-2</v>
      </c>
      <c r="H126" s="26">
        <v>7.609490091432744E-2</v>
      </c>
      <c r="I126" s="26">
        <v>-1.9999809177823364E-2</v>
      </c>
      <c r="J126" s="26">
        <v>7.2103017494254101E-2</v>
      </c>
      <c r="K126" s="26">
        <v>-7.0947721581989032E-2</v>
      </c>
      <c r="L126" s="26">
        <v>1.4144808961710073E-2</v>
      </c>
      <c r="M126" s="26">
        <v>-1.4654427141877757E-2</v>
      </c>
      <c r="N126" s="26">
        <v>-4.8421241987355965E-2</v>
      </c>
    </row>
    <row r="127" spans="2:14" x14ac:dyDescent="0.2">
      <c r="B127" s="111">
        <v>44227</v>
      </c>
      <c r="C127" s="26">
        <v>-7.3290190374511871E-2</v>
      </c>
      <c r="D127" s="26">
        <v>-7.7137084895726418E-2</v>
      </c>
      <c r="E127" s="26">
        <v>-5.7571018365494803E-2</v>
      </c>
      <c r="F127" s="26">
        <v>2.2321436429643696E-2</v>
      </c>
      <c r="G127" s="26">
        <v>2.3961592397553036E-2</v>
      </c>
      <c r="H127" s="26">
        <v>-4.2064521009235516E-2</v>
      </c>
      <c r="I127" s="26">
        <v>2.4404464154824277E-3</v>
      </c>
      <c r="J127" s="26">
        <v>-1.4541146902907743E-2</v>
      </c>
      <c r="K127" s="26">
        <v>-1.9695186468997268E-2</v>
      </c>
      <c r="L127" s="26">
        <v>2.2400611675024881E-2</v>
      </c>
      <c r="M127" s="26">
        <v>-1.1473038480339846E-2</v>
      </c>
      <c r="N127" s="26">
        <v>-5.8750984029133618E-2</v>
      </c>
    </row>
    <row r="128" spans="2:14" x14ac:dyDescent="0.2">
      <c r="B128" s="111">
        <v>44255</v>
      </c>
      <c r="C128" s="26">
        <v>0.15276438731295683</v>
      </c>
      <c r="D128" s="26">
        <v>0.23868775733074812</v>
      </c>
      <c r="E128" s="26">
        <v>0.11422590741305387</v>
      </c>
      <c r="F128" s="26">
        <v>2.7292442333818508E-2</v>
      </c>
      <c r="G128" s="26">
        <v>-5.7332372419591493E-2</v>
      </c>
      <c r="H128" s="26">
        <v>9.565624467383374E-2</v>
      </c>
      <c r="I128" s="26">
        <v>1.059726421815485E-2</v>
      </c>
      <c r="J128" s="26">
        <v>5.3490183457934173E-2</v>
      </c>
      <c r="K128" s="26">
        <v>-1.7498308281968002E-2</v>
      </c>
      <c r="L128" s="26">
        <v>1.5709045470994599E-2</v>
      </c>
      <c r="M128" s="26">
        <v>0.12068085679823737</v>
      </c>
      <c r="N128" s="26">
        <v>0.12353087025464711</v>
      </c>
    </row>
    <row r="129" spans="2:14" x14ac:dyDescent="0.2">
      <c r="B129" s="111">
        <v>44286</v>
      </c>
      <c r="C129" s="26">
        <v>6.5687117746360841E-3</v>
      </c>
      <c r="D129" s="26">
        <v>5.2866665257517674E-2</v>
      </c>
      <c r="E129" s="26">
        <v>8.9748556692245796E-2</v>
      </c>
      <c r="F129" s="26">
        <v>3.6131847734943913E-2</v>
      </c>
      <c r="G129" s="26">
        <v>1.6549473566415075E-3</v>
      </c>
      <c r="H129" s="26">
        <v>2.2530361350217964E-2</v>
      </c>
      <c r="I129" s="26">
        <v>1.7159208188136672E-2</v>
      </c>
      <c r="J129" s="26">
        <v>-5.2524239765759234E-3</v>
      </c>
      <c r="K129" s="26">
        <v>0.11147753368525994</v>
      </c>
      <c r="L129" s="26">
        <v>6.0236144992723083E-2</v>
      </c>
      <c r="M129" s="26">
        <v>3.6482241321248297E-2</v>
      </c>
      <c r="N129" s="26">
        <v>1.5341670666577489E-2</v>
      </c>
    </row>
    <row r="130" spans="2:14" x14ac:dyDescent="0.2">
      <c r="B130" s="111">
        <v>44316</v>
      </c>
      <c r="C130" s="26">
        <v>3.5218572854671462E-2</v>
      </c>
      <c r="D130" s="26">
        <v>2.910568828303816E-2</v>
      </c>
      <c r="E130" s="26">
        <v>5.0309933684951985E-2</v>
      </c>
      <c r="F130" s="26">
        <v>2.2222956568334691E-3</v>
      </c>
      <c r="G130" s="26">
        <v>2.189196721709618E-2</v>
      </c>
      <c r="H130" s="26">
        <v>0.10772117644044073</v>
      </c>
      <c r="I130" s="26">
        <v>6.6541625208807506E-2</v>
      </c>
      <c r="J130" s="26">
        <v>-9.2201524408636049E-2</v>
      </c>
      <c r="K130" s="26">
        <v>3.5845753859127194E-2</v>
      </c>
      <c r="L130" s="26">
        <v>2.1266760083875291E-2</v>
      </c>
      <c r="M130" s="26">
        <v>-5.8660370260020675E-2</v>
      </c>
      <c r="N130" s="26">
        <v>4.6245396293895256E-2</v>
      </c>
    </row>
    <row r="131" spans="2:14" x14ac:dyDescent="0.2">
      <c r="B131" s="111">
        <v>44347</v>
      </c>
      <c r="C131" s="26">
        <v>6.7240344533522345E-2</v>
      </c>
      <c r="D131" s="26">
        <v>4.6075919478631162E-2</v>
      </c>
      <c r="E131" s="26">
        <v>1.6405349200311989E-3</v>
      </c>
      <c r="F131" s="26">
        <v>-5.6286561112778811E-3</v>
      </c>
      <c r="G131" s="26">
        <v>-1.778510798513486E-2</v>
      </c>
      <c r="H131" s="26">
        <v>0.10392717779658056</v>
      </c>
      <c r="I131" s="26">
        <v>5.5360161028491894E-2</v>
      </c>
      <c r="J131" s="26">
        <v>9.246770638338668E-3</v>
      </c>
      <c r="K131" s="26">
        <v>-3.4376048984030181E-3</v>
      </c>
      <c r="L131" s="26">
        <v>-2.721404727842678E-2</v>
      </c>
      <c r="M131" s="26">
        <v>2.9327778226589579E-2</v>
      </c>
      <c r="N131" s="26">
        <v>3.966344805480989E-2</v>
      </c>
    </row>
    <row r="132" spans="2:14" x14ac:dyDescent="0.2">
      <c r="B132" s="111">
        <v>44377</v>
      </c>
      <c r="C132" s="26">
        <v>1.668852761713906E-2</v>
      </c>
      <c r="D132" s="26">
        <v>-3.4297346414708718E-2</v>
      </c>
      <c r="E132" s="26">
        <v>6.1251068736111317E-2</v>
      </c>
      <c r="F132" s="26">
        <v>5.2879931320027537E-2</v>
      </c>
      <c r="G132" s="26">
        <v>-9.0975853452390319E-3</v>
      </c>
      <c r="H132" s="26">
        <v>6.8986458385240548E-2</v>
      </c>
      <c r="I132" s="26">
        <v>3.9134237877624677E-2</v>
      </c>
      <c r="J132" s="26">
        <v>7.3887689770862873E-3</v>
      </c>
      <c r="K132" s="26">
        <v>5.5069007428279845E-2</v>
      </c>
      <c r="L132" s="26">
        <v>4.548905072382551E-2</v>
      </c>
      <c r="M132" s="26">
        <v>6.5953625692876817E-3</v>
      </c>
      <c r="N132" s="26">
        <v>-3.1532477602184673E-2</v>
      </c>
    </row>
    <row r="133" spans="2:14" x14ac:dyDescent="0.2">
      <c r="B133" s="111">
        <v>44408</v>
      </c>
      <c r="C133" s="26">
        <v>6.6949399233455456E-2</v>
      </c>
      <c r="D133" s="26">
        <v>-2.6858226740878358E-2</v>
      </c>
      <c r="E133" s="26">
        <v>0.13956197158270248</v>
      </c>
      <c r="F133" s="26">
        <v>4.5309107123704687E-2</v>
      </c>
      <c r="G133" s="26">
        <v>-2.6138220717119898E-2</v>
      </c>
      <c r="H133" s="26">
        <v>4.9247051550433414E-2</v>
      </c>
      <c r="I133" s="26">
        <v>-5.876047395743325E-3</v>
      </c>
      <c r="J133" s="26">
        <v>-6.0437064250596556E-2</v>
      </c>
      <c r="K133" s="26">
        <v>-1.6749630621191849E-2</v>
      </c>
      <c r="L133" s="26">
        <v>6.496849860705825E-2</v>
      </c>
      <c r="M133" s="26">
        <v>-2.2013057894687639E-2</v>
      </c>
      <c r="N133" s="26">
        <v>-8.6674777587999758E-3</v>
      </c>
    </row>
    <row r="134" spans="2:14" x14ac:dyDescent="0.2">
      <c r="B134" s="111">
        <v>44439</v>
      </c>
      <c r="C134" s="26">
        <v>0</v>
      </c>
      <c r="D134" s="26">
        <v>4.4314745781114412E-2</v>
      </c>
      <c r="E134" s="26">
        <v>4.3347051199375507E-2</v>
      </c>
      <c r="F134" s="26">
        <v>-3.0615862435523062E-3</v>
      </c>
      <c r="G134" s="26">
        <v>7.8208288110077948E-2</v>
      </c>
      <c r="H134" s="26">
        <v>-3.4523047973176506E-2</v>
      </c>
      <c r="I134" s="26">
        <v>-3.6835570851227899E-2</v>
      </c>
      <c r="J134" s="26">
        <v>-1.7954734969932516E-2</v>
      </c>
      <c r="K134" s="26">
        <v>8.517479953642753E-3</v>
      </c>
      <c r="L134" s="26">
        <v>7.0771364250083291E-2</v>
      </c>
      <c r="M134" s="26">
        <v>1.757495423171624E-2</v>
      </c>
      <c r="N134" s="26">
        <v>1.8831806246602849E-2</v>
      </c>
    </row>
    <row r="135" spans="2:14" x14ac:dyDescent="0.2">
      <c r="B135" s="111">
        <v>44469</v>
      </c>
      <c r="C135" s="26">
        <v>-5.1858107106769139E-3</v>
      </c>
      <c r="D135" s="26">
        <v>3.1825809498043395E-2</v>
      </c>
      <c r="E135" s="26">
        <v>-5.2590039134686094E-2</v>
      </c>
      <c r="F135" s="26">
        <v>-4.5579387168968769E-2</v>
      </c>
      <c r="G135" s="26">
        <v>-6.5117152584053886E-2</v>
      </c>
      <c r="H135" s="26">
        <v>-3.8569622559831436E-2</v>
      </c>
      <c r="I135" s="26">
        <v>7.1649267853479928E-2</v>
      </c>
      <c r="J135" s="26">
        <v>-1.7647015349756996E-2</v>
      </c>
      <c r="K135" s="26">
        <v>-5.1814751580877033E-2</v>
      </c>
      <c r="L135" s="26">
        <v>-4.8909564368548999E-2</v>
      </c>
      <c r="M135" s="26">
        <v>0.10684144618267857</v>
      </c>
      <c r="N135" s="26">
        <v>-8.141675655956155E-3</v>
      </c>
    </row>
    <row r="136" spans="2:14" x14ac:dyDescent="0.2">
      <c r="B136" s="111">
        <v>44500</v>
      </c>
      <c r="C136" s="26">
        <v>-3.9096503827288243E-2</v>
      </c>
      <c r="D136" s="26">
        <v>7.3831425769910516E-2</v>
      </c>
      <c r="E136" s="26">
        <v>0.11740217837123507</v>
      </c>
      <c r="F136" s="26">
        <v>-4.5724033615454955E-2</v>
      </c>
      <c r="G136" s="26">
        <v>8.4112322222337832E-2</v>
      </c>
      <c r="H136" s="26">
        <v>0.14542421996233992</v>
      </c>
      <c r="I136" s="26">
        <v>4.1950737858946534E-2</v>
      </c>
      <c r="J136" s="26">
        <v>5.3405302222378076E-3</v>
      </c>
      <c r="K136" s="26">
        <v>4.0322563265046567E-2</v>
      </c>
      <c r="L136" s="26">
        <v>3.4746392724147528E-2</v>
      </c>
      <c r="M136" s="26">
        <v>6.785474111338051E-2</v>
      </c>
      <c r="N136" s="26">
        <v>2.4625718570791384E-2</v>
      </c>
    </row>
    <row r="137" spans="2:14" x14ac:dyDescent="0.2">
      <c r="B137" s="111">
        <v>44530</v>
      </c>
      <c r="C137" s="26">
        <v>-0.1074139981354571</v>
      </c>
      <c r="D137" s="26">
        <v>-4.8704561093718783E-2</v>
      </c>
      <c r="E137" s="26">
        <v>1.390961418084774E-2</v>
      </c>
      <c r="F137" s="26">
        <v>-7.7373420817805114E-2</v>
      </c>
      <c r="G137" s="26">
        <v>4.1802236981207296E-2</v>
      </c>
      <c r="H137" s="26">
        <v>0.20612921408371984</v>
      </c>
      <c r="I137" s="26">
        <v>1.9124392747536696E-2</v>
      </c>
      <c r="J137" s="26">
        <v>-8.3708916123752197E-2</v>
      </c>
      <c r="K137" s="26">
        <v>-2.9734946807474825E-2</v>
      </c>
      <c r="L137" s="26">
        <v>4.9160611691318447E-2</v>
      </c>
      <c r="M137" s="26">
        <v>-6.3638280070752146E-2</v>
      </c>
      <c r="N137" s="26">
        <v>-9.4294731961588496E-2</v>
      </c>
    </row>
    <row r="138" spans="2:14" x14ac:dyDescent="0.2">
      <c r="B138" s="111">
        <v>44561</v>
      </c>
      <c r="C138" s="26">
        <v>0.13816852623536174</v>
      </c>
      <c r="D138" s="26">
        <v>0.10330412423086453</v>
      </c>
      <c r="E138" s="26">
        <v>5.585488263010166E-2</v>
      </c>
      <c r="F138" s="26">
        <v>5.0009523356029074E-2</v>
      </c>
      <c r="G138" s="26">
        <v>1.5924939920580066E-2</v>
      </c>
      <c r="H138" s="26">
        <v>-7.0780469779523958E-2</v>
      </c>
      <c r="I138" s="26">
        <v>5.332965437222386E-2</v>
      </c>
      <c r="J138" s="26">
        <v>7.3260773180015393E-2</v>
      </c>
      <c r="K138" s="26">
        <v>5.6284142738370298E-2</v>
      </c>
      <c r="L138" s="26">
        <v>0.10395594779652084</v>
      </c>
      <c r="M138" s="26">
        <v>9.8990441079434513E-2</v>
      </c>
      <c r="N138" s="26">
        <v>0.11824764389765464</v>
      </c>
    </row>
    <row r="139" spans="2:14" x14ac:dyDescent="0.2">
      <c r="B139" s="111">
        <v>44592</v>
      </c>
      <c r="C139" s="26">
        <v>-2.1360434551246079E-3</v>
      </c>
      <c r="D139" s="26">
        <v>3.6695722230189097E-2</v>
      </c>
      <c r="E139" s="26">
        <v>-8.3758737361122507E-2</v>
      </c>
      <c r="F139" s="26">
        <v>1.209011338024193E-2</v>
      </c>
      <c r="G139" s="26">
        <v>4.1493860316311228E-2</v>
      </c>
      <c r="H139" s="26">
        <v>-0.14160156024964954</v>
      </c>
      <c r="I139" s="26">
        <v>-0.10638295462570706</v>
      </c>
      <c r="J139" s="26">
        <v>0.14306759433240723</v>
      </c>
      <c r="K139" s="26">
        <v>4.7076149812997167E-2</v>
      </c>
      <c r="L139" s="26">
        <v>-0.13394416248789628</v>
      </c>
      <c r="M139" s="26">
        <v>0.12525179114172424</v>
      </c>
      <c r="N139" s="26">
        <v>4.0361622005370391E-2</v>
      </c>
    </row>
    <row r="140" spans="2:14" x14ac:dyDescent="0.2">
      <c r="B140" s="111">
        <v>44620</v>
      </c>
      <c r="C140" s="26">
        <v>2.4794921364379087E-2</v>
      </c>
      <c r="D140" s="26">
        <v>-0.16650790874163193</v>
      </c>
      <c r="E140" s="26">
        <v>-4.6340721876499631E-2</v>
      </c>
      <c r="F140" s="26">
        <v>-1.7013554171721214E-2</v>
      </c>
      <c r="G140" s="26">
        <v>5.2678132570977122E-2</v>
      </c>
      <c r="H140" s="26">
        <v>-5.8020421861587228E-2</v>
      </c>
      <c r="I140" s="26">
        <v>3.5185136231774841E-2</v>
      </c>
      <c r="J140" s="26">
        <v>-0.18258623414329028</v>
      </c>
      <c r="K140" s="26">
        <v>7.7628891313966508E-3</v>
      </c>
      <c r="L140" s="26">
        <v>-6.4140454092825747E-2</v>
      </c>
      <c r="M140" s="26">
        <v>-7.8567996985798083E-2</v>
      </c>
      <c r="N140" s="26">
        <v>-2.2139547341537471E-2</v>
      </c>
    </row>
    <row r="141" spans="2:14" x14ac:dyDescent="0.2">
      <c r="B141" s="111">
        <v>44651</v>
      </c>
      <c r="C141" s="26">
        <v>-3.9512622019494716E-2</v>
      </c>
      <c r="D141" s="26">
        <v>-1.1045487337595921E-2</v>
      </c>
      <c r="E141" s="26">
        <v>7.5411594080562028E-2</v>
      </c>
      <c r="F141" s="26">
        <v>-7.8806956209386311E-2</v>
      </c>
      <c r="G141" s="26">
        <v>-0.16358284145793717</v>
      </c>
      <c r="H141" s="26">
        <v>4.2020542643586109E-2</v>
      </c>
      <c r="I141" s="26">
        <v>1.8655871906912029E-2</v>
      </c>
      <c r="J141" s="26">
        <v>-0.16345488434502159</v>
      </c>
      <c r="K141" s="26">
        <v>-1.0270628223430172E-2</v>
      </c>
      <c r="L141" s="26">
        <v>8.8567951465580275E-2</v>
      </c>
      <c r="M141" s="26">
        <v>9.6512700796451151E-3</v>
      </c>
      <c r="N141" s="26">
        <v>-1.6187053066520796E-2</v>
      </c>
    </row>
    <row r="142" spans="2:14" x14ac:dyDescent="0.2">
      <c r="B142" s="111">
        <v>44681</v>
      </c>
      <c r="C142" s="26">
        <v>-4.3675234973153135E-2</v>
      </c>
      <c r="D142" s="26">
        <v>-4.2846200799789798E-2</v>
      </c>
      <c r="E142" s="26">
        <v>-3.1604858026986406E-2</v>
      </c>
      <c r="F142" s="26">
        <v>0.15210886721891448</v>
      </c>
      <c r="G142" s="26">
        <v>-5.128212344336016E-2</v>
      </c>
      <c r="H142" s="26">
        <v>-8.1300803478811245E-2</v>
      </c>
      <c r="I142" s="26">
        <v>-8.2790980226021254E-3</v>
      </c>
      <c r="J142" s="26">
        <v>-1.2565324717069769E-2</v>
      </c>
      <c r="K142" s="26">
        <v>9.3719453146176565E-2</v>
      </c>
      <c r="L142" s="26">
        <v>-9.503161760817215E-2</v>
      </c>
      <c r="M142" s="26">
        <v>4.0970634182491236E-2</v>
      </c>
      <c r="N142" s="26">
        <v>-1.6129269738934307E-3</v>
      </c>
    </row>
    <row r="143" spans="2:14" x14ac:dyDescent="0.2">
      <c r="B143" s="111">
        <v>44712</v>
      </c>
      <c r="C143" s="26">
        <v>4.5477005998207108E-2</v>
      </c>
      <c r="D143" s="26">
        <v>6.8504254545252885E-2</v>
      </c>
      <c r="E143" s="26">
        <v>-7.9551354785263914E-2</v>
      </c>
      <c r="F143" s="26">
        <v>-5.0485897777230886E-2</v>
      </c>
      <c r="G143" s="26">
        <v>0.18724557799470626</v>
      </c>
      <c r="H143" s="26">
        <v>-6.0281805864236121E-2</v>
      </c>
      <c r="I143" s="26">
        <v>-7.6650513311040891E-2</v>
      </c>
      <c r="J143" s="26">
        <v>8.3775009817087562E-2</v>
      </c>
      <c r="K143" s="26">
        <v>-1.2424214485944185E-2</v>
      </c>
      <c r="L143" s="26">
        <v>-6.2890378254333815E-2</v>
      </c>
      <c r="M143" s="26">
        <v>0.17713065919768908</v>
      </c>
      <c r="N143" s="26">
        <v>-1.0374363075990843E-2</v>
      </c>
    </row>
    <row r="144" spans="2:14" x14ac:dyDescent="0.2">
      <c r="B144" s="111">
        <v>44742</v>
      </c>
      <c r="C144" s="26">
        <v>-0.15011959505144506</v>
      </c>
      <c r="D144" s="26">
        <v>-8.3183317205570984E-2</v>
      </c>
      <c r="E144" s="26">
        <v>-9.4459781733817846E-2</v>
      </c>
      <c r="F144" s="26">
        <v>8.1343576569043782E-3</v>
      </c>
      <c r="G144" s="26">
        <v>-0.12243927902490261</v>
      </c>
      <c r="H144" s="26">
        <v>-3.8739009050717782E-2</v>
      </c>
      <c r="I144" s="26">
        <v>-3.9452045393370126E-2</v>
      </c>
      <c r="J144" s="26">
        <v>-6.8884386020067315E-2</v>
      </c>
      <c r="K144" s="26">
        <v>2.9854292560239082E-3</v>
      </c>
      <c r="L144" s="26">
        <v>-0.10473362256941932</v>
      </c>
      <c r="M144" s="26">
        <v>-9.3901856403292822E-2</v>
      </c>
      <c r="N144" s="26">
        <v>-5.263157894736737E-2</v>
      </c>
    </row>
    <row r="145" spans="2:14" x14ac:dyDescent="0.2">
      <c r="B145" s="111">
        <v>44773</v>
      </c>
      <c r="C145" s="26">
        <v>0.13445118035677431</v>
      </c>
      <c r="D145" s="26">
        <v>1.3997533414707346E-2</v>
      </c>
      <c r="E145" s="26">
        <v>0.14926700525604975</v>
      </c>
      <c r="F145" s="26">
        <v>1.0326734139717408E-2</v>
      </c>
      <c r="G145" s="26">
        <v>9.9763080862166051E-2</v>
      </c>
      <c r="H145" s="26">
        <v>0.25023433906497428</v>
      </c>
      <c r="I145" s="26">
        <v>9.2412763737028267E-2</v>
      </c>
      <c r="J145" s="26">
        <v>0.2082807269434388</v>
      </c>
      <c r="K145" s="26">
        <v>9.0306574460104101E-3</v>
      </c>
      <c r="L145" s="26">
        <v>0.19167395423849026</v>
      </c>
      <c r="M145" s="26">
        <v>1.0376105004547445E-3</v>
      </c>
      <c r="N145" s="26">
        <v>9.9105263598723667E-2</v>
      </c>
    </row>
    <row r="146" spans="2:14" x14ac:dyDescent="0.2">
      <c r="B146" s="111">
        <v>44804</v>
      </c>
      <c r="C146" s="26">
        <v>-6.6647632248909197E-2</v>
      </c>
      <c r="D146" s="26">
        <v>1.0543350384563516E-2</v>
      </c>
      <c r="E146" s="26">
        <v>-6.6630647816587188E-2</v>
      </c>
      <c r="F146" s="26">
        <v>-2.4159066716027182E-2</v>
      </c>
      <c r="G146" s="26">
        <v>-1.5920483945929455E-2</v>
      </c>
      <c r="H146" s="26">
        <v>-3.8605531803607894E-2</v>
      </c>
      <c r="I146" s="26">
        <v>-3.2964657869657743E-2</v>
      </c>
      <c r="J146" s="26">
        <v>-4.6964454966455672E-3</v>
      </c>
      <c r="K146" s="26">
        <v>-0.15461382088450545</v>
      </c>
      <c r="L146" s="26">
        <v>-0.11713984588515453</v>
      </c>
      <c r="M146" s="26">
        <v>1.8689742935055178E-2</v>
      </c>
      <c r="N146" s="26">
        <v>-1.210094307823676E-2</v>
      </c>
    </row>
    <row r="147" spans="2:14" x14ac:dyDescent="0.2">
      <c r="B147" s="111">
        <v>44834</v>
      </c>
      <c r="C147" s="26">
        <v>-9.1939954653836406E-2</v>
      </c>
      <c r="D147" s="26">
        <v>-6.1955505142945601E-2</v>
      </c>
      <c r="E147" s="26">
        <v>-4.335265555981508E-2</v>
      </c>
      <c r="F147" s="26">
        <v>-7.5033402483176692E-2</v>
      </c>
      <c r="G147" s="26">
        <v>-2.19080998409094E-3</v>
      </c>
      <c r="H147" s="26">
        <v>-5.1072211912664811E-2</v>
      </c>
      <c r="I147" s="26">
        <v>2.8875027914587455E-2</v>
      </c>
      <c r="J147" s="26">
        <v>-2.2369867436225283E-2</v>
      </c>
      <c r="K147" s="26">
        <v>-4.599646618428526E-2</v>
      </c>
      <c r="L147" s="26">
        <v>-1.549076266534239E-2</v>
      </c>
      <c r="M147" s="26">
        <v>-4.7642484613094116E-2</v>
      </c>
      <c r="N147" s="26">
        <v>-9.8428156034839218E-2</v>
      </c>
    </row>
    <row r="148" spans="2:14" x14ac:dyDescent="0.2">
      <c r="B148" s="111">
        <v>44865</v>
      </c>
      <c r="C148" s="26">
        <v>0.23275962307509923</v>
      </c>
      <c r="D148" s="26">
        <v>8.9210074485644469E-2</v>
      </c>
      <c r="E148" s="26">
        <v>4.5317182095981874E-3</v>
      </c>
      <c r="F148" s="26">
        <v>3.6442294099547821E-2</v>
      </c>
      <c r="G148" s="26">
        <v>0.11079218131842246</v>
      </c>
      <c r="H148" s="26">
        <v>7.6828306716775305E-2</v>
      </c>
      <c r="I148" s="26">
        <v>-5.9041482121532159E-2</v>
      </c>
      <c r="J148" s="26">
        <v>0.11440834390495985</v>
      </c>
      <c r="K148" s="26">
        <v>0.11390297259887526</v>
      </c>
      <c r="L148" s="26">
        <v>9.6801672940615147E-2</v>
      </c>
      <c r="M148" s="26">
        <v>0.15772330485424926</v>
      </c>
      <c r="N148" s="26">
        <v>0.12035595186917947</v>
      </c>
    </row>
    <row r="149" spans="2:14" x14ac:dyDescent="0.2">
      <c r="B149" s="111">
        <v>44895</v>
      </c>
      <c r="C149" s="26">
        <v>-3.4677399035008055E-3</v>
      </c>
      <c r="D149" s="26">
        <v>0.12496051353298238</v>
      </c>
      <c r="E149" s="26">
        <v>2.8571339471936547E-2</v>
      </c>
      <c r="F149" s="26">
        <v>-5.1648430631176826E-3</v>
      </c>
      <c r="G149" s="26">
        <v>0.10384684802808125</v>
      </c>
      <c r="H149" s="26">
        <v>0.17703182978550469</v>
      </c>
      <c r="I149" s="26">
        <v>6.3308699434757518E-2</v>
      </c>
      <c r="J149" s="26">
        <v>0.11677889347344601</v>
      </c>
      <c r="K149" s="26">
        <v>-9.7332548933828731E-3</v>
      </c>
      <c r="L149" s="26">
        <v>8.3112516031861275E-2</v>
      </c>
      <c r="M149" s="26">
        <v>9.4555447019623498E-2</v>
      </c>
      <c r="N149" s="26">
        <v>3.6917744282881138E-2</v>
      </c>
    </row>
    <row r="150" spans="2:14" x14ac:dyDescent="0.2">
      <c r="B150" s="111">
        <v>44926</v>
      </c>
      <c r="C150" s="26">
        <v>1.666659909426502E-2</v>
      </c>
      <c r="D150" s="26">
        <v>-3.3689124168884642E-3</v>
      </c>
      <c r="E150" s="26">
        <v>-8.8011616563950443E-2</v>
      </c>
      <c r="F150" s="26">
        <v>-1.6972877184826693E-2</v>
      </c>
      <c r="G150" s="26">
        <v>-7.7961624148680769E-2</v>
      </c>
      <c r="H150" s="26">
        <v>-6.3209265135268936E-2</v>
      </c>
      <c r="I150" s="26">
        <v>-1.4284562874592338E-2</v>
      </c>
      <c r="J150" s="26">
        <v>-0.10155120453571499</v>
      </c>
      <c r="K150" s="26">
        <v>3.8852862509924334E-2</v>
      </c>
      <c r="L150" s="26">
        <v>-5.9026786819355415E-2</v>
      </c>
      <c r="M150" s="26">
        <v>-2.7524415224799034E-2</v>
      </c>
      <c r="N150" s="26">
        <v>-2.420863183996487E-2</v>
      </c>
    </row>
    <row r="151" spans="2:14" x14ac:dyDescent="0.2">
      <c r="B151" s="111">
        <v>44957</v>
      </c>
      <c r="C151" s="26">
        <v>3.4408226517964401E-2</v>
      </c>
      <c r="D151" s="26">
        <v>0.18122062760957652</v>
      </c>
      <c r="E151" s="26">
        <v>0.11510091050398734</v>
      </c>
      <c r="F151" s="26">
        <v>2.1937901209794469E-2</v>
      </c>
      <c r="G151" s="26">
        <v>-2.7487221737612495E-2</v>
      </c>
      <c r="H151" s="26">
        <v>0.18650521677537421</v>
      </c>
      <c r="I151" s="26">
        <v>3.3469383666951749E-2</v>
      </c>
      <c r="J151" s="26">
        <v>0.19072740511361369</v>
      </c>
      <c r="K151" s="26">
        <v>-1.8922262491071829E-3</v>
      </c>
      <c r="L151" s="26">
        <v>0.13463900278314864</v>
      </c>
      <c r="M151" s="26">
        <v>-1.1654006047598121E-2</v>
      </c>
      <c r="N151" s="26">
        <v>0.11094451945620003</v>
      </c>
    </row>
    <row r="152" spans="2:14" x14ac:dyDescent="0.2">
      <c r="B152" s="111">
        <v>44985</v>
      </c>
      <c r="C152" s="26">
        <v>7.9937320994738631E-2</v>
      </c>
      <c r="D152" s="26">
        <v>5.1669357386091685E-2</v>
      </c>
      <c r="E152" s="26">
        <v>2.2714322714323373E-2</v>
      </c>
      <c r="F152" s="26">
        <v>5.8238914083152495E-2</v>
      </c>
      <c r="G152" s="26">
        <v>6.2672818751231915E-2</v>
      </c>
      <c r="H152" s="26">
        <v>5.8327992887987744E-4</v>
      </c>
      <c r="I152" s="26">
        <v>4.1074337153791794E-2</v>
      </c>
      <c r="J152" s="26">
        <v>0.14044049518399951</v>
      </c>
      <c r="K152" s="26">
        <v>-8.6985346457190606E-3</v>
      </c>
      <c r="L152" s="26">
        <v>2.5620093626332077E-2</v>
      </c>
      <c r="M152" s="26">
        <v>4.014159730793343E-2</v>
      </c>
      <c r="N152" s="26">
        <v>4.0524712232412947E-2</v>
      </c>
    </row>
    <row r="153" spans="2:14" x14ac:dyDescent="0.2">
      <c r="B153" s="111">
        <v>45016</v>
      </c>
      <c r="C153" s="26">
        <v>-5.9667991042690587E-3</v>
      </c>
      <c r="D153" s="26">
        <v>-0.16538174141923426</v>
      </c>
      <c r="E153" s="26">
        <v>-3.9921343751602674E-2</v>
      </c>
      <c r="F153" s="26">
        <v>7.6446218622729406E-2</v>
      </c>
      <c r="G153" s="26">
        <v>5.3339187217541786E-2</v>
      </c>
      <c r="H153" s="26">
        <v>8.8744933225082701E-2</v>
      </c>
      <c r="I153" s="26">
        <v>5.563984642812448E-2</v>
      </c>
      <c r="J153" s="26">
        <v>-0.11466940355848716</v>
      </c>
      <c r="K153" s="26">
        <v>0.12768593857160188</v>
      </c>
      <c r="L153" s="26">
        <v>1.0255124654677249E-2</v>
      </c>
      <c r="M153" s="26">
        <v>-7.1879811603573165E-2</v>
      </c>
      <c r="N153" s="26">
        <v>-1.9658699364837776E-2</v>
      </c>
    </row>
    <row r="154" spans="2:14" x14ac:dyDescent="0.2">
      <c r="B154" s="111">
        <v>45046</v>
      </c>
      <c r="C154" s="26">
        <v>3.1310839745856765E-2</v>
      </c>
      <c r="D154" s="26">
        <v>6.1220862810101029E-2</v>
      </c>
      <c r="E154" s="26">
        <v>-3.4260719598553389E-2</v>
      </c>
      <c r="F154" s="26">
        <v>4.6763181965669982E-2</v>
      </c>
      <c r="G154" s="26">
        <v>-3.9798238364777208E-3</v>
      </c>
      <c r="H154" s="26">
        <v>5.5150328811920078E-2</v>
      </c>
      <c r="I154" s="26">
        <v>3.3540224980948305E-3</v>
      </c>
      <c r="J154" s="26">
        <v>-0.10558495305459287</v>
      </c>
      <c r="K154" s="26">
        <v>-2.3942198752014594E-3</v>
      </c>
      <c r="L154" s="26">
        <v>2.6939237549630502E-2</v>
      </c>
      <c r="M154" s="26">
        <v>7.934662621288377E-2</v>
      </c>
      <c r="N154" s="26">
        <v>6.1293832726177867E-2</v>
      </c>
    </row>
    <row r="155" spans="2:14" x14ac:dyDescent="0.2">
      <c r="B155" s="111">
        <v>45077</v>
      </c>
      <c r="C155" s="26">
        <v>-2.2459622254650428E-2</v>
      </c>
      <c r="D155" s="26">
        <v>-7.8170373838603632E-2</v>
      </c>
      <c r="E155" s="26">
        <v>-1.2734922861149679E-2</v>
      </c>
      <c r="F155" s="26">
        <v>-7.7512851681556347E-2</v>
      </c>
      <c r="G155" s="26">
        <v>6.402591238241763E-2</v>
      </c>
      <c r="H155" s="26">
        <v>-2.8465935355551569E-2</v>
      </c>
      <c r="I155" s="26">
        <v>-3.4861367282018788E-2</v>
      </c>
      <c r="J155" s="26">
        <v>-6.9729507728199608E-2</v>
      </c>
      <c r="K155" s="26">
        <v>-5.1199961446331037E-2</v>
      </c>
      <c r="L155" s="26">
        <v>2.2303769247216252E-2</v>
      </c>
      <c r="M155" s="26">
        <v>-8.3879917029438547E-2</v>
      </c>
      <c r="N155" s="26">
        <v>-2.6103721044176395E-2</v>
      </c>
    </row>
    <row r="156" spans="2:14" x14ac:dyDescent="0.2">
      <c r="B156" s="111">
        <v>45107</v>
      </c>
      <c r="C156" s="26">
        <v>8.0137068237935802E-2</v>
      </c>
      <c r="D156" s="26">
        <v>0.14318422410971646</v>
      </c>
      <c r="E156" s="26">
        <v>8.8493080231811364E-2</v>
      </c>
      <c r="F156" s="26">
        <v>4.9150163857953337E-2</v>
      </c>
      <c r="G156" s="26">
        <v>8.4460838143775266E-2</v>
      </c>
      <c r="H156" s="26">
        <v>4.6377100957943625E-2</v>
      </c>
      <c r="I156" s="26">
        <v>1.484286055837659E-3</v>
      </c>
      <c r="J156" s="26">
        <v>0.24270161727274003</v>
      </c>
      <c r="K156" s="26">
        <v>7.3617897450145006E-2</v>
      </c>
      <c r="L156" s="26">
        <v>5.2614248542550091E-2</v>
      </c>
      <c r="M156" s="26">
        <v>-9.9849210773715318E-3</v>
      </c>
      <c r="N156" s="26">
        <v>5.6430752174540686E-4</v>
      </c>
    </row>
    <row r="157" spans="2:14" x14ac:dyDescent="0.2">
      <c r="B157" s="111">
        <v>45138</v>
      </c>
      <c r="C157" s="26">
        <v>1.223932945787504E-2</v>
      </c>
      <c r="D157" s="26">
        <v>3.9847542537555861E-2</v>
      </c>
      <c r="E157" s="26">
        <v>-5.0129657330346168E-2</v>
      </c>
      <c r="F157" s="26">
        <v>-1.0865720777713257E-2</v>
      </c>
      <c r="G157" s="26">
        <v>-2.0751257650842268E-2</v>
      </c>
      <c r="H157" s="26">
        <v>1.3316512150364486E-2</v>
      </c>
      <c r="I157" s="26">
        <v>-8.893261273308202E-3</v>
      </c>
      <c r="J157" s="26">
        <v>3.4344192090920288E-2</v>
      </c>
      <c r="K157" s="26">
        <v>-1.1303498747050259E-2</v>
      </c>
      <c r="L157" s="26">
        <v>-2.6553054256141715E-2</v>
      </c>
      <c r="M157" s="26">
        <v>6.6414653479928518E-2</v>
      </c>
      <c r="N157" s="26">
        <v>3.7601378266909368E-3</v>
      </c>
    </row>
    <row r="158" spans="2:14" x14ac:dyDescent="0.2">
      <c r="B158" s="111">
        <v>45169</v>
      </c>
      <c r="C158" s="26">
        <v>1.0449376008822881E-2</v>
      </c>
      <c r="D158" s="26">
        <v>-5.1649794370642044E-3</v>
      </c>
      <c r="E158" s="26">
        <v>4.5495903266557648E-2</v>
      </c>
      <c r="F158" s="26">
        <v>-3.0614056171971878E-2</v>
      </c>
      <c r="G158" s="26">
        <v>-1.4753004432307021E-3</v>
      </c>
      <c r="H158" s="26">
        <v>-5.73765299556383E-2</v>
      </c>
      <c r="I158" s="26">
        <v>-8.7504506005810209E-2</v>
      </c>
      <c r="J158" s="26">
        <v>-6.4403095421041417E-2</v>
      </c>
      <c r="K158" s="26">
        <v>1.5964617141419665E-2</v>
      </c>
      <c r="L158" s="26">
        <v>-2.1352724835855354E-2</v>
      </c>
      <c r="M158" s="26">
        <v>5.0850473495026825E-2</v>
      </c>
      <c r="N158" s="26">
        <v>-3.5774500742856083E-2</v>
      </c>
    </row>
    <row r="159" spans="2:14" x14ac:dyDescent="0.2">
      <c r="B159" s="111">
        <v>45199</v>
      </c>
      <c r="C159" s="26">
        <v>-6.2047542521710207E-2</v>
      </c>
      <c r="D159" s="26">
        <v>1.2058328575382599E-2</v>
      </c>
      <c r="E159" s="26">
        <v>-3.8004063505881133E-2</v>
      </c>
      <c r="F159" s="26">
        <v>-2.9165900556956056E-2</v>
      </c>
      <c r="G159" s="26">
        <v>-2.4177343372310346E-2</v>
      </c>
      <c r="H159" s="26">
        <v>-8.9962105489189412E-2</v>
      </c>
      <c r="I159" s="26">
        <v>-0.12886303936944565</v>
      </c>
      <c r="J159" s="26">
        <v>4.1248258503334682E-2</v>
      </c>
      <c r="K159" s="26">
        <v>2.8791656248162666E-2</v>
      </c>
      <c r="L159" s="26">
        <v>-1.0089590585764818E-2</v>
      </c>
      <c r="M159" s="26">
        <v>7.3015436247831758E-2</v>
      </c>
      <c r="N159" s="26">
        <v>2.0007829150537153E-2</v>
      </c>
    </row>
    <row r="160" spans="2:14" x14ac:dyDescent="0.2">
      <c r="B160" s="111">
        <v>45230</v>
      </c>
      <c r="C160" s="26">
        <v>-5.5127703335112058E-3</v>
      </c>
      <c r="D160" s="26">
        <v>-0.10160523610788305</v>
      </c>
      <c r="E160" s="26">
        <v>4.2219310156974199E-3</v>
      </c>
      <c r="F160" s="26">
        <v>7.4435509803718644E-2</v>
      </c>
      <c r="G160" s="26">
        <v>3.262225590332065E-2</v>
      </c>
      <c r="H160" s="26">
        <v>1.7227374341962934E-2</v>
      </c>
      <c r="I160" s="26">
        <v>6.1133932924893164E-2</v>
      </c>
      <c r="J160" s="26">
        <v>-0.14983923819558659</v>
      </c>
      <c r="K160" s="26">
        <v>-0.15549867305503418</v>
      </c>
      <c r="L160" s="26">
        <v>-7.6442758164955188E-2</v>
      </c>
      <c r="M160" s="26">
        <v>2.6331114380239485E-2</v>
      </c>
      <c r="N160" s="26">
        <v>-5.1419536575791E-3</v>
      </c>
    </row>
    <row r="161" spans="2:14" x14ac:dyDescent="0.2">
      <c r="B161" s="111">
        <v>45260</v>
      </c>
      <c r="C161" s="26">
        <v>7.8555588063108014E-2</v>
      </c>
      <c r="D161" s="26">
        <v>6.4100178944031347E-2</v>
      </c>
      <c r="E161" s="26">
        <v>0.12912914572764125</v>
      </c>
      <c r="F161" s="26">
        <v>5.022271304267803E-2</v>
      </c>
      <c r="G161" s="26">
        <v>6.0917052129745491E-2</v>
      </c>
      <c r="H161" s="26">
        <v>8.2177716942681889E-2</v>
      </c>
      <c r="I161" s="26">
        <v>-5.3432816103878379E-2</v>
      </c>
      <c r="J161" s="26">
        <v>8.8956117910859014E-2</v>
      </c>
      <c r="K161" s="26">
        <v>-2.8004468866186776E-3</v>
      </c>
      <c r="L161" s="26">
        <v>0.16305688628223849</v>
      </c>
      <c r="M161" s="26">
        <v>-1.4873445896810158E-2</v>
      </c>
      <c r="N161" s="26">
        <v>7.4846884507868486E-2</v>
      </c>
    </row>
    <row r="162" spans="2:14" x14ac:dyDescent="0.2">
      <c r="B162" s="111">
        <v>45291</v>
      </c>
      <c r="C162" s="26">
        <v>2.6284911122603408E-2</v>
      </c>
      <c r="D162" s="26">
        <v>8.3434409232861079E-2</v>
      </c>
      <c r="E162" s="26">
        <v>3.9893278075052675E-3</v>
      </c>
      <c r="F162" s="26">
        <v>-4.917856366777538E-3</v>
      </c>
      <c r="G162" s="26">
        <v>0</v>
      </c>
      <c r="H162" s="26">
        <v>7.667302409509409E-3</v>
      </c>
      <c r="I162" s="26">
        <v>2.372289251397082E-2</v>
      </c>
      <c r="J162" s="26">
        <v>2.5423743492359426E-2</v>
      </c>
      <c r="K162" s="26">
        <v>5.0315943528175741E-2</v>
      </c>
      <c r="L162" s="26">
        <v>7.8045339895885302E-2</v>
      </c>
      <c r="M162" s="26">
        <v>-1.0600700916065263E-2</v>
      </c>
      <c r="N162" s="26">
        <v>2.2491064886124023E-2</v>
      </c>
    </row>
    <row r="163" spans="2:14" x14ac:dyDescent="0.2">
      <c r="B163" s="111">
        <v>45322</v>
      </c>
      <c r="C163" s="26">
        <v>5.7375889375912183E-2</v>
      </c>
      <c r="D163" s="26">
        <v>-6.391140062845203E-4</v>
      </c>
      <c r="E163" s="26">
        <v>9.7748341008277728E-2</v>
      </c>
      <c r="F163" s="26">
        <v>5.2147291364421214E-2</v>
      </c>
      <c r="G163" s="26">
        <v>-6.9606731879556294E-2</v>
      </c>
      <c r="H163" s="26">
        <v>2.03252164655531E-2</v>
      </c>
      <c r="I163" s="26">
        <v>-4.5383353134435575E-2</v>
      </c>
      <c r="J163" s="26">
        <v>-4.9722274930081273E-2</v>
      </c>
      <c r="K163" s="26">
        <v>4.0106851290948431E-2</v>
      </c>
      <c r="L163" s="26">
        <v>6.1612610764013552E-3</v>
      </c>
      <c r="M163" s="26">
        <v>-2.4350748958290702E-2</v>
      </c>
      <c r="N163" s="26">
        <v>2.972726859305154E-2</v>
      </c>
    </row>
    <row r="164" spans="2:14" x14ac:dyDescent="0.2">
      <c r="B164" s="111">
        <v>45351</v>
      </c>
      <c r="C164" s="26">
        <v>3.4776729809667707E-2</v>
      </c>
      <c r="D164" s="26">
        <v>-0.11462823541227979</v>
      </c>
      <c r="E164" s="26">
        <v>8.4459459718174396E-2</v>
      </c>
      <c r="F164" s="26">
        <v>-4.4055730075533102E-2</v>
      </c>
      <c r="G164" s="26">
        <v>1.7556286104902015E-3</v>
      </c>
      <c r="H164" s="26">
        <v>0.18142815609456026</v>
      </c>
      <c r="I164" s="26">
        <v>1.344267853485653E-2</v>
      </c>
      <c r="J164" s="26">
        <v>9.8659831759659186E-2</v>
      </c>
      <c r="K164" s="26">
        <v>-5.8590335772286943E-2</v>
      </c>
      <c r="L164" s="26">
        <v>0.14707493433901131</v>
      </c>
      <c r="M164" s="26">
        <v>-6.5346525537801703E-3</v>
      </c>
      <c r="N164" s="26">
        <v>1.1274364878056919E-2</v>
      </c>
    </row>
    <row r="165" spans="2:14" x14ac:dyDescent="0.2">
      <c r="B165" s="111">
        <v>45382</v>
      </c>
      <c r="C165" s="26">
        <v>0.11625476870614229</v>
      </c>
      <c r="D165" s="26">
        <v>0.18923794109267819</v>
      </c>
      <c r="E165" s="26">
        <v>-5.0734278664697277E-2</v>
      </c>
      <c r="F165" s="26">
        <v>1.4740726649130122E-2</v>
      </c>
      <c r="G165" s="26">
        <v>4.5429968681368414E-2</v>
      </c>
      <c r="H165" s="26">
        <v>2.4554635841769191E-2</v>
      </c>
      <c r="I165" s="26">
        <v>-2.9763959631527316E-2</v>
      </c>
      <c r="J165" s="26">
        <v>0.21450811583444862</v>
      </c>
      <c r="K165" s="26">
        <v>3.4929955458295088E-2</v>
      </c>
      <c r="L165" s="26">
        <v>-7.149863160726801E-4</v>
      </c>
      <c r="M165" s="26">
        <v>7.594517014424175E-2</v>
      </c>
      <c r="N165" s="26">
        <v>3.0404957362224361E-3</v>
      </c>
    </row>
    <row r="166" spans="2:14" x14ac:dyDescent="0.2">
      <c r="B166" s="111">
        <v>45412</v>
      </c>
      <c r="C166" s="26">
        <v>-9.3955124378665739E-2</v>
      </c>
      <c r="D166" s="26">
        <v>2.6571563074224865E-2</v>
      </c>
      <c r="E166" s="26">
        <v>-7.2198832256466589E-2</v>
      </c>
      <c r="F166" s="26">
        <v>-2.0537624314787367E-2</v>
      </c>
      <c r="G166" s="26">
        <v>4.9000609724001623E-2</v>
      </c>
      <c r="H166" s="26">
        <v>-4.8605240467976381E-2</v>
      </c>
      <c r="I166" s="26">
        <v>-5.3017511467835149E-2</v>
      </c>
      <c r="J166" s="26">
        <v>-1.1752278696940607E-3</v>
      </c>
      <c r="K166" s="26">
        <v>2.3307012442712185E-2</v>
      </c>
      <c r="L166" s="26">
        <v>2.5995771531558912E-2</v>
      </c>
      <c r="M166" s="26">
        <v>9.324958866750388E-2</v>
      </c>
      <c r="N166" s="26">
        <v>-7.1657073258681009E-2</v>
      </c>
    </row>
    <row r="167" spans="2:14" x14ac:dyDescent="0.2">
      <c r="B167" s="111">
        <v>45443</v>
      </c>
      <c r="C167" s="26">
        <v>2.5437559206072644E-2</v>
      </c>
      <c r="D167" s="26">
        <v>1.3310531186487052E-3</v>
      </c>
      <c r="E167" s="26">
        <v>-6.2152574855733819E-2</v>
      </c>
      <c r="F167" s="26">
        <v>7.8418168975928106E-3</v>
      </c>
      <c r="G167" s="26">
        <v>-4.5175172218202241E-2</v>
      </c>
      <c r="H167" s="26">
        <v>-3.3318505534973689E-2</v>
      </c>
      <c r="I167" s="26">
        <v>-3.556345966904477E-2</v>
      </c>
      <c r="J167" s="26">
        <v>0.1463414504027008</v>
      </c>
      <c r="K167" s="26">
        <v>-3.5668212458253787E-2</v>
      </c>
      <c r="L167" s="26">
        <v>5.7415072483528916E-2</v>
      </c>
      <c r="M167" s="26">
        <v>-2.3035326514646067E-2</v>
      </c>
      <c r="N167" s="26">
        <v>7.0624166736017124E-2</v>
      </c>
    </row>
    <row r="168" spans="2:14" x14ac:dyDescent="0.2">
      <c r="B168" s="111">
        <v>45473</v>
      </c>
      <c r="C168" s="26">
        <v>-0.1772930949332221</v>
      </c>
      <c r="D168" s="26">
        <v>-6.1457217488641878E-2</v>
      </c>
      <c r="E168" s="26">
        <v>1.699659727799514E-2</v>
      </c>
      <c r="F168" s="26">
        <v>8.4147456013832932E-4</v>
      </c>
      <c r="G168" s="26">
        <v>-5.8900782522118646E-2</v>
      </c>
      <c r="H168" s="26">
        <v>-7.0602284025898417E-3</v>
      </c>
      <c r="I168" s="26">
        <v>-7.4844785556482746E-2</v>
      </c>
      <c r="J168" s="26">
        <v>-7.2295975721211519E-2</v>
      </c>
      <c r="K168" s="26">
        <v>4.3603401000209936E-2</v>
      </c>
      <c r="L168" s="26">
        <v>8.9149107739623689E-4</v>
      </c>
      <c r="M168" s="26">
        <v>-6.9840374393949578E-2</v>
      </c>
      <c r="N168" s="26">
        <v>-0.14041078752147665</v>
      </c>
    </row>
    <row r="169" spans="2:14" x14ac:dyDescent="0.2">
      <c r="B169" s="111">
        <v>45504</v>
      </c>
      <c r="C169" s="26">
        <v>9.1221002782738897E-2</v>
      </c>
      <c r="D169" s="26">
        <v>6.601715756798196E-2</v>
      </c>
      <c r="E169" s="26">
        <v>-1.1308501900274935E-2</v>
      </c>
      <c r="F169" s="26">
        <v>5.3959315783767378E-2</v>
      </c>
      <c r="G169" s="26">
        <v>9.036369562639876E-2</v>
      </c>
      <c r="H169" s="26">
        <v>-5.467294190885838E-2</v>
      </c>
      <c r="I169" s="26">
        <v>-2.1310229105535497E-2</v>
      </c>
      <c r="J169" s="26">
        <v>-6.2708969281360535E-2</v>
      </c>
      <c r="K169" s="26">
        <v>5.9928842503483959E-2</v>
      </c>
      <c r="L169" s="26">
        <v>-6.4645131124037736E-3</v>
      </c>
      <c r="M169" s="26">
        <v>1.5164698777785287E-2</v>
      </c>
      <c r="N169" s="26">
        <v>7.3389084725244427E-2</v>
      </c>
    </row>
    <row r="170" spans="2:14" x14ac:dyDescent="0.2">
      <c r="B170" s="111">
        <v>45535</v>
      </c>
      <c r="C170" s="26">
        <v>-8.1451220229992304E-3</v>
      </c>
      <c r="D170" s="26">
        <v>-1.3867010467440245E-2</v>
      </c>
      <c r="E170" s="26">
        <v>2.1241788386955212E-2</v>
      </c>
      <c r="F170" s="26">
        <v>4.3882957557691595E-2</v>
      </c>
      <c r="G170" s="26">
        <v>9.5598434126366955E-2</v>
      </c>
      <c r="H170" s="26">
        <v>7.2170104318263831E-2</v>
      </c>
      <c r="I170" s="26">
        <v>5.8579206424944415E-2</v>
      </c>
      <c r="J170" s="26">
        <v>-4.2149920699060948E-2</v>
      </c>
      <c r="K170" s="26">
        <v>6.1575547722607815E-2</v>
      </c>
      <c r="L170" s="26">
        <v>3.0738147404209638E-2</v>
      </c>
      <c r="M170" s="26">
        <v>-4.6414760014557134E-3</v>
      </c>
      <c r="N170" s="26">
        <v>2.4147641490407858E-2</v>
      </c>
    </row>
    <row r="171" spans="2:14" x14ac:dyDescent="0.2">
      <c r="B171" s="111">
        <v>45565</v>
      </c>
      <c r="C171" s="26">
        <v>-5.4747181855983471E-2</v>
      </c>
      <c r="D171" s="26">
        <v>-1.6459010362252446E-2</v>
      </c>
      <c r="E171" s="26">
        <v>3.4399988344235626E-2</v>
      </c>
      <c r="F171" s="26">
        <v>4.0445832190029521E-2</v>
      </c>
      <c r="G171" s="26">
        <v>-2.6051484590323696E-2</v>
      </c>
      <c r="H171" s="26">
        <v>1.7058527734040888E-2</v>
      </c>
      <c r="I171" s="26">
        <v>5.2795059595462372E-2</v>
      </c>
      <c r="J171" s="26">
        <v>-9.2200179922779041E-2</v>
      </c>
      <c r="K171" s="26">
        <v>1.6798480649079194E-2</v>
      </c>
      <c r="L171" s="26">
        <v>2.8297757368172419E-2</v>
      </c>
      <c r="M171" s="26">
        <v>-5.9334258670747785E-2</v>
      </c>
      <c r="N171" s="26">
        <v>-2.9588523435391281E-2</v>
      </c>
    </row>
    <row r="172" spans="2:14" x14ac:dyDescent="0.2">
      <c r="B172" s="111">
        <v>45596</v>
      </c>
      <c r="C172" s="26">
        <v>6.812981655477425E-2</v>
      </c>
      <c r="D172" s="26">
        <v>1.9496369258908668E-2</v>
      </c>
      <c r="E172" s="26">
        <v>-0.17916986165380366</v>
      </c>
      <c r="F172" s="26">
        <v>5.509658584353927E-3</v>
      </c>
      <c r="G172" s="26">
        <v>-6.4453802401209081E-3</v>
      </c>
      <c r="H172" s="26">
        <v>-5.9836890120307573E-2</v>
      </c>
      <c r="I172" s="26">
        <v>-0.15744838036478956</v>
      </c>
      <c r="J172" s="26">
        <v>7.4634536669437715E-2</v>
      </c>
      <c r="K172" s="26">
        <v>-5.6268221213251007E-2</v>
      </c>
      <c r="L172" s="26">
        <v>4.2337172372737273E-3</v>
      </c>
      <c r="M172" s="26">
        <v>-6.2828005388357849E-3</v>
      </c>
      <c r="N172" s="26">
        <v>-2.1438809175344842E-2</v>
      </c>
    </row>
    <row r="173" spans="2:14" x14ac:dyDescent="0.2">
      <c r="B173" s="111">
        <v>45626</v>
      </c>
      <c r="C173" s="26">
        <v>5.2796728077548608E-2</v>
      </c>
      <c r="D173" s="26">
        <v>-9.7370487882439738E-2</v>
      </c>
      <c r="E173" s="26">
        <v>-4.5854365778090558E-2</v>
      </c>
      <c r="F173" s="26">
        <v>-1.5829443170471445E-2</v>
      </c>
      <c r="G173" s="26">
        <v>-2.140771563494873E-2</v>
      </c>
      <c r="H173" s="26">
        <v>-4.3393577607772019E-3</v>
      </c>
      <c r="I173" s="26">
        <v>-7.3085358407144307E-2</v>
      </c>
      <c r="J173" s="26">
        <v>-3.2696987140383618E-2</v>
      </c>
      <c r="K173" s="26">
        <v>-5.1694013606770207E-2</v>
      </c>
      <c r="L173" s="26">
        <v>2.655984021871477E-2</v>
      </c>
      <c r="M173" s="26">
        <v>-4.2334586084191758E-2</v>
      </c>
      <c r="N173" s="26">
        <v>-1.8044174426003905E-2</v>
      </c>
    </row>
    <row r="174" spans="2:14" x14ac:dyDescent="0.2">
      <c r="B174" s="111">
        <v>45657</v>
      </c>
      <c r="C174" s="26">
        <v>4.892930146900621E-2</v>
      </c>
      <c r="D174" s="26">
        <v>4.5550843531669605E-2</v>
      </c>
      <c r="E174" s="26">
        <v>4.1145579251142553E-2</v>
      </c>
      <c r="F174" s="26">
        <v>7.1141596946977014E-3</v>
      </c>
      <c r="G174" s="26">
        <v>1.4915472899752548E-2</v>
      </c>
      <c r="H174" s="26">
        <v>0.12445524613592074</v>
      </c>
      <c r="I174" s="26">
        <v>5.2463602803965108E-2</v>
      </c>
      <c r="J174" s="26">
        <v>0.16086851611801606</v>
      </c>
      <c r="K174" s="26">
        <v>1.7917246875694025E-2</v>
      </c>
      <c r="L174" s="26">
        <v>-1.067759719074161E-2</v>
      </c>
      <c r="M174" s="26">
        <v>-2.9106857142898592E-2</v>
      </c>
      <c r="N174" s="26">
        <v>-1.2017437215489702E-3</v>
      </c>
    </row>
    <row r="175" spans="2:14" x14ac:dyDescent="0.2">
      <c r="B175" s="111">
        <v>45688</v>
      </c>
      <c r="C175" s="26">
        <v>7.9726054488924405E-2</v>
      </c>
      <c r="D175" s="26">
        <v>0.10976023182533746</v>
      </c>
      <c r="E175" s="26">
        <v>0.11255131245787324</v>
      </c>
      <c r="F175" s="26">
        <v>3.6240777726902915E-2</v>
      </c>
      <c r="G175" s="26">
        <v>3.951661442592122E-2</v>
      </c>
      <c r="H175" s="26">
        <v>0.17312657929683498</v>
      </c>
      <c r="I175" s="26">
        <v>1.100913797343615E-2</v>
      </c>
      <c r="J175" s="26">
        <v>5.5260392305284012E-2</v>
      </c>
      <c r="K175" s="26">
        <v>0.11371889623967772</v>
      </c>
      <c r="L175" s="26">
        <v>1.8472404552685163E-2</v>
      </c>
      <c r="M175" s="26">
        <v>5.6586221490061046E-2</v>
      </c>
      <c r="N175" s="26">
        <v>4.7724133493204528E-2</v>
      </c>
    </row>
    <row r="176" spans="2:14" x14ac:dyDescent="0.2">
      <c r="B176" s="111">
        <v>45716</v>
      </c>
      <c r="C176" s="26">
        <v>-8.4968679731547928E-3</v>
      </c>
      <c r="D176" s="26">
        <v>0.10864276822472875</v>
      </c>
      <c r="E176" s="26">
        <v>-0.15231596830649813</v>
      </c>
      <c r="F176" s="26">
        <v>2.045039867599998E-2</v>
      </c>
      <c r="G176" s="26">
        <v>8.325477556097538E-2</v>
      </c>
      <c r="H176" s="26">
        <v>4.772362285821518E-3</v>
      </c>
      <c r="I176" s="26">
        <v>-6.3067139911822293E-2</v>
      </c>
      <c r="J176" s="26">
        <v>3.8267917150462409E-3</v>
      </c>
      <c r="K176" s="26">
        <v>-3.8316468085398205E-4</v>
      </c>
      <c r="L176" s="26">
        <v>-4.6464293469622137E-2</v>
      </c>
      <c r="M176" s="26">
        <v>4.0044865797189702E-2</v>
      </c>
      <c r="N176" s="26">
        <v>6.3157852330342212E-2</v>
      </c>
    </row>
    <row r="177" spans="2:14" x14ac:dyDescent="0.2">
      <c r="B177" s="111">
        <v>45747</v>
      </c>
      <c r="C177" s="26">
        <v>-1.7622203083275795E-2</v>
      </c>
      <c r="D177" s="26">
        <v>5.5586062740417587E-2</v>
      </c>
      <c r="E177" s="26">
        <v>-7.4421669555869124E-2</v>
      </c>
      <c r="F177" s="26">
        <v>2.8753937894366026E-2</v>
      </c>
      <c r="G177" s="26">
        <v>4.6113669147118036E-2</v>
      </c>
      <c r="H177" s="26">
        <v>-0.11802118695323655</v>
      </c>
      <c r="I177" s="26">
        <v>-0.11612587220189813</v>
      </c>
      <c r="J177" s="26">
        <v>-6.6011257483742244E-2</v>
      </c>
      <c r="K177" s="26">
        <v>-2.3380630813882655E-2</v>
      </c>
      <c r="L177" s="26">
        <v>-9.9166425435744485E-2</v>
      </c>
      <c r="M177" s="26">
        <v>3.2537152076982538E-2</v>
      </c>
      <c r="N177" s="26">
        <v>4.6804713738511666E-2</v>
      </c>
    </row>
    <row r="178" spans="2:14" x14ac:dyDescent="0.2">
      <c r="B178" s="111">
        <v>45777</v>
      </c>
      <c r="C178" s="26">
        <v>-9.6080566479584698E-2</v>
      </c>
      <c r="D178" s="26">
        <v>-3.4065910791538402E-2</v>
      </c>
      <c r="E178" s="26">
        <v>1.3038780613701893E-2</v>
      </c>
      <c r="F178" s="26">
        <v>7.2275686355715407E-2</v>
      </c>
      <c r="G178" s="26">
        <v>8.3171966404186146E-3</v>
      </c>
      <c r="H178" s="26">
        <v>-8.2952838151519361E-3</v>
      </c>
      <c r="I178" s="26">
        <v>4.3392463853968846E-2</v>
      </c>
      <c r="J178" s="26">
        <v>1.7185976566210202E-3</v>
      </c>
      <c r="K178" s="26">
        <v>-5.9065953174957504E-2</v>
      </c>
      <c r="L178" s="26">
        <v>-3.1079528046481581E-2</v>
      </c>
      <c r="M178" s="26">
        <v>-0.13090560166280624</v>
      </c>
      <c r="N178" s="26">
        <v>5.4170148227412736E-2</v>
      </c>
    </row>
    <row r="179" spans="2:14" x14ac:dyDescent="0.2">
      <c r="B179" s="111">
        <v>45808</v>
      </c>
      <c r="C179" s="26">
        <v>0.12629695009167682</v>
      </c>
      <c r="D179" s="26">
        <v>3.8363164128901166E-2</v>
      </c>
      <c r="E179" s="26">
        <v>4.5763298165943558E-2</v>
      </c>
      <c r="F179" s="26">
        <v>-9.4787008987583955E-3</v>
      </c>
      <c r="G179" s="26">
        <v>0.13369390334770567</v>
      </c>
      <c r="H179" s="26">
        <v>1.5474662212816534E-2</v>
      </c>
      <c r="I179" s="26">
        <v>-4.4108400312031518E-2</v>
      </c>
      <c r="J179" s="26">
        <v>-2.6806792738844537E-2</v>
      </c>
      <c r="K179" s="26">
        <v>-8.7382690544908145E-2</v>
      </c>
      <c r="L179" s="26">
        <v>8.3986322279896677E-2</v>
      </c>
      <c r="M179" s="26">
        <v>9.7733121703503668E-3</v>
      </c>
      <c r="N179" s="26">
        <v>5.9251095755945143E-2</v>
      </c>
    </row>
    <row r="180" spans="2:14" x14ac:dyDescent="0.2">
      <c r="B180" s="111">
        <v>45838</v>
      </c>
      <c r="C180" s="26">
        <v>9.3657406862593356E-2</v>
      </c>
      <c r="D180" s="26">
        <v>5.289664154268444E-2</v>
      </c>
      <c r="E180" s="26">
        <v>1.4648796489099518E-2</v>
      </c>
      <c r="F180" s="26">
        <v>-5.1649341731029592E-2</v>
      </c>
      <c r="G180" s="26">
        <v>4.9512699314655982E-2</v>
      </c>
      <c r="H180" s="26">
        <v>-4.4361025103944351E-2</v>
      </c>
      <c r="I180" s="26">
        <v>-7.0533968068468858E-2</v>
      </c>
      <c r="J180" s="26">
        <v>-9.5877075113272064E-2</v>
      </c>
      <c r="K180" s="26">
        <v>-1.9299151270200154E-2</v>
      </c>
      <c r="L180" s="26">
        <v>3.8424945840328073E-2</v>
      </c>
      <c r="M180" s="26">
        <v>8.5171537738980858E-3</v>
      </c>
      <c r="N180" s="26">
        <v>-5.9594848977226758E-3</v>
      </c>
    </row>
    <row r="181" spans="2:14" x14ac:dyDescent="0.2">
      <c r="B181" s="111">
        <v>45869</v>
      </c>
      <c r="C181" s="26">
        <v>-6.8825525133136218E-3</v>
      </c>
      <c r="D181" s="26">
        <v>4.900408060645018E-2</v>
      </c>
      <c r="E181" s="26">
        <v>-9.7552629145584199E-2</v>
      </c>
      <c r="F181" s="26">
        <v>3.6332131212384912E-2</v>
      </c>
      <c r="G181" s="26">
        <v>-1.5307322936294282E-2</v>
      </c>
      <c r="H181" s="26">
        <v>-6.4375815571987821E-2</v>
      </c>
      <c r="I181" s="26">
        <v>6.8085181917221752E-2</v>
      </c>
      <c r="J181" s="26">
        <v>-0.16406853586502435</v>
      </c>
      <c r="K181" s="26">
        <v>-4.0992613843960093E-2</v>
      </c>
      <c r="L181" s="26">
        <v>1.085029634689774E-2</v>
      </c>
      <c r="M181" s="26">
        <v>1.4254213500138857E-2</v>
      </c>
      <c r="N181" s="26">
        <v>-2.7977620955238366E-2</v>
      </c>
    </row>
    <row r="182" spans="2:14" x14ac:dyDescent="0.2">
      <c r="B182" s="111">
        <v>45900</v>
      </c>
      <c r="C182" s="26">
        <v>1.7155216925919332E-2</v>
      </c>
      <c r="D182" s="26">
        <v>-4.0344662293393292E-2</v>
      </c>
      <c r="E182" s="26">
        <v>-7.219249342146708E-2</v>
      </c>
      <c r="F182" s="26">
        <v>-9.73841089300982E-3</v>
      </c>
      <c r="G182" s="26">
        <v>-9.8369022559695721E-2</v>
      </c>
      <c r="H182" s="26">
        <v>-2.7894002789400279E-2</v>
      </c>
      <c r="I182" s="26">
        <v>0.1027594872196138</v>
      </c>
      <c r="J182" s="26">
        <v>2.7208786748969399E-2</v>
      </c>
      <c r="K182" s="26">
        <v>7.166415256622112E-2</v>
      </c>
      <c r="L182" s="26">
        <v>-7.9737116969296779E-2</v>
      </c>
      <c r="M182" s="26">
        <v>2.8450583254925527E-2</v>
      </c>
      <c r="N182" s="26">
        <v>-4.6874934718414599E-2</v>
      </c>
    </row>
    <row r="183" spans="2:14" x14ac:dyDescent="0.2">
      <c r="B183" s="111">
        <v>45900</v>
      </c>
      <c r="C183" s="26"/>
      <c r="D183" s="26"/>
      <c r="E183" s="26"/>
      <c r="F183" s="26"/>
      <c r="G183" s="26"/>
      <c r="H183" s="26"/>
      <c r="I183" s="26"/>
      <c r="J183" s="26"/>
      <c r="K183" s="26"/>
      <c r="L183" s="26"/>
      <c r="M183" s="26"/>
      <c r="N183" s="26"/>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96BA0-7508-2E4A-9110-2233D9C3F1B2}">
  <sheetPr codeName="Sheet25"/>
  <dimension ref="B1:N33"/>
  <sheetViews>
    <sheetView tabSelected="1" zoomScale="69" workbookViewId="0">
      <selection activeCell="F39" sqref="F39"/>
    </sheetView>
  </sheetViews>
  <sheetFormatPr baseColWidth="10" defaultRowHeight="15" x14ac:dyDescent="0.2"/>
  <cols>
    <col min="2" max="2" width="23.1640625" bestFit="1" customWidth="1"/>
    <col min="3" max="3" width="12.1640625" bestFit="1" customWidth="1"/>
    <col min="4" max="4" width="16.33203125" bestFit="1" customWidth="1"/>
    <col min="5" max="5" width="10.1640625" bestFit="1" customWidth="1"/>
    <col min="6" max="6" width="7.83203125" bestFit="1" customWidth="1"/>
    <col min="7" max="7" width="7.33203125" bestFit="1" customWidth="1"/>
    <col min="8" max="8" width="11.1640625" bestFit="1" customWidth="1"/>
    <col min="9" max="9" width="13.6640625" bestFit="1" customWidth="1"/>
    <col min="10" max="10" width="8.1640625" bestFit="1" customWidth="1"/>
    <col min="11" max="11" width="7" bestFit="1" customWidth="1"/>
    <col min="12" max="12" width="17" bestFit="1" customWidth="1"/>
    <col min="13" max="13" width="13.1640625" bestFit="1" customWidth="1"/>
    <col min="14" max="14" width="7" bestFit="1" customWidth="1"/>
  </cols>
  <sheetData>
    <row r="1" spans="2:14" ht="16" thickBot="1" x14ac:dyDescent="0.25"/>
    <row r="2" spans="2:14" x14ac:dyDescent="0.2">
      <c r="B2" s="151" t="s">
        <v>317</v>
      </c>
      <c r="C2" s="152" t="s">
        <v>9</v>
      </c>
      <c r="D2" s="152" t="s">
        <v>316</v>
      </c>
      <c r="E2" s="152" t="s">
        <v>11</v>
      </c>
      <c r="F2" s="152" t="s">
        <v>12</v>
      </c>
      <c r="G2" s="152" t="s">
        <v>13</v>
      </c>
      <c r="H2" s="152" t="s">
        <v>14</v>
      </c>
      <c r="I2" s="152" t="s">
        <v>15</v>
      </c>
      <c r="J2" s="152" t="s">
        <v>16</v>
      </c>
      <c r="K2" s="152" t="s">
        <v>17</v>
      </c>
      <c r="L2" s="152" t="s">
        <v>18</v>
      </c>
      <c r="M2" s="152" t="s">
        <v>19</v>
      </c>
      <c r="N2" s="153" t="s">
        <v>20</v>
      </c>
    </row>
    <row r="3" spans="2:14" x14ac:dyDescent="0.2">
      <c r="B3" s="154" t="s">
        <v>318</v>
      </c>
      <c r="C3" s="149" t="s">
        <v>22</v>
      </c>
      <c r="D3" s="149" t="s">
        <v>23</v>
      </c>
      <c r="E3" s="149" t="s">
        <v>24</v>
      </c>
      <c r="F3" s="149" t="s">
        <v>25</v>
      </c>
      <c r="G3" s="149" t="s">
        <v>26</v>
      </c>
      <c r="H3" s="149" t="s">
        <v>27</v>
      </c>
      <c r="I3" s="149" t="s">
        <v>28</v>
      </c>
      <c r="J3" s="149" t="s">
        <v>29</v>
      </c>
      <c r="K3" s="149" t="s">
        <v>30</v>
      </c>
      <c r="L3" s="149" t="s">
        <v>31</v>
      </c>
      <c r="M3" s="149" t="s">
        <v>32</v>
      </c>
      <c r="N3" s="155" t="s">
        <v>33</v>
      </c>
    </row>
    <row r="4" spans="2:14" x14ac:dyDescent="0.2">
      <c r="B4" s="154" t="s">
        <v>240</v>
      </c>
      <c r="C4" s="150">
        <v>1.8353192314365933E-2</v>
      </c>
      <c r="D4" s="150">
        <v>1.0802049268044851E-2</v>
      </c>
      <c r="E4" s="150">
        <v>1.1765025342822949E-2</v>
      </c>
      <c r="F4" s="150">
        <v>6.3944428594207535E-3</v>
      </c>
      <c r="G4" s="150">
        <v>6.5414564183260589E-3</v>
      </c>
      <c r="H4" s="150">
        <v>1.8609588198570306E-2</v>
      </c>
      <c r="I4" s="150">
        <v>5.8213508800785425E-3</v>
      </c>
      <c r="J4" s="150">
        <v>8.39288591431951E-3</v>
      </c>
      <c r="K4" s="150">
        <v>8.2943728306026452E-3</v>
      </c>
      <c r="L4" s="150">
        <v>1.3385431639095171E-2</v>
      </c>
      <c r="M4" s="150">
        <v>8.9876987303617994E-3</v>
      </c>
      <c r="N4" s="156">
        <v>1.1511434282027579E-2</v>
      </c>
    </row>
    <row r="5" spans="2:14" x14ac:dyDescent="0.2">
      <c r="B5" s="154" t="s">
        <v>301</v>
      </c>
      <c r="C5" s="150">
        <v>8.8934194844897577E-2</v>
      </c>
      <c r="D5" s="150">
        <v>9.3740979967282867E-2</v>
      </c>
      <c r="E5" s="150">
        <v>7.622591479924988E-2</v>
      </c>
      <c r="F5" s="150">
        <v>4.6148189836844128E-2</v>
      </c>
      <c r="G5" s="150">
        <v>7.1858262578004248E-2</v>
      </c>
      <c r="H5" s="150">
        <v>7.3923859362519537E-2</v>
      </c>
      <c r="I5" s="150">
        <v>5.4566912678864883E-2</v>
      </c>
      <c r="J5" s="150">
        <v>0.11127162359518497</v>
      </c>
      <c r="K5" s="150">
        <v>5.5213641564772542E-2</v>
      </c>
      <c r="L5" s="150">
        <v>6.4583580696525283E-2</v>
      </c>
      <c r="M5" s="150">
        <v>6.5125548700578614E-2</v>
      </c>
      <c r="N5" s="156">
        <v>5.9924362701828847E-2</v>
      </c>
    </row>
    <row r="6" spans="2:14" x14ac:dyDescent="0.2">
      <c r="B6" s="154" t="s">
        <v>244</v>
      </c>
      <c r="C6" s="150">
        <v>0.2202383077723912</v>
      </c>
      <c r="D6" s="150">
        <v>0.12962459121653822</v>
      </c>
      <c r="E6" s="150">
        <v>0.14118030411387539</v>
      </c>
      <c r="F6" s="150">
        <v>7.6733314313049042E-2</v>
      </c>
      <c r="G6" s="150">
        <v>7.8497477019912706E-2</v>
      </c>
      <c r="H6" s="150">
        <v>0.22331505838284366</v>
      </c>
      <c r="I6" s="150">
        <v>6.9856210560942517E-2</v>
      </c>
      <c r="J6" s="150">
        <v>0.10071463097183411</v>
      </c>
      <c r="K6" s="150">
        <v>9.9532473967231749E-2</v>
      </c>
      <c r="L6" s="150">
        <v>0.16062517966914205</v>
      </c>
      <c r="M6" s="150">
        <v>0.10785238476434159</v>
      </c>
      <c r="N6" s="156">
        <v>0.13813721138433094</v>
      </c>
    </row>
    <row r="7" spans="2:14" ht="16" thickBot="1" x14ac:dyDescent="0.25">
      <c r="B7" s="157" t="s">
        <v>245</v>
      </c>
      <c r="C7" s="158">
        <v>0.30807708800318545</v>
      </c>
      <c r="D7" s="158">
        <v>0.32472828010926047</v>
      </c>
      <c r="E7" s="158">
        <v>0.26405431457143436</v>
      </c>
      <c r="F7" s="158">
        <v>0.15986201894949545</v>
      </c>
      <c r="G7" s="158">
        <v>0.24892432345745738</v>
      </c>
      <c r="H7" s="158">
        <v>0.25607976061492016</v>
      </c>
      <c r="I7" s="158">
        <v>0.18902533034393665</v>
      </c>
      <c r="J7" s="158">
        <v>0.38545621101508054</v>
      </c>
      <c r="K7" s="158">
        <v>0.19126566492216562</v>
      </c>
      <c r="L7" s="158">
        <v>0.22372408620221274</v>
      </c>
      <c r="M7" s="158">
        <v>0.22560151844040685</v>
      </c>
      <c r="N7" s="159">
        <v>0.20758408162150591</v>
      </c>
    </row>
    <row r="10" spans="2:14" ht="16" thickBot="1" x14ac:dyDescent="0.25"/>
    <row r="11" spans="2:14" x14ac:dyDescent="0.2">
      <c r="B11" s="151" t="s">
        <v>317</v>
      </c>
      <c r="C11" s="152" t="s">
        <v>9</v>
      </c>
      <c r="D11" s="152" t="s">
        <v>316</v>
      </c>
      <c r="E11" s="152" t="s">
        <v>11</v>
      </c>
      <c r="F11" s="152" t="s">
        <v>12</v>
      </c>
      <c r="G11" s="152" t="s">
        <v>13</v>
      </c>
      <c r="H11" s="152" t="s">
        <v>14</v>
      </c>
      <c r="I11" s="152" t="s">
        <v>15</v>
      </c>
      <c r="J11" s="152" t="s">
        <v>16</v>
      </c>
      <c r="K11" s="152" t="s">
        <v>17</v>
      </c>
      <c r="L11" s="152" t="s">
        <v>18</v>
      </c>
      <c r="M11" s="152" t="s">
        <v>19</v>
      </c>
      <c r="N11" s="153" t="s">
        <v>20</v>
      </c>
    </row>
    <row r="12" spans="2:14" ht="16" thickBot="1" x14ac:dyDescent="0.25">
      <c r="B12" s="157" t="s">
        <v>319</v>
      </c>
      <c r="C12" s="158">
        <v>8.3333333333333329E-2</v>
      </c>
      <c r="D12" s="158">
        <v>8.3333333333333329E-2</v>
      </c>
      <c r="E12" s="158">
        <v>8.3333333333333329E-2</v>
      </c>
      <c r="F12" s="158">
        <v>8.3333333333333329E-2</v>
      </c>
      <c r="G12" s="158">
        <v>8.3333333333333329E-2</v>
      </c>
      <c r="H12" s="158">
        <v>8.3333333333333329E-2</v>
      </c>
      <c r="I12" s="158">
        <v>8.3333333333333329E-2</v>
      </c>
      <c r="J12" s="158">
        <v>8.3333333333333329E-2</v>
      </c>
      <c r="K12" s="158">
        <v>8.3333333333333329E-2</v>
      </c>
      <c r="L12" s="158">
        <v>8.3333333333333329E-2</v>
      </c>
      <c r="M12" s="158">
        <v>8.3333333333333329E-2</v>
      </c>
      <c r="N12" s="159">
        <v>8.3333333333333329E-2</v>
      </c>
    </row>
    <row r="13" spans="2:14" ht="16" thickBot="1" x14ac:dyDescent="0.25"/>
    <row r="14" spans="2:14" x14ac:dyDescent="0.2">
      <c r="B14" s="160" t="s">
        <v>295</v>
      </c>
      <c r="C14" s="161"/>
    </row>
    <row r="15" spans="2:14" x14ac:dyDescent="0.2">
      <c r="B15" s="162" t="s">
        <v>240</v>
      </c>
      <c r="C15" s="156">
        <v>1.0738244056503001E-2</v>
      </c>
    </row>
    <row r="16" spans="2:14" x14ac:dyDescent="0.2">
      <c r="B16" s="162" t="s">
        <v>240</v>
      </c>
      <c r="C16" s="156">
        <v>1.0738244056503005E-2</v>
      </c>
    </row>
    <row r="17" spans="2:4" x14ac:dyDescent="0.2">
      <c r="B17" s="162" t="s">
        <v>320</v>
      </c>
      <c r="C17" s="156">
        <v>4.7703961667749831E-2</v>
      </c>
    </row>
    <row r="18" spans="2:4" x14ac:dyDescent="0.2">
      <c r="B18" s="162" t="s">
        <v>244</v>
      </c>
      <c r="C18" s="156">
        <v>0.12885892867803606</v>
      </c>
    </row>
    <row r="19" spans="2:4" ht="16" thickBot="1" x14ac:dyDescent="0.25">
      <c r="B19" s="163" t="s">
        <v>245</v>
      </c>
      <c r="C19" s="159">
        <v>0.16525137066172171</v>
      </c>
    </row>
    <row r="20" spans="2:4" ht="16" thickBot="1" x14ac:dyDescent="0.25"/>
    <row r="21" spans="2:4" x14ac:dyDescent="0.2">
      <c r="B21" s="151" t="s">
        <v>321</v>
      </c>
      <c r="C21" s="152" t="s">
        <v>245</v>
      </c>
      <c r="D21" s="153" t="s">
        <v>244</v>
      </c>
    </row>
    <row r="22" spans="2:4" s="148" customFormat="1" x14ac:dyDescent="0.2">
      <c r="B22" s="166" t="s">
        <v>9</v>
      </c>
      <c r="C22" s="150">
        <v>0.30807708800318545</v>
      </c>
      <c r="D22" s="156">
        <v>0.2202383077723912</v>
      </c>
    </row>
    <row r="23" spans="2:4" s="164" customFormat="1" x14ac:dyDescent="0.2">
      <c r="B23" s="167" t="s">
        <v>316</v>
      </c>
      <c r="C23" s="165">
        <v>0.32472828010926047</v>
      </c>
      <c r="D23" s="168">
        <v>0.12962459121653822</v>
      </c>
    </row>
    <row r="24" spans="2:4" s="148" customFormat="1" x14ac:dyDescent="0.2">
      <c r="B24" s="166" t="s">
        <v>11</v>
      </c>
      <c r="C24" s="150">
        <v>0.26405431457143436</v>
      </c>
      <c r="D24" s="156">
        <v>0.14118030411387539</v>
      </c>
    </row>
    <row r="25" spans="2:4" s="164" customFormat="1" x14ac:dyDescent="0.2">
      <c r="B25" s="167" t="s">
        <v>12</v>
      </c>
      <c r="C25" s="165">
        <v>0.15986201894949545</v>
      </c>
      <c r="D25" s="168">
        <v>7.6733314313049042E-2</v>
      </c>
    </row>
    <row r="26" spans="2:4" s="148" customFormat="1" x14ac:dyDescent="0.2">
      <c r="B26" s="166" t="s">
        <v>13</v>
      </c>
      <c r="C26" s="150">
        <v>0.24892432345745738</v>
      </c>
      <c r="D26" s="156">
        <v>7.8497477019912706E-2</v>
      </c>
    </row>
    <row r="27" spans="2:4" s="164" customFormat="1" x14ac:dyDescent="0.2">
      <c r="B27" s="167" t="s">
        <v>14</v>
      </c>
      <c r="C27" s="165">
        <v>0.25607976061492016</v>
      </c>
      <c r="D27" s="168">
        <v>0.22331505838284366</v>
      </c>
    </row>
    <row r="28" spans="2:4" s="148" customFormat="1" x14ac:dyDescent="0.2">
      <c r="B28" s="166" t="s">
        <v>15</v>
      </c>
      <c r="C28" s="150">
        <v>0.18902533034393665</v>
      </c>
      <c r="D28" s="156">
        <v>6.9856210560942517E-2</v>
      </c>
    </row>
    <row r="29" spans="2:4" s="164" customFormat="1" x14ac:dyDescent="0.2">
      <c r="B29" s="167" t="s">
        <v>16</v>
      </c>
      <c r="C29" s="165">
        <v>0.38545621101508054</v>
      </c>
      <c r="D29" s="168">
        <v>0.10071463097183411</v>
      </c>
    </row>
    <row r="30" spans="2:4" s="148" customFormat="1" x14ac:dyDescent="0.2">
      <c r="B30" s="166" t="s">
        <v>17</v>
      </c>
      <c r="C30" s="150">
        <v>0.19126566492216562</v>
      </c>
      <c r="D30" s="156">
        <v>9.9532473967231749E-2</v>
      </c>
    </row>
    <row r="31" spans="2:4" s="164" customFormat="1" x14ac:dyDescent="0.2">
      <c r="B31" s="167" t="s">
        <v>18</v>
      </c>
      <c r="C31" s="165">
        <v>0.22372408620221274</v>
      </c>
      <c r="D31" s="168">
        <v>0.16062517966914205</v>
      </c>
    </row>
    <row r="32" spans="2:4" s="148" customFormat="1" x14ac:dyDescent="0.2">
      <c r="B32" s="166" t="s">
        <v>19</v>
      </c>
      <c r="C32" s="150">
        <v>0.22560151844040685</v>
      </c>
      <c r="D32" s="156">
        <v>0.10785238476434159</v>
      </c>
    </row>
    <row r="33" spans="2:4" s="164" customFormat="1" ht="16" thickBot="1" x14ac:dyDescent="0.25">
      <c r="B33" s="169" t="s">
        <v>20</v>
      </c>
      <c r="C33" s="170">
        <v>0.20758408162150591</v>
      </c>
      <c r="D33" s="171">
        <v>0.13813721138433094</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3FF6C-EB5C-D54F-91D0-48822D92F58C}">
  <sheetPr codeName="Sheet26"/>
  <dimension ref="B2:N14"/>
  <sheetViews>
    <sheetView zoomScale="63" workbookViewId="0">
      <selection activeCell="C19" sqref="C19"/>
    </sheetView>
  </sheetViews>
  <sheetFormatPr baseColWidth="10" defaultRowHeight="15" x14ac:dyDescent="0.2"/>
  <sheetData>
    <row r="2" spans="2:14" x14ac:dyDescent="0.2">
      <c r="C2" t="s">
        <v>9</v>
      </c>
      <c r="D2" t="s">
        <v>316</v>
      </c>
      <c r="E2" t="s">
        <v>11</v>
      </c>
      <c r="F2" t="s">
        <v>12</v>
      </c>
      <c r="G2" t="s">
        <v>13</v>
      </c>
      <c r="H2" t="s">
        <v>14</v>
      </c>
      <c r="I2" t="s">
        <v>15</v>
      </c>
      <c r="J2" t="s">
        <v>16</v>
      </c>
      <c r="K2" t="s">
        <v>17</v>
      </c>
      <c r="L2" t="s">
        <v>18</v>
      </c>
      <c r="M2" t="s">
        <v>19</v>
      </c>
      <c r="N2" t="s">
        <v>20</v>
      </c>
    </row>
    <row r="3" spans="2:14" x14ac:dyDescent="0.2">
      <c r="B3" t="s">
        <v>9</v>
      </c>
      <c r="C3" s="26">
        <v>7.9092910127102067E-3</v>
      </c>
      <c r="D3" s="26">
        <v>4.8602965779138566E-3</v>
      </c>
      <c r="E3" s="26">
        <v>3.148420522462691E-3</v>
      </c>
      <c r="F3" s="26">
        <v>1.5674193917281944E-3</v>
      </c>
      <c r="G3" s="26">
        <v>2.8659842191614848E-3</v>
      </c>
      <c r="H3" s="26">
        <v>1.2412654790050523E-3</v>
      </c>
      <c r="I3" s="26">
        <v>1.638039926336146E-3</v>
      </c>
      <c r="J3" s="26">
        <v>5.7556099665542074E-3</v>
      </c>
      <c r="K3" s="26">
        <v>1.5935305490059803E-3</v>
      </c>
      <c r="L3" s="26">
        <v>2.8276659732405889E-3</v>
      </c>
      <c r="M3" s="26">
        <v>3.0987921283345717E-3</v>
      </c>
      <c r="N3" s="26">
        <v>3.2178499250089575E-3</v>
      </c>
    </row>
    <row r="4" spans="2:14" x14ac:dyDescent="0.2">
      <c r="B4" t="s">
        <v>316</v>
      </c>
      <c r="C4" s="26">
        <v>4.8602965779138566E-3</v>
      </c>
      <c r="D4" s="26">
        <v>8.7873713252265302E-3</v>
      </c>
      <c r="E4" s="26">
        <v>3.7395931990973543E-3</v>
      </c>
      <c r="F4" s="26">
        <v>1.146619939726241E-3</v>
      </c>
      <c r="G4" s="26">
        <v>2.8212815075912127E-3</v>
      </c>
      <c r="H4" s="26">
        <v>9.5109993458166375E-4</v>
      </c>
      <c r="I4" s="26">
        <v>1.016085960033242E-3</v>
      </c>
      <c r="J4" s="26">
        <v>6.6504184475847609E-3</v>
      </c>
      <c r="K4" s="26">
        <v>1.6764299399149652E-3</v>
      </c>
      <c r="L4" s="26">
        <v>2.9748466798968122E-3</v>
      </c>
      <c r="M4" s="26">
        <v>3.7655588133041549E-3</v>
      </c>
      <c r="N4" s="26">
        <v>3.6928810984202874E-3</v>
      </c>
    </row>
    <row r="5" spans="2:14" x14ac:dyDescent="0.2">
      <c r="B5" t="s">
        <v>11</v>
      </c>
      <c r="C5" s="26">
        <v>3.148420522462691E-3</v>
      </c>
      <c r="D5" s="26">
        <v>3.7395931990973543E-3</v>
      </c>
      <c r="E5" s="26">
        <v>5.8103900869824997E-3</v>
      </c>
      <c r="F5" s="26">
        <v>1.2152141706187358E-3</v>
      </c>
      <c r="G5" s="26">
        <v>1.6670267677902598E-3</v>
      </c>
      <c r="H5" s="26">
        <v>1.8358585442989042E-3</v>
      </c>
      <c r="I5" s="26">
        <v>1.5430781015042503E-3</v>
      </c>
      <c r="J5" s="26">
        <v>4.0179459424485682E-3</v>
      </c>
      <c r="K5" s="26">
        <v>1.2343060278663051E-3</v>
      </c>
      <c r="L5" s="26">
        <v>2.8545465780078294E-3</v>
      </c>
      <c r="M5" s="26">
        <v>1.5430864699004703E-3</v>
      </c>
      <c r="N5" s="26">
        <v>2.3636601776736302E-3</v>
      </c>
    </row>
    <row r="6" spans="2:14" x14ac:dyDescent="0.2">
      <c r="B6" t="s">
        <v>12</v>
      </c>
      <c r="C6" s="26">
        <v>1.5674193917281944E-3</v>
      </c>
      <c r="D6" s="26">
        <v>1.146619939726241E-3</v>
      </c>
      <c r="E6" s="26">
        <v>1.2152141706187358E-3</v>
      </c>
      <c r="F6" s="26">
        <v>2.1296554252174028E-3</v>
      </c>
      <c r="G6" s="26">
        <v>9.0533677113228907E-4</v>
      </c>
      <c r="H6" s="26">
        <v>5.4617399279200556E-4</v>
      </c>
      <c r="I6" s="26">
        <v>9.4581419437615158E-4</v>
      </c>
      <c r="J6" s="26">
        <v>2.0722505157650243E-3</v>
      </c>
      <c r="K6" s="26">
        <v>1.0632281722426815E-3</v>
      </c>
      <c r="L6" s="26">
        <v>8.2797992820514768E-4</v>
      </c>
      <c r="M6" s="26">
        <v>1.0493526457471701E-3</v>
      </c>
      <c r="N6" s="26">
        <v>1.2325085496477991E-3</v>
      </c>
    </row>
    <row r="7" spans="2:14" x14ac:dyDescent="0.2">
      <c r="B7" t="s">
        <v>13</v>
      </c>
      <c r="C7" s="26">
        <v>2.8659842191614848E-3</v>
      </c>
      <c r="D7" s="26">
        <v>2.8212815075912127E-3</v>
      </c>
      <c r="E7" s="26">
        <v>1.6670267677902598E-3</v>
      </c>
      <c r="F7" s="26">
        <v>9.0533677113228907E-4</v>
      </c>
      <c r="G7" s="26">
        <v>5.1636099007294064E-3</v>
      </c>
      <c r="H7" s="26">
        <v>4.7185652997449554E-4</v>
      </c>
      <c r="I7" s="26">
        <v>6.9292956636158752E-4</v>
      </c>
      <c r="J7" s="26">
        <v>2.7236846852690981E-3</v>
      </c>
      <c r="K7" s="26">
        <v>1.046999495581094E-3</v>
      </c>
      <c r="L7" s="26">
        <v>1.6868132401194097E-3</v>
      </c>
      <c r="M7" s="26">
        <v>1.7870306349602387E-3</v>
      </c>
      <c r="N7" s="26">
        <v>1.8451410297643442E-3</v>
      </c>
    </row>
    <row r="8" spans="2:14" x14ac:dyDescent="0.2">
      <c r="B8" t="s">
        <v>14</v>
      </c>
      <c r="C8" s="26">
        <v>1.2412654790050523E-3</v>
      </c>
      <c r="D8" s="26">
        <v>9.5109993458166375E-4</v>
      </c>
      <c r="E8" s="26">
        <v>1.8358585442989042E-3</v>
      </c>
      <c r="F8" s="26">
        <v>5.4617399279200556E-4</v>
      </c>
      <c r="G8" s="26">
        <v>4.7185652997449554E-4</v>
      </c>
      <c r="H8" s="26">
        <v>5.4647369830495649E-3</v>
      </c>
      <c r="I8" s="26">
        <v>1.3813741947250164E-3</v>
      </c>
      <c r="J8" s="26">
        <v>1.8301616574615931E-3</v>
      </c>
      <c r="K8" s="26">
        <v>2.7017622221153613E-4</v>
      </c>
      <c r="L8" s="26">
        <v>2.0760677902055403E-3</v>
      </c>
      <c r="M8" s="26">
        <v>2.3406179555692872E-4</v>
      </c>
      <c r="N8" s="26">
        <v>9.8094907800441267E-4</v>
      </c>
    </row>
    <row r="9" spans="2:14" x14ac:dyDescent="0.2">
      <c r="B9" t="s">
        <v>15</v>
      </c>
      <c r="C9" s="26">
        <v>1.638039926336146E-3</v>
      </c>
      <c r="D9" s="26">
        <v>1.016085960033242E-3</v>
      </c>
      <c r="E9" s="26">
        <v>1.5430781015042503E-3</v>
      </c>
      <c r="F9" s="26">
        <v>9.4581419437615158E-4</v>
      </c>
      <c r="G9" s="26">
        <v>6.9292956636158752E-4</v>
      </c>
      <c r="H9" s="26">
        <v>1.3813741947250164E-3</v>
      </c>
      <c r="I9" s="26">
        <v>2.9775479593028664E-3</v>
      </c>
      <c r="J9" s="26">
        <v>1.9402731740811509E-3</v>
      </c>
      <c r="K9" s="26">
        <v>6.7420837648773414E-4</v>
      </c>
      <c r="L9" s="26">
        <v>1.1050241694471605E-3</v>
      </c>
      <c r="M9" s="26">
        <v>8.5100824240593289E-4</v>
      </c>
      <c r="N9" s="26">
        <v>1.0576693460548339E-3</v>
      </c>
    </row>
    <row r="10" spans="2:14" x14ac:dyDescent="0.2">
      <c r="B10" t="s">
        <v>16</v>
      </c>
      <c r="C10" s="26">
        <v>5.7556099665542074E-3</v>
      </c>
      <c r="D10" s="26">
        <v>6.6504184475847609E-3</v>
      </c>
      <c r="E10" s="26">
        <v>4.0179459424485682E-3</v>
      </c>
      <c r="F10" s="26">
        <v>2.0722505157650243E-3</v>
      </c>
      <c r="G10" s="26">
        <v>2.7236846852690981E-3</v>
      </c>
      <c r="H10" s="26">
        <v>1.8301616574615931E-3</v>
      </c>
      <c r="I10" s="26">
        <v>1.9402731740811509E-3</v>
      </c>
      <c r="J10" s="26">
        <v>1.2381374217508512E-2</v>
      </c>
      <c r="K10" s="26">
        <v>1.5105494433057618E-3</v>
      </c>
      <c r="L10" s="26">
        <v>3.6499118728042343E-3</v>
      </c>
      <c r="M10" s="26">
        <v>4.0877546771432658E-3</v>
      </c>
      <c r="N10" s="26">
        <v>3.8569377977687998E-3</v>
      </c>
    </row>
    <row r="11" spans="2:14" x14ac:dyDescent="0.2">
      <c r="B11" t="s">
        <v>17</v>
      </c>
      <c r="C11" s="26">
        <v>1.5935305490059803E-3</v>
      </c>
      <c r="D11" s="26">
        <v>1.6764299399149652E-3</v>
      </c>
      <c r="E11" s="26">
        <v>1.2343060278663051E-3</v>
      </c>
      <c r="F11" s="26">
        <v>1.0632281722426815E-3</v>
      </c>
      <c r="G11" s="26">
        <v>1.046999495581094E-3</v>
      </c>
      <c r="H11" s="26">
        <v>2.7017622221153613E-4</v>
      </c>
      <c r="I11" s="26">
        <v>6.7420837648773414E-4</v>
      </c>
      <c r="J11" s="26">
        <v>1.5105494433057618E-3</v>
      </c>
      <c r="K11" s="26">
        <v>3.048546214843178E-3</v>
      </c>
      <c r="L11" s="26">
        <v>7.8087634147664601E-4</v>
      </c>
      <c r="M11" s="26">
        <v>1.168872842689713E-3</v>
      </c>
      <c r="N11" s="26">
        <v>8.298723517133087E-4</v>
      </c>
    </row>
    <row r="12" spans="2:14" x14ac:dyDescent="0.2">
      <c r="B12" t="s">
        <v>18</v>
      </c>
      <c r="C12" s="26">
        <v>2.8276659732405889E-3</v>
      </c>
      <c r="D12" s="26">
        <v>2.9748466798968122E-3</v>
      </c>
      <c r="E12" s="26">
        <v>2.8545465780078294E-3</v>
      </c>
      <c r="F12" s="26">
        <v>8.2797992820514768E-4</v>
      </c>
      <c r="G12" s="26">
        <v>1.6868132401194097E-3</v>
      </c>
      <c r="H12" s="26">
        <v>2.0760677902055403E-3</v>
      </c>
      <c r="I12" s="26">
        <v>1.1050241694471605E-3</v>
      </c>
      <c r="J12" s="26">
        <v>3.6499118728042343E-3</v>
      </c>
      <c r="K12" s="26">
        <v>7.8087634147664601E-4</v>
      </c>
      <c r="L12" s="26">
        <v>4.1710388955845936E-3</v>
      </c>
      <c r="M12" s="26">
        <v>1.3522382958467655E-3</v>
      </c>
      <c r="N12" s="26">
        <v>1.808962065157308E-3</v>
      </c>
    </row>
    <row r="13" spans="2:14" x14ac:dyDescent="0.2">
      <c r="B13" t="s">
        <v>19</v>
      </c>
      <c r="C13" s="26">
        <v>3.0987921283345717E-3</v>
      </c>
      <c r="D13" s="26">
        <v>3.7655588133041549E-3</v>
      </c>
      <c r="E13" s="26">
        <v>1.5430864699004703E-3</v>
      </c>
      <c r="F13" s="26">
        <v>1.0493526457471701E-3</v>
      </c>
      <c r="G13" s="26">
        <v>1.7870306349602387E-3</v>
      </c>
      <c r="H13" s="26">
        <v>2.3406179555692872E-4</v>
      </c>
      <c r="I13" s="26">
        <v>8.5100824240593289E-4</v>
      </c>
      <c r="J13" s="26">
        <v>4.0877546771432658E-3</v>
      </c>
      <c r="K13" s="26">
        <v>1.168872842689713E-3</v>
      </c>
      <c r="L13" s="26">
        <v>1.3522382958467655E-3</v>
      </c>
      <c r="M13" s="26">
        <v>4.2413370935514352E-3</v>
      </c>
      <c r="N13" s="26">
        <v>2.1417162080056566E-3</v>
      </c>
    </row>
    <row r="14" spans="2:14" x14ac:dyDescent="0.2">
      <c r="B14" t="s">
        <v>20</v>
      </c>
      <c r="C14" s="26">
        <v>3.2178499250089575E-3</v>
      </c>
      <c r="D14" s="26">
        <v>3.6928810984202874E-3</v>
      </c>
      <c r="E14" s="26">
        <v>2.3636601776736302E-3</v>
      </c>
      <c r="F14" s="26">
        <v>1.2325085496477991E-3</v>
      </c>
      <c r="G14" s="26">
        <v>1.8451410297643442E-3</v>
      </c>
      <c r="H14" s="26">
        <v>9.8094907800441267E-4</v>
      </c>
      <c r="I14" s="26">
        <v>1.0576693460548339E-3</v>
      </c>
      <c r="J14" s="26">
        <v>3.8569377977687998E-3</v>
      </c>
      <c r="K14" s="26">
        <v>8.298723517133087E-4</v>
      </c>
      <c r="L14" s="26">
        <v>1.808962065157308E-3</v>
      </c>
      <c r="M14" s="26">
        <v>2.1417162080056566E-3</v>
      </c>
      <c r="N14" s="26">
        <v>3.590929245220335E-3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7" tint="0.79998168889431442"/>
  </sheetPr>
  <dimension ref="B2:D183"/>
  <sheetViews>
    <sheetView showGridLines="0" topLeftCell="A167" zoomScale="125" workbookViewId="0">
      <selection activeCell="C188" sqref="C188"/>
    </sheetView>
  </sheetViews>
  <sheetFormatPr baseColWidth="10" defaultColWidth="10.83203125" defaultRowHeight="15" x14ac:dyDescent="0.2"/>
  <cols>
    <col min="4" max="4" width="13.1640625" bestFit="1" customWidth="1"/>
  </cols>
  <sheetData>
    <row r="2" spans="2:4" x14ac:dyDescent="0.2">
      <c r="B2" s="22" t="s">
        <v>308</v>
      </c>
      <c r="C2" s="20" t="s">
        <v>22</v>
      </c>
      <c r="D2" s="20" t="s">
        <v>310</v>
      </c>
    </row>
    <row r="3" spans="2:4" x14ac:dyDescent="0.2">
      <c r="B3" s="16" t="s">
        <v>237</v>
      </c>
      <c r="C3" s="23">
        <v>13.991005897521999</v>
      </c>
    </row>
    <row r="4" spans="2:4" x14ac:dyDescent="0.2">
      <c r="B4" s="16">
        <v>40451</v>
      </c>
      <c r="C4" s="23">
        <v>14.740307807922401</v>
      </c>
      <c r="D4" s="25">
        <f t="shared" ref="D4:D35" si="0">(C4-C3)/C3</f>
        <v>5.3555971306760222E-2</v>
      </c>
    </row>
    <row r="5" spans="2:4" x14ac:dyDescent="0.2">
      <c r="B5" s="16">
        <v>40482</v>
      </c>
      <c r="C5" s="23">
        <v>15.2156734466553</v>
      </c>
      <c r="D5" s="25">
        <f t="shared" si="0"/>
        <v>3.2249369886116423E-2</v>
      </c>
    </row>
    <row r="6" spans="2:4" x14ac:dyDescent="0.2">
      <c r="B6" s="16">
        <v>40512</v>
      </c>
      <c r="C6" s="23">
        <v>13.906405448913601</v>
      </c>
      <c r="D6" s="25">
        <f t="shared" si="0"/>
        <v>-8.6047324972625627E-2</v>
      </c>
    </row>
    <row r="7" spans="2:4" x14ac:dyDescent="0.2">
      <c r="B7" s="16">
        <v>40543</v>
      </c>
      <c r="C7" s="23">
        <v>14.051434516906699</v>
      </c>
      <c r="D7" s="25">
        <f t="shared" si="0"/>
        <v>1.0428939996455255E-2</v>
      </c>
    </row>
    <row r="8" spans="2:4" x14ac:dyDescent="0.2">
      <c r="B8" s="16">
        <v>40574</v>
      </c>
      <c r="C8" s="23">
        <v>16.960018157958999</v>
      </c>
      <c r="D8" s="25">
        <f t="shared" si="0"/>
        <v>0.20699549484094942</v>
      </c>
    </row>
    <row r="9" spans="2:4" x14ac:dyDescent="0.2">
      <c r="B9" s="16">
        <v>40602</v>
      </c>
      <c r="C9" s="23">
        <v>16.8875026702881</v>
      </c>
      <c r="D9" s="25">
        <f t="shared" si="0"/>
        <v>-4.2756727614037589E-3</v>
      </c>
    </row>
    <row r="10" spans="2:4" x14ac:dyDescent="0.2">
      <c r="B10" s="16">
        <v>40633</v>
      </c>
      <c r="C10" s="23">
        <v>16.549108505248999</v>
      </c>
      <c r="D10" s="25">
        <f t="shared" si="0"/>
        <v>-2.0038141319407329E-2</v>
      </c>
    </row>
    <row r="11" spans="2:4" x14ac:dyDescent="0.2">
      <c r="B11" s="16">
        <v>40663</v>
      </c>
      <c r="C11" s="23">
        <v>16.831104278564499</v>
      </c>
      <c r="D11" s="25">
        <f t="shared" si="0"/>
        <v>1.7039937421768559E-2</v>
      </c>
    </row>
    <row r="12" spans="2:4" x14ac:dyDescent="0.2">
      <c r="B12" s="16">
        <v>40694</v>
      </c>
      <c r="C12" s="23">
        <v>18.434452056884801</v>
      </c>
      <c r="D12" s="25">
        <f t="shared" si="0"/>
        <v>9.5260997245574019E-2</v>
      </c>
    </row>
    <row r="13" spans="2:4" x14ac:dyDescent="0.2">
      <c r="B13" s="16">
        <v>40724</v>
      </c>
      <c r="C13" s="23">
        <v>18.595588684081999</v>
      </c>
      <c r="D13" s="25">
        <f t="shared" si="0"/>
        <v>8.7410586818618061E-3</v>
      </c>
    </row>
    <row r="14" spans="2:4" x14ac:dyDescent="0.2">
      <c r="B14" s="16">
        <v>40755</v>
      </c>
      <c r="C14" s="23">
        <v>19.687273025512699</v>
      </c>
      <c r="D14" s="25">
        <f t="shared" si="0"/>
        <v>5.8706629834482826E-2</v>
      </c>
    </row>
    <row r="15" spans="2:4" x14ac:dyDescent="0.2">
      <c r="B15" s="16">
        <v>40786</v>
      </c>
      <c r="C15" s="23">
        <v>18.011415481567401</v>
      </c>
      <c r="D15" s="25">
        <f t="shared" si="0"/>
        <v>-8.5123904248879861E-2</v>
      </c>
    </row>
    <row r="16" spans="2:4" x14ac:dyDescent="0.2">
      <c r="B16" s="16">
        <v>40816</v>
      </c>
      <c r="C16" s="23">
        <v>17.250770568847699</v>
      </c>
      <c r="D16" s="25">
        <f t="shared" si="0"/>
        <v>-4.223126791440316E-2</v>
      </c>
    </row>
    <row r="17" spans="2:4" x14ac:dyDescent="0.2">
      <c r="B17" s="16">
        <v>40847</v>
      </c>
      <c r="C17" s="23">
        <v>17.385005950927699</v>
      </c>
      <c r="D17" s="25">
        <f t="shared" si="0"/>
        <v>7.7814136791320449E-3</v>
      </c>
    </row>
    <row r="18" spans="2:4" x14ac:dyDescent="0.2">
      <c r="B18" s="16">
        <v>40877</v>
      </c>
      <c r="C18" s="23">
        <v>18.0561618804932</v>
      </c>
      <c r="D18" s="25">
        <f t="shared" si="0"/>
        <v>3.8605447214683668E-2</v>
      </c>
    </row>
    <row r="19" spans="2:4" x14ac:dyDescent="0.2">
      <c r="B19" s="16">
        <v>40908</v>
      </c>
      <c r="C19" s="23">
        <v>19.646600723266602</v>
      </c>
      <c r="D19" s="25">
        <f t="shared" si="0"/>
        <v>8.8082885681902159E-2</v>
      </c>
    </row>
    <row r="20" spans="2:4" x14ac:dyDescent="0.2">
      <c r="B20" s="16">
        <v>40939</v>
      </c>
      <c r="C20" s="23">
        <v>20.891290664672901</v>
      </c>
      <c r="D20" s="25">
        <f t="shared" si="0"/>
        <v>6.3353959238977575E-2</v>
      </c>
    </row>
    <row r="21" spans="2:4" x14ac:dyDescent="0.2">
      <c r="B21" s="16">
        <v>40968</v>
      </c>
      <c r="C21" s="23">
        <v>22.180727005004901</v>
      </c>
      <c r="D21" s="25">
        <f t="shared" si="0"/>
        <v>6.1721238818070324E-2</v>
      </c>
    </row>
    <row r="22" spans="2:4" x14ac:dyDescent="0.2">
      <c r="B22" s="16">
        <v>40999</v>
      </c>
      <c r="C22" s="23">
        <v>24.979248046875</v>
      </c>
      <c r="D22" s="25">
        <f t="shared" si="0"/>
        <v>0.12616904041236501</v>
      </c>
    </row>
    <row r="23" spans="2:4" x14ac:dyDescent="0.2">
      <c r="B23" s="16">
        <v>41029</v>
      </c>
      <c r="C23" s="23">
        <v>24.263351440429702</v>
      </c>
      <c r="D23" s="25">
        <f t="shared" si="0"/>
        <v>-2.865965400967543E-2</v>
      </c>
    </row>
    <row r="24" spans="2:4" x14ac:dyDescent="0.2">
      <c r="B24" s="16">
        <v>41060</v>
      </c>
      <c r="C24" s="23">
        <v>22.022087097168001</v>
      </c>
      <c r="D24" s="25">
        <f t="shared" si="0"/>
        <v>-9.2372413957913166E-2</v>
      </c>
    </row>
    <row r="25" spans="2:4" x14ac:dyDescent="0.2">
      <c r="B25" s="16">
        <v>41090</v>
      </c>
      <c r="C25" s="23">
        <v>22.729854583740199</v>
      </c>
      <c r="D25" s="25">
        <f t="shared" si="0"/>
        <v>3.2138983169456979E-2</v>
      </c>
    </row>
    <row r="26" spans="2:4" x14ac:dyDescent="0.2">
      <c r="B26" s="16">
        <v>41121</v>
      </c>
      <c r="C26" s="23">
        <v>24.220502853393601</v>
      </c>
      <c r="D26" s="25">
        <f t="shared" si="0"/>
        <v>6.5581073744296503E-2</v>
      </c>
    </row>
    <row r="27" spans="2:4" x14ac:dyDescent="0.2">
      <c r="B27" s="16">
        <v>41152</v>
      </c>
      <c r="C27" s="23">
        <v>25.097938537597699</v>
      </c>
      <c r="D27" s="25">
        <f t="shared" si="0"/>
        <v>3.6226980484889398E-2</v>
      </c>
    </row>
    <row r="28" spans="2:4" x14ac:dyDescent="0.2">
      <c r="B28" s="16">
        <v>41182</v>
      </c>
      <c r="C28" s="23">
        <v>20.416906356811499</v>
      </c>
      <c r="D28" s="25">
        <f t="shared" si="0"/>
        <v>-0.18651062412053604</v>
      </c>
    </row>
    <row r="29" spans="2:4" x14ac:dyDescent="0.2">
      <c r="B29" s="16">
        <v>41213</v>
      </c>
      <c r="C29" s="23">
        <v>22.689130783081101</v>
      </c>
      <c r="D29" s="25">
        <f t="shared" si="0"/>
        <v>0.11129131840836119</v>
      </c>
    </row>
    <row r="30" spans="2:4" x14ac:dyDescent="0.2">
      <c r="B30" s="16">
        <v>41243</v>
      </c>
      <c r="C30" s="23">
        <v>21.430921554565401</v>
      </c>
      <c r="D30" s="25">
        <f t="shared" si="0"/>
        <v>-5.5454271939492934E-2</v>
      </c>
    </row>
    <row r="31" spans="2:4" x14ac:dyDescent="0.2">
      <c r="B31" s="16">
        <v>41274</v>
      </c>
      <c r="C31" s="23">
        <v>24.419166564941399</v>
      </c>
      <c r="D31" s="25">
        <f t="shared" si="0"/>
        <v>0.13943614150085001</v>
      </c>
    </row>
    <row r="32" spans="2:4" x14ac:dyDescent="0.2">
      <c r="B32" s="16">
        <v>41305</v>
      </c>
      <c r="C32" s="23">
        <v>28.6449279785156</v>
      </c>
      <c r="D32" s="25">
        <f t="shared" si="0"/>
        <v>0.17305100902342535</v>
      </c>
    </row>
    <row r="33" spans="2:4" x14ac:dyDescent="0.2">
      <c r="B33" s="16">
        <v>41333</v>
      </c>
      <c r="C33" s="23">
        <v>32.431961059570298</v>
      </c>
      <c r="D33" s="25">
        <f t="shared" si="0"/>
        <v>0.13220606048983841</v>
      </c>
    </row>
    <row r="34" spans="2:4" x14ac:dyDescent="0.2">
      <c r="B34" s="16">
        <v>41364</v>
      </c>
      <c r="C34" s="23">
        <v>32.862403869628899</v>
      </c>
      <c r="D34" s="25">
        <f t="shared" si="0"/>
        <v>1.3272179541285621E-2</v>
      </c>
    </row>
    <row r="35" spans="2:4" x14ac:dyDescent="0.2">
      <c r="B35" s="16">
        <v>41394</v>
      </c>
      <c r="C35" s="23">
        <v>33.197647094726598</v>
      </c>
      <c r="D35" s="25">
        <f t="shared" si="0"/>
        <v>1.0201421248052012E-2</v>
      </c>
    </row>
    <row r="36" spans="2:4" x14ac:dyDescent="0.2">
      <c r="B36" s="16">
        <v>41425</v>
      </c>
      <c r="C36" s="23">
        <v>36.794303894042997</v>
      </c>
      <c r="D36" s="25">
        <f t="shared" ref="D36:D67" si="1">(C36-C35)/C35</f>
        <v>0.1083407142998313</v>
      </c>
    </row>
    <row r="37" spans="2:4" x14ac:dyDescent="0.2">
      <c r="B37" s="16">
        <v>41455</v>
      </c>
      <c r="C37" s="23">
        <v>34.459606170654297</v>
      </c>
      <c r="D37" s="25">
        <f t="shared" si="1"/>
        <v>-6.3452694474447943E-2</v>
      </c>
    </row>
    <row r="38" spans="2:4" x14ac:dyDescent="0.2">
      <c r="B38" s="16">
        <v>41486</v>
      </c>
      <c r="C38" s="23">
        <v>37.665157318115199</v>
      </c>
      <c r="D38" s="25">
        <f t="shared" si="1"/>
        <v>9.3023441173008536E-2</v>
      </c>
    </row>
    <row r="39" spans="2:4" x14ac:dyDescent="0.2">
      <c r="B39" s="16">
        <v>41517</v>
      </c>
      <c r="C39" s="23">
        <v>36.5910453796387</v>
      </c>
      <c r="D39" s="25">
        <f t="shared" si="1"/>
        <v>-2.8517388880250353E-2</v>
      </c>
    </row>
    <row r="40" spans="2:4" x14ac:dyDescent="0.2">
      <c r="B40" s="16">
        <v>41547</v>
      </c>
      <c r="C40" s="23">
        <v>39.5196723937988</v>
      </c>
      <c r="D40" s="25">
        <f t="shared" si="1"/>
        <v>8.0036713457488445E-2</v>
      </c>
    </row>
    <row r="41" spans="2:4" x14ac:dyDescent="0.2">
      <c r="B41" s="16">
        <v>41578</v>
      </c>
      <c r="C41" s="23">
        <v>42.469276428222699</v>
      </c>
      <c r="D41" s="25">
        <f t="shared" si="1"/>
        <v>7.4636348323746077E-2</v>
      </c>
    </row>
    <row r="42" spans="2:4" x14ac:dyDescent="0.2">
      <c r="B42" s="16">
        <v>41608</v>
      </c>
      <c r="C42" s="23">
        <v>43.853866577148402</v>
      </c>
      <c r="D42" s="25">
        <f t="shared" si="1"/>
        <v>3.2602160087794249E-2</v>
      </c>
    </row>
    <row r="43" spans="2:4" x14ac:dyDescent="0.2">
      <c r="B43" s="16">
        <v>41639</v>
      </c>
      <c r="C43" s="23">
        <v>46.832847595214801</v>
      </c>
      <c r="D43" s="25">
        <f t="shared" si="1"/>
        <v>6.7929723205266968E-2</v>
      </c>
    </row>
    <row r="44" spans="2:4" x14ac:dyDescent="0.2">
      <c r="B44" s="16">
        <v>41670</v>
      </c>
      <c r="C44" s="23">
        <v>44.147571563720703</v>
      </c>
      <c r="D44" s="25">
        <f t="shared" si="1"/>
        <v>-5.7337449447948351E-2</v>
      </c>
    </row>
    <row r="45" spans="2:4" x14ac:dyDescent="0.2">
      <c r="B45" s="16">
        <v>41698</v>
      </c>
      <c r="C45" s="23">
        <v>44.802112579345703</v>
      </c>
      <c r="D45" s="25">
        <f t="shared" si="1"/>
        <v>1.4826206571300614E-2</v>
      </c>
    </row>
    <row r="46" spans="2:4" x14ac:dyDescent="0.2">
      <c r="B46" s="16">
        <v>41729</v>
      </c>
      <c r="C46" s="23">
        <v>43.627304077148402</v>
      </c>
      <c r="D46" s="25">
        <f t="shared" si="1"/>
        <v>-2.6222167539905285E-2</v>
      </c>
    </row>
    <row r="47" spans="2:4" x14ac:dyDescent="0.2">
      <c r="B47" s="16">
        <v>41759</v>
      </c>
      <c r="C47" s="23">
        <v>41.529434204101598</v>
      </c>
      <c r="D47" s="25">
        <f t="shared" si="1"/>
        <v>-4.8086167995552348E-2</v>
      </c>
    </row>
    <row r="48" spans="2:4" x14ac:dyDescent="0.2">
      <c r="B48" s="16">
        <v>41790</v>
      </c>
      <c r="C48" s="23">
        <v>44.147571563720703</v>
      </c>
      <c r="D48" s="25">
        <f t="shared" si="1"/>
        <v>6.3042933519198499E-2</v>
      </c>
    </row>
    <row r="49" spans="2:4" x14ac:dyDescent="0.2">
      <c r="B49" s="16">
        <v>41820</v>
      </c>
      <c r="C49" s="23">
        <v>41.656040191650398</v>
      </c>
      <c r="D49" s="25">
        <f t="shared" si="1"/>
        <v>-5.6436430902527361E-2</v>
      </c>
    </row>
    <row r="50" spans="2:4" x14ac:dyDescent="0.2">
      <c r="B50" s="16">
        <v>41851</v>
      </c>
      <c r="C50" s="23">
        <v>36.906532287597699</v>
      </c>
      <c r="D50" s="25">
        <f t="shared" si="1"/>
        <v>-0.11401726813689549</v>
      </c>
    </row>
    <row r="51" spans="2:4" x14ac:dyDescent="0.2">
      <c r="B51" s="16">
        <v>41882</v>
      </c>
      <c r="C51" s="23">
        <v>39.8388061523438</v>
      </c>
      <c r="D51" s="25">
        <f t="shared" si="1"/>
        <v>7.9451351373141077E-2</v>
      </c>
    </row>
    <row r="52" spans="2:4" x14ac:dyDescent="0.2">
      <c r="B52" s="16">
        <v>41912</v>
      </c>
      <c r="C52" s="23">
        <v>42.405067443847699</v>
      </c>
      <c r="D52" s="25">
        <f t="shared" si="1"/>
        <v>6.4416119340788044E-2</v>
      </c>
    </row>
    <row r="53" spans="2:4" x14ac:dyDescent="0.2">
      <c r="B53" s="16">
        <v>41943</v>
      </c>
      <c r="C53" s="23">
        <v>40.515476226806598</v>
      </c>
      <c r="D53" s="25">
        <f t="shared" si="1"/>
        <v>-4.4560504933597284E-2</v>
      </c>
    </row>
    <row r="54" spans="2:4" x14ac:dyDescent="0.2">
      <c r="B54" s="16">
        <v>41973</v>
      </c>
      <c r="C54" s="23">
        <v>41.702854156494098</v>
      </c>
      <c r="D54" s="25">
        <f t="shared" si="1"/>
        <v>2.9306774602389719E-2</v>
      </c>
    </row>
    <row r="55" spans="2:4" x14ac:dyDescent="0.2">
      <c r="B55" s="16">
        <v>42004</v>
      </c>
      <c r="C55" s="23">
        <v>35.195690155029297</v>
      </c>
      <c r="D55" s="25">
        <f t="shared" si="1"/>
        <v>-0.15603641844383176</v>
      </c>
    </row>
    <row r="56" spans="2:4" x14ac:dyDescent="0.2">
      <c r="B56" s="16">
        <v>42035</v>
      </c>
      <c r="C56" s="23">
        <v>40.175014495849602</v>
      </c>
      <c r="D56" s="25">
        <f t="shared" si="1"/>
        <v>0.14147539993923897</v>
      </c>
    </row>
    <row r="57" spans="2:4" x14ac:dyDescent="0.2">
      <c r="B57" s="16">
        <v>42063</v>
      </c>
      <c r="C57" s="23">
        <v>47.0949897766113</v>
      </c>
      <c r="D57" s="25">
        <f t="shared" si="1"/>
        <v>0.17224574446579444</v>
      </c>
    </row>
    <row r="58" spans="2:4" x14ac:dyDescent="0.2">
      <c r="B58" s="16">
        <v>42094</v>
      </c>
      <c r="C58" s="23">
        <v>51.444442749023402</v>
      </c>
      <c r="D58" s="25">
        <f t="shared" si="1"/>
        <v>9.2354897899822097E-2</v>
      </c>
    </row>
    <row r="59" spans="2:4" x14ac:dyDescent="0.2">
      <c r="B59" s="16">
        <v>42124</v>
      </c>
      <c r="C59" s="23">
        <v>52.772266387939503</v>
      </c>
      <c r="D59" s="25">
        <f t="shared" si="1"/>
        <v>2.5810827525025677E-2</v>
      </c>
    </row>
    <row r="60" spans="2:4" x14ac:dyDescent="0.2">
      <c r="B60" s="16">
        <v>42155</v>
      </c>
      <c r="C60" s="23">
        <v>52.772266387939503</v>
      </c>
      <c r="D60" s="25">
        <f t="shared" si="1"/>
        <v>0</v>
      </c>
    </row>
    <row r="61" spans="2:4" x14ac:dyDescent="0.2">
      <c r="B61" s="16">
        <v>42185</v>
      </c>
      <c r="C61" s="23">
        <v>49.537834167480497</v>
      </c>
      <c r="D61" s="25">
        <f t="shared" si="1"/>
        <v>-6.1290379243560365E-2</v>
      </c>
    </row>
    <row r="62" spans="2:4" x14ac:dyDescent="0.2">
      <c r="B62" s="16">
        <v>42216</v>
      </c>
      <c r="C62" s="23">
        <v>56.070526123046903</v>
      </c>
      <c r="D62" s="25">
        <f t="shared" si="1"/>
        <v>0.13187278098352639</v>
      </c>
    </row>
    <row r="63" spans="2:4" x14ac:dyDescent="0.2">
      <c r="B63" s="16">
        <v>42247</v>
      </c>
      <c r="C63" s="23">
        <v>50.420074462890597</v>
      </c>
      <c r="D63" s="25">
        <f t="shared" si="1"/>
        <v>-0.10077400821523196</v>
      </c>
    </row>
    <row r="64" spans="2:4" x14ac:dyDescent="0.2">
      <c r="B64" s="16">
        <v>42277</v>
      </c>
      <c r="C64" s="23">
        <v>45.924022674560597</v>
      </c>
      <c r="D64" s="25">
        <f t="shared" si="1"/>
        <v>-8.9171859348187082E-2</v>
      </c>
    </row>
    <row r="65" spans="2:4" x14ac:dyDescent="0.2">
      <c r="B65" s="16">
        <v>42308</v>
      </c>
      <c r="C65" s="23">
        <v>54.994251251220703</v>
      </c>
      <c r="D65" s="25">
        <f t="shared" si="1"/>
        <v>0.19750509751586981</v>
      </c>
    </row>
    <row r="66" spans="2:4" x14ac:dyDescent="0.2">
      <c r="B66" s="16">
        <v>42338</v>
      </c>
      <c r="C66" s="23">
        <v>59.403518676757798</v>
      </c>
      <c r="D66" s="25">
        <f t="shared" si="1"/>
        <v>8.0176878950401625E-2</v>
      </c>
    </row>
    <row r="67" spans="2:4" x14ac:dyDescent="0.2">
      <c r="B67" s="16">
        <v>42369</v>
      </c>
      <c r="C67" s="23">
        <v>53.813827514648402</v>
      </c>
      <c r="D67" s="25">
        <f t="shared" si="1"/>
        <v>-9.4096970796048438E-2</v>
      </c>
    </row>
    <row r="68" spans="2:4" x14ac:dyDescent="0.2">
      <c r="B68" s="16">
        <v>42400</v>
      </c>
      <c r="C68" s="23">
        <v>50.185726165771499</v>
      </c>
      <c r="D68" s="25">
        <f t="shared" ref="D68:D99" si="2">(C68-C67)/C67</f>
        <v>-6.7419500088324244E-2</v>
      </c>
    </row>
    <row r="69" spans="2:4" x14ac:dyDescent="0.2">
      <c r="B69" s="16">
        <v>42429</v>
      </c>
      <c r="C69" s="23">
        <v>51.886936187744098</v>
      </c>
      <c r="D69" s="25">
        <f t="shared" si="2"/>
        <v>3.3898284471429785E-2</v>
      </c>
    </row>
    <row r="70" spans="2:4" x14ac:dyDescent="0.2">
      <c r="B70" s="16">
        <v>42460</v>
      </c>
      <c r="C70" s="23">
        <v>50.645744323730497</v>
      </c>
      <c r="D70" s="25">
        <f t="shared" si="2"/>
        <v>-2.3921086022935679E-2</v>
      </c>
    </row>
    <row r="71" spans="2:4" x14ac:dyDescent="0.2">
      <c r="B71" s="16">
        <v>42490</v>
      </c>
      <c r="C71" s="23">
        <v>47.399559020996101</v>
      </c>
      <c r="D71" s="25">
        <f t="shared" si="2"/>
        <v>-6.4095914594217318E-2</v>
      </c>
    </row>
    <row r="72" spans="2:4" x14ac:dyDescent="0.2">
      <c r="B72" s="16">
        <v>42521</v>
      </c>
      <c r="C72" s="23">
        <v>48.623390197753899</v>
      </c>
      <c r="D72" s="25">
        <f t="shared" si="2"/>
        <v>2.581946334597101E-2</v>
      </c>
    </row>
    <row r="73" spans="2:4" x14ac:dyDescent="0.2">
      <c r="B73" s="16">
        <v>42551</v>
      </c>
      <c r="C73" s="23">
        <v>45.9947319030762</v>
      </c>
      <c r="D73" s="25">
        <f t="shared" si="2"/>
        <v>-5.4061600476371693E-2</v>
      </c>
    </row>
    <row r="74" spans="2:4" x14ac:dyDescent="0.2">
      <c r="B74" s="16">
        <v>42582</v>
      </c>
      <c r="C74" s="23">
        <v>46.794948577880902</v>
      </c>
      <c r="D74" s="25">
        <f t="shared" si="2"/>
        <v>1.7398007156362659E-2</v>
      </c>
    </row>
    <row r="75" spans="2:4" x14ac:dyDescent="0.2">
      <c r="B75" s="16">
        <v>42613</v>
      </c>
      <c r="C75" s="23">
        <v>46.492645263671903</v>
      </c>
      <c r="D75" s="25">
        <f t="shared" si="2"/>
        <v>-6.4601698131129415E-3</v>
      </c>
    </row>
    <row r="76" spans="2:4" x14ac:dyDescent="0.2">
      <c r="B76" s="16">
        <v>42643</v>
      </c>
      <c r="C76" s="23">
        <v>47.870792388916001</v>
      </c>
      <c r="D76" s="25">
        <f t="shared" si="2"/>
        <v>2.9642260994793189E-2</v>
      </c>
    </row>
    <row r="77" spans="2:4" x14ac:dyDescent="0.2">
      <c r="B77" s="16">
        <v>42674</v>
      </c>
      <c r="C77" s="23">
        <v>48.146430969238303</v>
      </c>
      <c r="D77" s="25">
        <f t="shared" si="2"/>
        <v>5.7579698719614778E-3</v>
      </c>
    </row>
    <row r="78" spans="2:4" x14ac:dyDescent="0.2">
      <c r="B78" s="16">
        <v>42704</v>
      </c>
      <c r="C78" s="23">
        <v>53.587905883789098</v>
      </c>
      <c r="D78" s="25">
        <f t="shared" si="2"/>
        <v>0.11301927899967207</v>
      </c>
    </row>
    <row r="79" spans="2:4" x14ac:dyDescent="0.2">
      <c r="B79" s="16">
        <v>42735</v>
      </c>
      <c r="C79" s="23">
        <v>55.872970581054702</v>
      </c>
      <c r="D79" s="25">
        <f t="shared" si="2"/>
        <v>4.2641425515320609E-2</v>
      </c>
    </row>
    <row r="80" spans="2:4" x14ac:dyDescent="0.2">
      <c r="B80" s="16">
        <v>42766</v>
      </c>
      <c r="C80" s="23">
        <v>55.801834106445298</v>
      </c>
      <c r="D80" s="25">
        <f t="shared" si="2"/>
        <v>-1.2731822537734236E-3</v>
      </c>
    </row>
    <row r="81" spans="2:4" x14ac:dyDescent="0.2">
      <c r="B81" s="16">
        <v>42794</v>
      </c>
      <c r="C81" s="23">
        <v>61.6345405578613</v>
      </c>
      <c r="D81" s="25">
        <f t="shared" si="2"/>
        <v>0.10452535377761543</v>
      </c>
    </row>
    <row r="82" spans="2:4" x14ac:dyDescent="0.2">
      <c r="B82" s="16">
        <v>42825</v>
      </c>
      <c r="C82" s="23">
        <v>63.421699523925803</v>
      </c>
      <c r="D82" s="25">
        <f t="shared" si="2"/>
        <v>2.899606210882278E-2</v>
      </c>
    </row>
    <row r="83" spans="2:4" x14ac:dyDescent="0.2">
      <c r="B83" s="16">
        <v>42855</v>
      </c>
      <c r="C83" s="23">
        <v>66.000175476074205</v>
      </c>
      <c r="D83" s="25">
        <f t="shared" si="2"/>
        <v>4.0656052605081532E-2</v>
      </c>
    </row>
    <row r="84" spans="2:4" x14ac:dyDescent="0.2">
      <c r="B84" s="16">
        <v>42886</v>
      </c>
      <c r="C84" s="23">
        <v>66.222114562988295</v>
      </c>
      <c r="D84" s="25">
        <f t="shared" si="2"/>
        <v>3.3627044975743483E-3</v>
      </c>
    </row>
    <row r="85" spans="2:4" x14ac:dyDescent="0.2">
      <c r="B85" s="16">
        <v>42916</v>
      </c>
      <c r="C85" s="23">
        <v>65.252380371093807</v>
      </c>
      <c r="D85" s="25">
        <f t="shared" si="2"/>
        <v>-1.4643660932513857E-2</v>
      </c>
    </row>
    <row r="86" spans="2:4" x14ac:dyDescent="0.2">
      <c r="B86" s="16">
        <v>42947</v>
      </c>
      <c r="C86" s="23">
        <v>63.983592987060597</v>
      </c>
      <c r="D86" s="25">
        <f t="shared" si="2"/>
        <v>-1.9444308036236348E-2</v>
      </c>
    </row>
    <row r="87" spans="2:4" x14ac:dyDescent="0.2">
      <c r="B87" s="16">
        <v>42978</v>
      </c>
      <c r="C87" s="23">
        <v>63.9926567077637</v>
      </c>
      <c r="D87" s="25">
        <f t="shared" si="2"/>
        <v>1.4165695110208393E-4</v>
      </c>
    </row>
    <row r="88" spans="2:4" x14ac:dyDescent="0.2">
      <c r="B88" s="16">
        <v>43008</v>
      </c>
      <c r="C88" s="23">
        <v>72.874229431152301</v>
      </c>
      <c r="D88" s="25">
        <f t="shared" si="2"/>
        <v>0.13879049847778976</v>
      </c>
    </row>
    <row r="89" spans="2:4" x14ac:dyDescent="0.2">
      <c r="B89" s="16">
        <v>43039</v>
      </c>
      <c r="C89" s="23">
        <v>79.526336669921903</v>
      </c>
      <c r="D89" s="25">
        <f t="shared" si="2"/>
        <v>9.1282025082051257E-2</v>
      </c>
    </row>
    <row r="90" spans="2:4" x14ac:dyDescent="0.2">
      <c r="B90" s="16">
        <v>43069</v>
      </c>
      <c r="C90" s="23">
        <v>79.109451293945298</v>
      </c>
      <c r="D90" s="25">
        <f t="shared" si="2"/>
        <v>-5.2421046087777062E-3</v>
      </c>
    </row>
    <row r="91" spans="2:4" x14ac:dyDescent="0.2">
      <c r="B91" s="16">
        <v>43100</v>
      </c>
      <c r="C91" s="23">
        <v>75.221496582031307</v>
      </c>
      <c r="D91" s="25">
        <f t="shared" si="2"/>
        <v>-4.9146526089121782E-2</v>
      </c>
    </row>
    <row r="92" spans="2:4" x14ac:dyDescent="0.2">
      <c r="B92" s="16">
        <v>43131</v>
      </c>
      <c r="C92" s="23">
        <v>83.831199645996094</v>
      </c>
      <c r="D92" s="25">
        <f t="shared" si="2"/>
        <v>0.11445801340279964</v>
      </c>
    </row>
    <row r="93" spans="2:4" x14ac:dyDescent="0.2">
      <c r="B93" s="16">
        <v>43159</v>
      </c>
      <c r="C93" s="23">
        <v>89.123878479003906</v>
      </c>
      <c r="D93" s="25">
        <f t="shared" si="2"/>
        <v>6.313495280227209E-2</v>
      </c>
    </row>
    <row r="94" spans="2:4" x14ac:dyDescent="0.2">
      <c r="B94" s="16">
        <v>43190</v>
      </c>
      <c r="C94" s="23">
        <v>85.009353637695298</v>
      </c>
      <c r="D94" s="25">
        <f t="shared" si="2"/>
        <v>-4.6166357563511118E-2</v>
      </c>
    </row>
    <row r="95" spans="2:4" x14ac:dyDescent="0.2">
      <c r="B95" s="16">
        <v>43220</v>
      </c>
      <c r="C95" s="23">
        <v>88.271980285644503</v>
      </c>
      <c r="D95" s="25">
        <f t="shared" si="2"/>
        <v>3.837961951639253E-2</v>
      </c>
    </row>
    <row r="96" spans="2:4" x14ac:dyDescent="0.2">
      <c r="B96" s="16">
        <v>43251</v>
      </c>
      <c r="C96" s="23">
        <v>89.660255432128906</v>
      </c>
      <c r="D96" s="25">
        <f t="shared" si="2"/>
        <v>1.5727245973093638E-2</v>
      </c>
    </row>
    <row r="97" spans="2:4" x14ac:dyDescent="0.2">
      <c r="B97" s="16">
        <v>43281</v>
      </c>
      <c r="C97" s="23">
        <v>92.378349304199205</v>
      </c>
      <c r="D97" s="25">
        <f t="shared" si="2"/>
        <v>3.0315482138324301E-2</v>
      </c>
    </row>
    <row r="98" spans="2:4" x14ac:dyDescent="0.2">
      <c r="B98" s="16">
        <v>43312</v>
      </c>
      <c r="C98" s="23">
        <v>97.667106628417997</v>
      </c>
      <c r="D98" s="25">
        <f t="shared" si="2"/>
        <v>5.7251048152019576E-2</v>
      </c>
    </row>
    <row r="99" spans="2:4" x14ac:dyDescent="0.2">
      <c r="B99" s="16">
        <v>43343</v>
      </c>
      <c r="C99" s="23">
        <v>97.906669616699205</v>
      </c>
      <c r="D99" s="25">
        <f t="shared" si="2"/>
        <v>2.4528523118089608E-3</v>
      </c>
    </row>
    <row r="100" spans="2:4" x14ac:dyDescent="0.2">
      <c r="B100" s="16">
        <v>43373</v>
      </c>
      <c r="C100" s="23">
        <v>99.675735473632798</v>
      </c>
      <c r="D100" s="25">
        <f t="shared" ref="D100:D131" si="3">(C100-C99)/C99</f>
        <v>1.8068900350297051E-2</v>
      </c>
    </row>
    <row r="101" spans="2:4" x14ac:dyDescent="0.2">
      <c r="B101" s="16">
        <v>43404</v>
      </c>
      <c r="C101" s="23">
        <v>90.02880859375</v>
      </c>
      <c r="D101" s="25">
        <f t="shared" si="3"/>
        <v>-9.678310206634691E-2</v>
      </c>
    </row>
    <row r="102" spans="2:4" x14ac:dyDescent="0.2">
      <c r="B102" s="16">
        <v>43434</v>
      </c>
      <c r="C102" s="23">
        <v>87.181716918945298</v>
      </c>
      <c r="D102" s="25">
        <f t="shared" si="3"/>
        <v>-3.162422916926564E-2</v>
      </c>
    </row>
    <row r="103" spans="2:4" x14ac:dyDescent="0.2">
      <c r="B103" s="16">
        <v>43465</v>
      </c>
      <c r="C103" s="23">
        <v>77.359718322753906</v>
      </c>
      <c r="D103" s="25">
        <f t="shared" si="3"/>
        <v>-0.11266122007350593</v>
      </c>
    </row>
    <row r="104" spans="2:4" x14ac:dyDescent="0.2">
      <c r="B104" s="16">
        <v>43496</v>
      </c>
      <c r="C104" s="23">
        <v>92.341491699218807</v>
      </c>
      <c r="D104" s="25">
        <f t="shared" si="3"/>
        <v>0.19366375293611035</v>
      </c>
    </row>
    <row r="105" spans="2:4" x14ac:dyDescent="0.2">
      <c r="B105" s="16">
        <v>43524</v>
      </c>
      <c r="C105" s="23">
        <v>104.66965484619099</v>
      </c>
      <c r="D105" s="25">
        <f t="shared" si="3"/>
        <v>0.13350621611277785</v>
      </c>
    </row>
    <row r="106" spans="2:4" x14ac:dyDescent="0.2">
      <c r="B106" s="16">
        <v>43555</v>
      </c>
      <c r="C106" s="23">
        <v>108.631629943848</v>
      </c>
      <c r="D106" s="25">
        <f t="shared" si="3"/>
        <v>3.7852184603828207E-2</v>
      </c>
    </row>
    <row r="107" spans="2:4" x14ac:dyDescent="0.2">
      <c r="B107" s="16">
        <v>43585</v>
      </c>
      <c r="C107" s="23">
        <v>112.298751831055</v>
      </c>
      <c r="D107" s="25">
        <f t="shared" si="3"/>
        <v>3.3757404626097838E-2</v>
      </c>
    </row>
    <row r="108" spans="2:4" x14ac:dyDescent="0.2">
      <c r="B108" s="16">
        <v>43616</v>
      </c>
      <c r="C108" s="23">
        <v>107.32373046875</v>
      </c>
      <c r="D108" s="25">
        <f t="shared" si="3"/>
        <v>-4.4301662139482584E-2</v>
      </c>
    </row>
    <row r="109" spans="2:4" x14ac:dyDescent="0.2">
      <c r="B109" s="16">
        <v>43646</v>
      </c>
      <c r="C109" s="23">
        <v>116.49941253662099</v>
      </c>
      <c r="D109" s="25">
        <f t="shared" si="3"/>
        <v>8.5495370201865317E-2</v>
      </c>
    </row>
    <row r="110" spans="2:4" x14ac:dyDescent="0.2">
      <c r="B110" s="16">
        <v>43677</v>
      </c>
      <c r="C110" s="23">
        <v>119.657638549805</v>
      </c>
      <c r="D110" s="25">
        <f t="shared" si="3"/>
        <v>2.7109372866504659E-2</v>
      </c>
    </row>
    <row r="111" spans="2:4" x14ac:dyDescent="0.2">
      <c r="B111" s="16">
        <v>43708</v>
      </c>
      <c r="C111" s="23">
        <v>117.116104125977</v>
      </c>
      <c r="D111" s="25">
        <f t="shared" si="3"/>
        <v>-2.1240051655959567E-2</v>
      </c>
    </row>
    <row r="112" spans="2:4" x14ac:dyDescent="0.2">
      <c r="B112" s="16">
        <v>43738</v>
      </c>
      <c r="C112" s="23">
        <v>111.37896728515599</v>
      </c>
      <c r="D112" s="25">
        <f t="shared" si="3"/>
        <v>-4.8986745961510175E-2</v>
      </c>
    </row>
    <row r="113" spans="2:4" x14ac:dyDescent="0.2">
      <c r="B113" s="16">
        <v>43769</v>
      </c>
      <c r="C113" s="23">
        <v>119.994018554688</v>
      </c>
      <c r="D113" s="25">
        <f t="shared" si="3"/>
        <v>7.7348995771126819E-2</v>
      </c>
    </row>
    <row r="114" spans="2:4" x14ac:dyDescent="0.2">
      <c r="B114" s="16">
        <v>43799</v>
      </c>
      <c r="C114" s="23">
        <v>124.647270202637</v>
      </c>
      <c r="D114" s="25">
        <f t="shared" si="3"/>
        <v>3.8779030021636102E-2</v>
      </c>
    </row>
    <row r="115" spans="2:4" x14ac:dyDescent="0.2">
      <c r="B115" s="16">
        <v>43830</v>
      </c>
      <c r="C115" s="23">
        <v>121.91886138916</v>
      </c>
      <c r="D115" s="25">
        <f t="shared" si="3"/>
        <v>-2.1889037834855702E-2</v>
      </c>
    </row>
    <row r="116" spans="2:4" x14ac:dyDescent="0.2">
      <c r="B116" s="16">
        <v>43861</v>
      </c>
      <c r="C116" s="23">
        <v>124.497772216797</v>
      </c>
      <c r="D116" s="25">
        <f t="shared" si="3"/>
        <v>2.1152681367366331E-2</v>
      </c>
    </row>
    <row r="117" spans="2:4" x14ac:dyDescent="0.2">
      <c r="B117" s="16">
        <v>43890</v>
      </c>
      <c r="C117" s="23">
        <v>101.00726318359401</v>
      </c>
      <c r="D117" s="25">
        <f t="shared" si="3"/>
        <v>-0.18868216366391899</v>
      </c>
    </row>
    <row r="118" spans="2:4" x14ac:dyDescent="0.2">
      <c r="B118" s="16">
        <v>43921</v>
      </c>
      <c r="C118" s="23">
        <v>55.446540832519503</v>
      </c>
      <c r="D118" s="25">
        <f t="shared" si="3"/>
        <v>-0.45106382368030196</v>
      </c>
    </row>
    <row r="119" spans="2:4" x14ac:dyDescent="0.2">
      <c r="B119" s="16">
        <v>43951</v>
      </c>
      <c r="C119" s="23">
        <v>54.082340240478501</v>
      </c>
      <c r="D119" s="25">
        <f t="shared" si="3"/>
        <v>-2.4603890009327601E-2</v>
      </c>
    </row>
    <row r="120" spans="2:4" x14ac:dyDescent="0.2">
      <c r="B120" s="16">
        <v>43982</v>
      </c>
      <c r="C120" s="23">
        <v>52.979763031005902</v>
      </c>
      <c r="D120" s="25">
        <f t="shared" si="3"/>
        <v>-2.0387009966099132E-2</v>
      </c>
    </row>
    <row r="121" spans="2:4" x14ac:dyDescent="0.2">
      <c r="B121" s="16">
        <v>44012</v>
      </c>
      <c r="C121" s="23">
        <v>59.352287292480497</v>
      </c>
      <c r="D121" s="25">
        <f t="shared" si="3"/>
        <v>0.12028223413806392</v>
      </c>
    </row>
    <row r="122" spans="2:4" x14ac:dyDescent="0.2">
      <c r="B122" s="16">
        <v>44043</v>
      </c>
      <c r="C122" s="23">
        <v>57.941356658935597</v>
      </c>
      <c r="D122" s="25">
        <f t="shared" si="3"/>
        <v>-2.3772135799788381E-2</v>
      </c>
    </row>
    <row r="123" spans="2:4" x14ac:dyDescent="0.2">
      <c r="B123" s="16">
        <v>44074</v>
      </c>
      <c r="C123" s="23">
        <v>64.323219299316406</v>
      </c>
      <c r="D123" s="25">
        <f t="shared" si="3"/>
        <v>0.11014347969010857</v>
      </c>
    </row>
    <row r="124" spans="2:4" x14ac:dyDescent="0.2">
      <c r="B124" s="16">
        <v>44104</v>
      </c>
      <c r="C124" s="23">
        <v>57.997421264648402</v>
      </c>
      <c r="D124" s="25">
        <f t="shared" si="3"/>
        <v>-9.8343927800504716E-2</v>
      </c>
    </row>
    <row r="125" spans="2:4" x14ac:dyDescent="0.2">
      <c r="B125" s="16">
        <v>44135</v>
      </c>
      <c r="C125" s="23">
        <v>58.483306884765597</v>
      </c>
      <c r="D125" s="25">
        <f t="shared" si="3"/>
        <v>8.3777107588981735E-3</v>
      </c>
    </row>
    <row r="126" spans="2:4" x14ac:dyDescent="0.2">
      <c r="B126" s="16">
        <v>44165</v>
      </c>
      <c r="C126" s="23">
        <v>81.973808288574205</v>
      </c>
      <c r="D126" s="25">
        <f t="shared" si="3"/>
        <v>0.40166164765774698</v>
      </c>
    </row>
    <row r="127" spans="2:4" x14ac:dyDescent="0.2">
      <c r="B127" s="16">
        <v>44196</v>
      </c>
      <c r="C127" s="23">
        <v>83.889289855957003</v>
      </c>
      <c r="D127" s="25">
        <f t="shared" si="3"/>
        <v>2.3366994987468269E-2</v>
      </c>
    </row>
    <row r="128" spans="2:4" x14ac:dyDescent="0.2">
      <c r="B128" s="16">
        <v>44227</v>
      </c>
      <c r="C128" s="23">
        <v>77.741027832031307</v>
      </c>
      <c r="D128" s="25">
        <f t="shared" si="3"/>
        <v>-7.3290190374511871E-2</v>
      </c>
    </row>
    <row r="129" spans="2:4" x14ac:dyDescent="0.2">
      <c r="B129" s="16">
        <v>44255</v>
      </c>
      <c r="C129" s="23">
        <v>89.617088317871094</v>
      </c>
      <c r="D129" s="25">
        <f t="shared" si="3"/>
        <v>0.15276438731295683</v>
      </c>
    </row>
    <row r="130" spans="2:4" x14ac:dyDescent="0.2">
      <c r="B130" s="16">
        <v>44286</v>
      </c>
      <c r="C130" s="23">
        <v>90.205757141113295</v>
      </c>
      <c r="D130" s="25">
        <f t="shared" si="3"/>
        <v>6.5687117746360841E-3</v>
      </c>
    </row>
    <row r="131" spans="2:4" x14ac:dyDescent="0.2">
      <c r="B131" s="16">
        <v>44316</v>
      </c>
      <c r="C131" s="23">
        <v>93.382675170898395</v>
      </c>
      <c r="D131" s="25">
        <f t="shared" si="3"/>
        <v>3.5218572854671462E-2</v>
      </c>
    </row>
    <row r="132" spans="2:4" x14ac:dyDescent="0.2">
      <c r="B132" s="16">
        <v>44347</v>
      </c>
      <c r="C132" s="23">
        <v>99.661758422851605</v>
      </c>
      <c r="D132" s="25">
        <f t="shared" ref="D132:D163" si="4">(C132-C131)/C131</f>
        <v>6.7240344533522345E-2</v>
      </c>
    </row>
    <row r="133" spans="2:4" x14ac:dyDescent="0.2">
      <c r="B133" s="16">
        <v>44377</v>
      </c>
      <c r="C133" s="23">
        <v>101.32496643066401</v>
      </c>
      <c r="D133" s="25">
        <f t="shared" si="4"/>
        <v>1.668852761713906E-2</v>
      </c>
    </row>
    <row r="134" spans="2:4" x14ac:dyDescent="0.2">
      <c r="B134" s="16">
        <v>44408</v>
      </c>
      <c r="C134" s="23">
        <v>108.108612060547</v>
      </c>
      <c r="D134" s="25">
        <f t="shared" si="4"/>
        <v>6.6949399233455456E-2</v>
      </c>
    </row>
    <row r="135" spans="2:4" x14ac:dyDescent="0.2">
      <c r="B135" s="16">
        <v>44439</v>
      </c>
      <c r="C135" s="23">
        <v>108.108612060547</v>
      </c>
      <c r="D135" s="25">
        <f t="shared" si="4"/>
        <v>0</v>
      </c>
    </row>
    <row r="136" spans="2:4" x14ac:dyDescent="0.2">
      <c r="B136" s="16">
        <v>44469</v>
      </c>
      <c r="C136" s="23">
        <v>107.547981262207</v>
      </c>
      <c r="D136" s="25">
        <f t="shared" si="4"/>
        <v>-5.1858107106769139E-3</v>
      </c>
    </row>
    <row r="137" spans="2:4" x14ac:dyDescent="0.2">
      <c r="B137" s="16">
        <v>44500</v>
      </c>
      <c r="C137" s="23">
        <v>103.343231201172</v>
      </c>
      <c r="D137" s="25">
        <f t="shared" si="4"/>
        <v>-3.9096503827288243E-2</v>
      </c>
    </row>
    <row r="138" spans="2:4" x14ac:dyDescent="0.2">
      <c r="B138" s="16">
        <v>44530</v>
      </c>
      <c r="C138" s="23">
        <v>92.242721557617202</v>
      </c>
      <c r="D138" s="25">
        <f t="shared" si="4"/>
        <v>-0.1074139981354571</v>
      </c>
    </row>
    <row r="139" spans="2:4" x14ac:dyDescent="0.2">
      <c r="B139" s="16">
        <v>44561</v>
      </c>
      <c r="C139" s="23">
        <v>104.987762451172</v>
      </c>
      <c r="D139" s="25">
        <f t="shared" si="4"/>
        <v>0.13816852623536174</v>
      </c>
    </row>
    <row r="140" spans="2:4" x14ac:dyDescent="0.2">
      <c r="B140" s="16">
        <v>44592</v>
      </c>
      <c r="C140" s="23">
        <v>104.76350402832</v>
      </c>
      <c r="D140" s="25">
        <f t="shared" si="4"/>
        <v>-2.1360434551246079E-3</v>
      </c>
    </row>
    <row r="141" spans="2:4" x14ac:dyDescent="0.2">
      <c r="B141" s="16">
        <v>44620</v>
      </c>
      <c r="C141" s="23">
        <v>107.36110687255901</v>
      </c>
      <c r="D141" s="25">
        <f t="shared" si="4"/>
        <v>2.4794921364379087E-2</v>
      </c>
    </row>
    <row r="142" spans="2:4" x14ac:dyDescent="0.2">
      <c r="B142" s="16">
        <v>44651</v>
      </c>
      <c r="C142" s="23">
        <v>103.11898803710901</v>
      </c>
      <c r="D142" s="25">
        <f t="shared" si="4"/>
        <v>-3.9512622019494716E-2</v>
      </c>
    </row>
    <row r="143" spans="2:4" x14ac:dyDescent="0.2">
      <c r="B143" s="16">
        <v>44681</v>
      </c>
      <c r="C143" s="23">
        <v>98.615242004394503</v>
      </c>
      <c r="D143" s="25">
        <f t="shared" si="4"/>
        <v>-4.3675234973153135E-2</v>
      </c>
    </row>
    <row r="144" spans="2:4" x14ac:dyDescent="0.2">
      <c r="B144" s="16">
        <v>44712</v>
      </c>
      <c r="C144" s="23">
        <v>103.099967956543</v>
      </c>
      <c r="D144" s="25">
        <f t="shared" si="4"/>
        <v>4.5477005998207108E-2</v>
      </c>
    </row>
    <row r="145" spans="2:4" x14ac:dyDescent="0.2">
      <c r="B145" s="16">
        <v>44742</v>
      </c>
      <c r="C145" s="23">
        <v>87.622642517089801</v>
      </c>
      <c r="D145" s="25">
        <f t="shared" si="4"/>
        <v>-0.15011959505144506</v>
      </c>
    </row>
    <row r="146" spans="2:4" x14ac:dyDescent="0.2">
      <c r="B146" s="16">
        <v>44773</v>
      </c>
      <c r="C146" s="23">
        <v>99.403610229492202</v>
      </c>
      <c r="D146" s="25">
        <f t="shared" si="4"/>
        <v>0.13445118035677431</v>
      </c>
    </row>
    <row r="147" spans="2:4" x14ac:dyDescent="0.2">
      <c r="B147" s="16">
        <v>44804</v>
      </c>
      <c r="C147" s="23">
        <v>92.778594970703097</v>
      </c>
      <c r="D147" s="25">
        <f t="shared" si="4"/>
        <v>-6.6647632248909197E-2</v>
      </c>
    </row>
    <row r="148" spans="2:4" x14ac:dyDescent="0.2">
      <c r="B148" s="16">
        <v>44834</v>
      </c>
      <c r="C148" s="23">
        <v>84.24853515625</v>
      </c>
      <c r="D148" s="25">
        <f t="shared" si="4"/>
        <v>-9.1939954653836406E-2</v>
      </c>
    </row>
    <row r="149" spans="2:4" x14ac:dyDescent="0.2">
      <c r="B149" s="16">
        <v>44865</v>
      </c>
      <c r="C149" s="23">
        <v>103.858192443848</v>
      </c>
      <c r="D149" s="25">
        <f t="shared" si="4"/>
        <v>0.23275962307509923</v>
      </c>
    </row>
    <row r="150" spans="2:4" x14ac:dyDescent="0.2">
      <c r="B150" s="16">
        <v>44895</v>
      </c>
      <c r="C150" s="23">
        <v>103.498039245605</v>
      </c>
      <c r="D150" s="25">
        <f t="shared" si="4"/>
        <v>-3.4677399035008055E-3</v>
      </c>
    </row>
    <row r="151" spans="2:4" x14ac:dyDescent="0.2">
      <c r="B151" s="16">
        <v>44926</v>
      </c>
      <c r="C151" s="23">
        <v>105.22299957275401</v>
      </c>
      <c r="D151" s="25">
        <f t="shared" si="4"/>
        <v>1.666659909426502E-2</v>
      </c>
    </row>
    <row r="152" spans="2:4" x14ac:dyDescent="0.2">
      <c r="B152" s="16">
        <v>44957</v>
      </c>
      <c r="C152" s="23">
        <v>108.843536376953</v>
      </c>
      <c r="D152" s="25">
        <f t="shared" si="4"/>
        <v>3.4408226517964401E-2</v>
      </c>
    </row>
    <row r="153" spans="2:4" x14ac:dyDescent="0.2">
      <c r="B153" s="16">
        <v>44985</v>
      </c>
      <c r="C153" s="23">
        <v>117.54419708252</v>
      </c>
      <c r="D153" s="25">
        <f t="shared" si="4"/>
        <v>7.9937320994738631E-2</v>
      </c>
    </row>
    <row r="154" spans="2:4" x14ac:dyDescent="0.2">
      <c r="B154" s="16">
        <v>45016</v>
      </c>
      <c r="C154" s="23">
        <v>116.84283447265599</v>
      </c>
      <c r="D154" s="25">
        <f t="shared" si="4"/>
        <v>-5.9667991042690587E-3</v>
      </c>
    </row>
    <row r="155" spans="2:4" x14ac:dyDescent="0.2">
      <c r="B155" s="16">
        <v>45046</v>
      </c>
      <c r="C155" s="23">
        <v>120.50128173828099</v>
      </c>
      <c r="D155" s="25">
        <f t="shared" si="4"/>
        <v>3.1310839745856765E-2</v>
      </c>
    </row>
    <row r="156" spans="2:4" x14ac:dyDescent="0.2">
      <c r="B156" s="16">
        <v>45077</v>
      </c>
      <c r="C156" s="23">
        <v>117.794868469238</v>
      </c>
      <c r="D156" s="25">
        <f t="shared" si="4"/>
        <v>-2.2459622254650428E-2</v>
      </c>
    </row>
    <row r="157" spans="2:4" x14ac:dyDescent="0.2">
      <c r="B157" s="16">
        <v>45107</v>
      </c>
      <c r="C157" s="23">
        <v>127.23460388183599</v>
      </c>
      <c r="D157" s="25">
        <f t="shared" si="4"/>
        <v>8.0137068237935802E-2</v>
      </c>
    </row>
    <row r="158" spans="2:4" x14ac:dyDescent="0.2">
      <c r="B158" s="16">
        <v>45138</v>
      </c>
      <c r="C158" s="23">
        <v>128.79187011718801</v>
      </c>
      <c r="D158" s="25">
        <f t="shared" si="4"/>
        <v>1.223932945787504E-2</v>
      </c>
    </row>
    <row r="159" spans="2:4" x14ac:dyDescent="0.2">
      <c r="B159" s="16">
        <v>45169</v>
      </c>
      <c r="C159" s="23">
        <v>130.13766479492199</v>
      </c>
      <c r="D159" s="25">
        <f t="shared" si="4"/>
        <v>1.0449376008822881E-2</v>
      </c>
    </row>
    <row r="160" spans="2:4" x14ac:dyDescent="0.2">
      <c r="B160" s="16">
        <v>45199</v>
      </c>
      <c r="C160" s="23">
        <v>122.062942504883</v>
      </c>
      <c r="D160" s="25">
        <f t="shared" si="4"/>
        <v>-6.2047542521710207E-2</v>
      </c>
    </row>
    <row r="161" spans="2:4" x14ac:dyDescent="0.2">
      <c r="B161" s="16">
        <v>45230</v>
      </c>
      <c r="C161" s="23">
        <v>121.39003753662099</v>
      </c>
      <c r="D161" s="25">
        <f t="shared" si="4"/>
        <v>-5.5127703335112058E-3</v>
      </c>
    </row>
    <row r="162" spans="2:4" x14ac:dyDescent="0.2">
      <c r="B162" s="16">
        <v>45260</v>
      </c>
      <c r="C162" s="23">
        <v>130.92590332031301</v>
      </c>
      <c r="D162" s="25">
        <f t="shared" si="4"/>
        <v>7.8555588063108014E-2</v>
      </c>
    </row>
    <row r="163" spans="2:4" x14ac:dyDescent="0.2">
      <c r="B163" s="16">
        <v>45291</v>
      </c>
      <c r="C163" s="23">
        <v>134.36727905273401</v>
      </c>
      <c r="D163" s="25">
        <f t="shared" si="4"/>
        <v>2.6284911122603408E-2</v>
      </c>
    </row>
    <row r="164" spans="2:4" x14ac:dyDescent="0.2">
      <c r="B164" s="16">
        <v>45322</v>
      </c>
      <c r="C164" s="23">
        <v>142.07672119140599</v>
      </c>
      <c r="D164" s="25">
        <f t="shared" ref="D164:D183" si="5">(C164-C163)/C163</f>
        <v>5.7375889375912183E-2</v>
      </c>
    </row>
    <row r="165" spans="2:4" x14ac:dyDescent="0.2">
      <c r="B165" s="16">
        <v>45351</v>
      </c>
      <c r="C165" s="23">
        <v>147.01768493652301</v>
      </c>
      <c r="D165" s="25">
        <f t="shared" si="5"/>
        <v>3.4776729809667707E-2</v>
      </c>
    </row>
    <row r="166" spans="2:4" x14ac:dyDescent="0.2">
      <c r="B166" s="16">
        <v>45382</v>
      </c>
      <c r="C166" s="23">
        <v>164.10919189453099</v>
      </c>
      <c r="D166" s="25">
        <f t="shared" si="5"/>
        <v>0.11625476870614229</v>
      </c>
    </row>
    <row r="167" spans="2:4" x14ac:dyDescent="0.2">
      <c r="B167" s="16">
        <v>45412</v>
      </c>
      <c r="C167" s="23">
        <v>148.69029235839801</v>
      </c>
      <c r="D167" s="25">
        <f t="shared" si="5"/>
        <v>-9.3955124378665739E-2</v>
      </c>
    </row>
    <row r="168" spans="2:4" x14ac:dyDescent="0.2">
      <c r="B168" s="16">
        <v>45443</v>
      </c>
      <c r="C168" s="23">
        <v>152.47261047363301</v>
      </c>
      <c r="D168" s="25">
        <f t="shared" si="5"/>
        <v>2.5437559206072644E-2</v>
      </c>
    </row>
    <row r="169" spans="2:4" x14ac:dyDescent="0.2">
      <c r="B169" s="16">
        <v>45473</v>
      </c>
      <c r="C169" s="23">
        <v>125.440269470215</v>
      </c>
      <c r="D169" s="25">
        <f t="shared" si="5"/>
        <v>-0.1772930949332221</v>
      </c>
    </row>
    <row r="170" spans="2:4" x14ac:dyDescent="0.2">
      <c r="B170" s="16">
        <v>45504</v>
      </c>
      <c r="C170" s="23">
        <v>136.883056640625</v>
      </c>
      <c r="D170" s="25">
        <f t="shared" si="5"/>
        <v>9.1221002782738897E-2</v>
      </c>
    </row>
    <row r="171" spans="2:4" x14ac:dyDescent="0.2">
      <c r="B171" s="16">
        <v>45535</v>
      </c>
      <c r="C171" s="23">
        <v>135.76812744140599</v>
      </c>
      <c r="D171" s="25">
        <f t="shared" si="5"/>
        <v>-8.1451220229992304E-3</v>
      </c>
    </row>
    <row r="172" spans="2:4" x14ac:dyDescent="0.2">
      <c r="B172" s="16">
        <v>45565</v>
      </c>
      <c r="C172" s="23">
        <v>128.335205078125</v>
      </c>
      <c r="D172" s="25">
        <f t="shared" si="5"/>
        <v>-5.4747181855983471E-2</v>
      </c>
    </row>
    <row r="173" spans="2:4" x14ac:dyDescent="0.2">
      <c r="B173" s="16">
        <v>45596</v>
      </c>
      <c r="C173" s="23">
        <v>137.07865905761699</v>
      </c>
      <c r="D173" s="25">
        <f t="shared" si="5"/>
        <v>6.812981655477425E-2</v>
      </c>
    </row>
    <row r="174" spans="2:4" x14ac:dyDescent="0.2">
      <c r="B174" s="16">
        <v>45626</v>
      </c>
      <c r="C174" s="23">
        <v>144.31596374511699</v>
      </c>
      <c r="D174" s="25">
        <f t="shared" si="5"/>
        <v>5.2796728077548608E-2</v>
      </c>
    </row>
    <row r="175" spans="2:4" x14ac:dyDescent="0.2">
      <c r="B175" s="16">
        <v>45657</v>
      </c>
      <c r="C175" s="23">
        <v>151.37724304199199</v>
      </c>
      <c r="D175" s="25">
        <f t="shared" si="5"/>
        <v>4.892930146900621E-2</v>
      </c>
    </row>
    <row r="176" spans="2:4" x14ac:dyDescent="0.2">
      <c r="B176" s="16">
        <v>45688</v>
      </c>
      <c r="C176" s="23">
        <v>163.44595336914099</v>
      </c>
      <c r="D176" s="25">
        <f t="shared" si="5"/>
        <v>7.9726054488924405E-2</v>
      </c>
    </row>
    <row r="177" spans="2:4" x14ac:dyDescent="0.2">
      <c r="B177" s="16">
        <v>45716</v>
      </c>
      <c r="C177" s="23">
        <v>162.05717468261699</v>
      </c>
      <c r="D177" s="25">
        <f t="shared" si="5"/>
        <v>-8.4968679731547928E-3</v>
      </c>
    </row>
    <row r="178" spans="2:4" x14ac:dyDescent="0.2">
      <c r="B178" s="16">
        <v>45747</v>
      </c>
      <c r="C178" s="23">
        <v>159.20137023925801</v>
      </c>
      <c r="D178" s="25">
        <f t="shared" si="5"/>
        <v>-1.7622203083275795E-2</v>
      </c>
    </row>
    <row r="179" spans="2:4" x14ac:dyDescent="0.2">
      <c r="B179" s="16">
        <v>45777</v>
      </c>
      <c r="C179" s="23">
        <v>143.90521240234401</v>
      </c>
      <c r="D179" s="25">
        <f t="shared" si="5"/>
        <v>-9.6080566479584698E-2</v>
      </c>
    </row>
    <row r="180" spans="2:4" x14ac:dyDescent="0.2">
      <c r="B180" s="16">
        <v>45808</v>
      </c>
      <c r="C180" s="23">
        <v>162.080001831055</v>
      </c>
      <c r="D180" s="25">
        <f t="shared" si="5"/>
        <v>0.12629695009167682</v>
      </c>
    </row>
    <row r="181" spans="2:4" x14ac:dyDescent="0.2">
      <c r="B181" s="16">
        <v>45838</v>
      </c>
      <c r="C181" s="23">
        <v>177.25999450683599</v>
      </c>
      <c r="D181" s="25">
        <f t="shared" si="5"/>
        <v>9.3657406862593356E-2</v>
      </c>
    </row>
    <row r="182" spans="2:4" x14ac:dyDescent="0.2">
      <c r="B182" s="16">
        <v>45869</v>
      </c>
      <c r="C182" s="23">
        <v>176.03999328613301</v>
      </c>
      <c r="D182" s="25">
        <f t="shared" si="5"/>
        <v>-6.8825525133136218E-3</v>
      </c>
    </row>
    <row r="183" spans="2:4" x14ac:dyDescent="0.2">
      <c r="B183" s="16">
        <v>45900</v>
      </c>
      <c r="C183" s="23">
        <v>179.05999755859401</v>
      </c>
      <c r="D183" s="25">
        <f t="shared" si="5"/>
        <v>1.7155216925919332E-2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7" tint="0.79998168889431442"/>
  </sheetPr>
  <dimension ref="B2:D183"/>
  <sheetViews>
    <sheetView showGridLines="0" workbookViewId="0">
      <selection activeCell="H11" sqref="H11"/>
    </sheetView>
  </sheetViews>
  <sheetFormatPr baseColWidth="10" defaultColWidth="10.83203125" defaultRowHeight="15" x14ac:dyDescent="0.2"/>
  <sheetData>
    <row r="2" spans="2:4" x14ac:dyDescent="0.2">
      <c r="B2" s="21" t="s">
        <v>308</v>
      </c>
      <c r="C2" s="22" t="s">
        <v>23</v>
      </c>
      <c r="D2" s="20" t="s">
        <v>310</v>
      </c>
    </row>
    <row r="3" spans="2:4" x14ac:dyDescent="0.2">
      <c r="B3" s="16" t="s">
        <v>237</v>
      </c>
      <c r="C3" s="23">
        <v>23.645586013793899</v>
      </c>
    </row>
    <row r="4" spans="2:4" x14ac:dyDescent="0.2">
      <c r="B4" s="16">
        <v>40451</v>
      </c>
      <c r="C4" s="23">
        <v>24.9866333007813</v>
      </c>
      <c r="D4" s="25">
        <f t="shared" ref="D4:D35" si="0">(C4-C3)/C3</f>
        <v>5.6714487270693427E-2</v>
      </c>
    </row>
    <row r="5" spans="2:4" x14ac:dyDescent="0.2">
      <c r="B5" s="16">
        <v>40482</v>
      </c>
      <c r="C5" s="23">
        <v>25.168628692626999</v>
      </c>
      <c r="D5" s="25">
        <f t="shared" si="0"/>
        <v>7.2837100402801686E-3</v>
      </c>
    </row>
    <row r="6" spans="2:4" x14ac:dyDescent="0.2">
      <c r="B6" s="16">
        <v>40512</v>
      </c>
      <c r="C6" s="23">
        <v>21.8399562835693</v>
      </c>
      <c r="D6" s="25">
        <f t="shared" si="0"/>
        <v>-0.13225481807965223</v>
      </c>
    </row>
    <row r="7" spans="2:4" x14ac:dyDescent="0.2">
      <c r="B7" s="16">
        <v>40543</v>
      </c>
      <c r="C7" s="23">
        <v>22.802637100219702</v>
      </c>
      <c r="D7" s="25">
        <f t="shared" si="0"/>
        <v>4.4078880202459383E-2</v>
      </c>
    </row>
    <row r="8" spans="2:4" x14ac:dyDescent="0.2">
      <c r="B8" s="16">
        <v>40574</v>
      </c>
      <c r="C8" s="23">
        <v>26.150476455688501</v>
      </c>
      <c r="D8" s="25">
        <f t="shared" si="0"/>
        <v>0.14681807813520584</v>
      </c>
    </row>
    <row r="9" spans="2:4" x14ac:dyDescent="0.2">
      <c r="B9" s="16">
        <v>40602</v>
      </c>
      <c r="C9" s="23">
        <v>27.0987854003906</v>
      </c>
      <c r="D9" s="25">
        <f t="shared" si="0"/>
        <v>3.6263543660819741E-2</v>
      </c>
    </row>
    <row r="10" spans="2:4" x14ac:dyDescent="0.2">
      <c r="B10" s="16">
        <v>40633</v>
      </c>
      <c r="C10" s="23">
        <v>24.7184238433838</v>
      </c>
      <c r="D10" s="25">
        <f t="shared" si="0"/>
        <v>-8.7840156738998712E-2</v>
      </c>
    </row>
    <row r="11" spans="2:4" x14ac:dyDescent="0.2">
      <c r="B11" s="16">
        <v>40663</v>
      </c>
      <c r="C11" s="23">
        <v>25.5901069641113</v>
      </c>
      <c r="D11" s="25">
        <f t="shared" si="0"/>
        <v>3.5264510643983359E-2</v>
      </c>
    </row>
    <row r="12" spans="2:4" x14ac:dyDescent="0.2">
      <c r="B12" s="16">
        <v>40694</v>
      </c>
      <c r="C12" s="23">
        <v>25.9684753417969</v>
      </c>
      <c r="D12" s="25">
        <f t="shared" si="0"/>
        <v>1.4785728649600439E-2</v>
      </c>
    </row>
    <row r="13" spans="2:4" x14ac:dyDescent="0.2">
      <c r="B13" s="16">
        <v>40724</v>
      </c>
      <c r="C13" s="23">
        <v>26.519168853759801</v>
      </c>
      <c r="D13" s="25">
        <f t="shared" si="0"/>
        <v>2.1206231968364603E-2</v>
      </c>
    </row>
    <row r="14" spans="2:4" x14ac:dyDescent="0.2">
      <c r="B14" s="16">
        <v>40755</v>
      </c>
      <c r="C14" s="23">
        <v>22.6506462097168</v>
      </c>
      <c r="D14" s="25">
        <f t="shared" si="0"/>
        <v>-0.14587646639214089</v>
      </c>
    </row>
    <row r="15" spans="2:4" x14ac:dyDescent="0.2">
      <c r="B15" s="16">
        <v>40786</v>
      </c>
      <c r="C15" s="23">
        <v>17.870420455932599</v>
      </c>
      <c r="D15" s="25">
        <f t="shared" si="0"/>
        <v>-0.21104147358646011</v>
      </c>
    </row>
    <row r="16" spans="2:4" x14ac:dyDescent="0.2">
      <c r="B16" s="16">
        <v>40816</v>
      </c>
      <c r="C16" s="23">
        <v>14.9708967208862</v>
      </c>
      <c r="D16" s="25">
        <f t="shared" si="0"/>
        <v>-0.16225268690216066</v>
      </c>
    </row>
    <row r="17" spans="2:4" x14ac:dyDescent="0.2">
      <c r="B17" s="16">
        <v>40847</v>
      </c>
      <c r="C17" s="23">
        <v>16.365858078002901</v>
      </c>
      <c r="D17" s="25">
        <f t="shared" si="0"/>
        <v>9.3178209904458312E-2</v>
      </c>
    </row>
    <row r="18" spans="2:4" x14ac:dyDescent="0.2">
      <c r="B18" s="16">
        <v>40877</v>
      </c>
      <c r="C18" s="23">
        <v>14.681942939758301</v>
      </c>
      <c r="D18" s="25">
        <f t="shared" si="0"/>
        <v>-0.10289195532667639</v>
      </c>
    </row>
    <row r="19" spans="2:4" x14ac:dyDescent="0.2">
      <c r="B19" s="16">
        <v>40908</v>
      </c>
      <c r="C19" s="23">
        <v>15.120358467102101</v>
      </c>
      <c r="D19" s="25">
        <f t="shared" si="0"/>
        <v>2.9860865768425136E-2</v>
      </c>
    </row>
    <row r="20" spans="2:4" x14ac:dyDescent="0.2">
      <c r="B20" s="16">
        <v>40939</v>
      </c>
      <c r="C20" s="23">
        <v>16.126722335815401</v>
      </c>
      <c r="D20" s="25">
        <f t="shared" si="0"/>
        <v>6.6556878985566531E-2</v>
      </c>
    </row>
    <row r="21" spans="2:4" x14ac:dyDescent="0.2">
      <c r="B21" s="16">
        <v>40968</v>
      </c>
      <c r="C21" s="23">
        <v>18.251539230346701</v>
      </c>
      <c r="D21" s="25">
        <f t="shared" si="0"/>
        <v>0.13175751713740066</v>
      </c>
    </row>
    <row r="22" spans="2:4" x14ac:dyDescent="0.2">
      <c r="B22" s="16">
        <v>40999</v>
      </c>
      <c r="C22" s="23">
        <v>17.723453521728501</v>
      </c>
      <c r="D22" s="25">
        <f t="shared" si="0"/>
        <v>-2.8933762898208353E-2</v>
      </c>
    </row>
    <row r="23" spans="2:4" x14ac:dyDescent="0.2">
      <c r="B23" s="16">
        <v>41029</v>
      </c>
      <c r="C23" s="23">
        <v>15.120358467102101</v>
      </c>
      <c r="D23" s="25">
        <f t="shared" si="0"/>
        <v>-0.1468729021369945</v>
      </c>
    </row>
    <row r="24" spans="2:4" x14ac:dyDescent="0.2">
      <c r="B24" s="16">
        <v>41060</v>
      </c>
      <c r="C24" s="23">
        <v>12.816185951232899</v>
      </c>
      <c r="D24" s="25">
        <f t="shared" si="0"/>
        <v>-0.15238874930660345</v>
      </c>
    </row>
    <row r="25" spans="2:4" x14ac:dyDescent="0.2">
      <c r="B25" s="16">
        <v>41090</v>
      </c>
      <c r="C25" s="23">
        <v>15.8361349105835</v>
      </c>
      <c r="D25" s="25">
        <f t="shared" si="0"/>
        <v>0.23563554483696339</v>
      </c>
    </row>
    <row r="26" spans="2:4" x14ac:dyDescent="0.2">
      <c r="B26" s="16">
        <v>41121</v>
      </c>
      <c r="C26" s="23">
        <v>15.75</v>
      </c>
      <c r="D26" s="25">
        <f t="shared" si="0"/>
        <v>-5.4391372055017373E-3</v>
      </c>
    </row>
    <row r="27" spans="2:4" x14ac:dyDescent="0.2">
      <c r="B27" s="16">
        <v>41152</v>
      </c>
      <c r="C27" s="23">
        <v>18.039148330688501</v>
      </c>
      <c r="D27" s="25">
        <f t="shared" si="0"/>
        <v>0.14534275115482548</v>
      </c>
    </row>
    <row r="28" spans="2:4" x14ac:dyDescent="0.2">
      <c r="B28" s="16">
        <v>41182</v>
      </c>
      <c r="C28" s="23">
        <v>19.305101394653299</v>
      </c>
      <c r="D28" s="25">
        <f t="shared" si="0"/>
        <v>7.0178094927637852E-2</v>
      </c>
    </row>
    <row r="29" spans="2:4" x14ac:dyDescent="0.2">
      <c r="B29" s="16">
        <v>41213</v>
      </c>
      <c r="C29" s="23">
        <v>20.260435104370099</v>
      </c>
      <c r="D29" s="25">
        <f t="shared" si="0"/>
        <v>4.9486075736509094E-2</v>
      </c>
    </row>
    <row r="30" spans="2:4" x14ac:dyDescent="0.2">
      <c r="B30" s="16">
        <v>41243</v>
      </c>
      <c r="C30" s="23">
        <v>22.419080734252901</v>
      </c>
      <c r="D30" s="25">
        <f t="shared" si="0"/>
        <v>0.10654488014510557</v>
      </c>
    </row>
    <row r="31" spans="2:4" x14ac:dyDescent="0.2">
      <c r="B31" s="16">
        <v>41274</v>
      </c>
      <c r="C31" s="23">
        <v>22.231145858764702</v>
      </c>
      <c r="D31" s="25">
        <f t="shared" si="0"/>
        <v>-8.3828091667052171E-3</v>
      </c>
    </row>
    <row r="32" spans="2:4" x14ac:dyDescent="0.2">
      <c r="B32" s="16">
        <v>41305</v>
      </c>
      <c r="C32" s="23">
        <v>24.1235466003418</v>
      </c>
      <c r="D32" s="25">
        <f t="shared" si="0"/>
        <v>8.5123850727245057E-2</v>
      </c>
    </row>
    <row r="33" spans="2:4" x14ac:dyDescent="0.2">
      <c r="B33" s="16">
        <v>41333</v>
      </c>
      <c r="C33" s="23">
        <v>22.502607345581101</v>
      </c>
      <c r="D33" s="25">
        <f t="shared" si="0"/>
        <v>-6.7193239933374171E-2</v>
      </c>
    </row>
    <row r="34" spans="2:4" x14ac:dyDescent="0.2">
      <c r="B34" s="16">
        <v>41364</v>
      </c>
      <c r="C34" s="23">
        <v>20.9025478363037</v>
      </c>
      <c r="D34" s="25">
        <f t="shared" si="0"/>
        <v>-7.1105516116629422E-2</v>
      </c>
    </row>
    <row r="35" spans="2:4" x14ac:dyDescent="0.2">
      <c r="B35" s="16">
        <v>41394</v>
      </c>
      <c r="C35" s="23">
        <v>22.087591171264702</v>
      </c>
      <c r="D35" s="25">
        <f t="shared" si="0"/>
        <v>5.6693726728509593E-2</v>
      </c>
    </row>
    <row r="36" spans="2:4" x14ac:dyDescent="0.2">
      <c r="B36" s="16">
        <v>41425</v>
      </c>
      <c r="C36" s="23">
        <v>23.6615390777588</v>
      </c>
      <c r="D36" s="25">
        <f t="shared" ref="D36:D67" si="1">(C36-C35)/C35</f>
        <v>7.1259373387069808E-2</v>
      </c>
    </row>
    <row r="37" spans="2:4" x14ac:dyDescent="0.2">
      <c r="B37" s="16">
        <v>41455</v>
      </c>
      <c r="C37" s="23">
        <v>22.6398105621338</v>
      </c>
      <c r="D37" s="25">
        <f t="shared" si="1"/>
        <v>-4.3180982955812748E-2</v>
      </c>
    </row>
    <row r="38" spans="2:4" x14ac:dyDescent="0.2">
      <c r="B38" s="16">
        <v>41486</v>
      </c>
      <c r="C38" s="23">
        <v>26.231977462768601</v>
      </c>
      <c r="D38" s="25">
        <f t="shared" si="1"/>
        <v>0.15866594337334597</v>
      </c>
    </row>
    <row r="39" spans="2:4" x14ac:dyDescent="0.2">
      <c r="B39" s="16">
        <v>41517</v>
      </c>
      <c r="C39" s="23">
        <v>25.573951721191399</v>
      </c>
      <c r="D39" s="25">
        <f t="shared" si="1"/>
        <v>-2.5084869888712984E-2</v>
      </c>
    </row>
    <row r="40" spans="2:4" x14ac:dyDescent="0.2">
      <c r="B40" s="16">
        <v>41547</v>
      </c>
      <c r="C40" s="23">
        <v>26.968212127685501</v>
      </c>
      <c r="D40" s="25">
        <f t="shared" si="1"/>
        <v>5.4518770571494138E-2</v>
      </c>
    </row>
    <row r="41" spans="2:4" x14ac:dyDescent="0.2">
      <c r="B41" s="16">
        <v>41578</v>
      </c>
      <c r="C41" s="23">
        <v>29.416925430297901</v>
      </c>
      <c r="D41" s="25">
        <f t="shared" si="1"/>
        <v>9.0799986703551536E-2</v>
      </c>
    </row>
    <row r="42" spans="2:4" x14ac:dyDescent="0.2">
      <c r="B42" s="16">
        <v>41608</v>
      </c>
      <c r="C42" s="23">
        <v>29.799867630004901</v>
      </c>
      <c r="D42" s="25">
        <f t="shared" si="1"/>
        <v>1.3017750635237656E-2</v>
      </c>
    </row>
    <row r="43" spans="2:4" x14ac:dyDescent="0.2">
      <c r="B43" s="16">
        <v>41639</v>
      </c>
      <c r="C43" s="23">
        <v>30.554975509643601</v>
      </c>
      <c r="D43" s="25">
        <f t="shared" si="1"/>
        <v>2.5339303147722609E-2</v>
      </c>
    </row>
    <row r="44" spans="2:4" x14ac:dyDescent="0.2">
      <c r="B44" s="16">
        <v>41670</v>
      </c>
      <c r="C44" s="23">
        <v>30.986473083496101</v>
      </c>
      <c r="D44" s="25">
        <f t="shared" si="1"/>
        <v>1.4122006863213259E-2</v>
      </c>
    </row>
    <row r="45" spans="2:4" x14ac:dyDescent="0.2">
      <c r="B45" s="16">
        <v>41698</v>
      </c>
      <c r="C45" s="23">
        <v>32.070590972900398</v>
      </c>
      <c r="D45" s="25">
        <f t="shared" si="1"/>
        <v>3.4986811389700098E-2</v>
      </c>
    </row>
    <row r="46" spans="2:4" x14ac:dyDescent="0.2">
      <c r="B46" s="16">
        <v>41729</v>
      </c>
      <c r="C46" s="23">
        <v>30.199003219604499</v>
      </c>
      <c r="D46" s="25">
        <f t="shared" si="1"/>
        <v>-5.8358380576066946E-2</v>
      </c>
    </row>
    <row r="47" spans="2:4" x14ac:dyDescent="0.2">
      <c r="B47" s="16">
        <v>41759</v>
      </c>
      <c r="C47" s="23">
        <v>29.184995651245099</v>
      </c>
      <c r="D47" s="25">
        <f t="shared" si="1"/>
        <v>-3.3577517806982767E-2</v>
      </c>
    </row>
    <row r="48" spans="2:4" x14ac:dyDescent="0.2">
      <c r="B48" s="16">
        <v>41790</v>
      </c>
      <c r="C48" s="23">
        <v>27.707138061523398</v>
      </c>
      <c r="D48" s="25">
        <f t="shared" si="1"/>
        <v>-5.0637581289433985E-2</v>
      </c>
    </row>
    <row r="49" spans="2:4" x14ac:dyDescent="0.2">
      <c r="B49" s="16">
        <v>41820</v>
      </c>
      <c r="C49" s="23">
        <v>27.513412475585898</v>
      </c>
      <c r="D49" s="25">
        <f t="shared" si="1"/>
        <v>-6.9919017080484619E-3</v>
      </c>
    </row>
    <row r="50" spans="2:4" x14ac:dyDescent="0.2">
      <c r="B50" s="16">
        <v>41851</v>
      </c>
      <c r="C50" s="23">
        <v>27.4884223937988</v>
      </c>
      <c r="D50" s="25">
        <f t="shared" si="1"/>
        <v>-9.0828725114609949E-4</v>
      </c>
    </row>
    <row r="51" spans="2:4" x14ac:dyDescent="0.2">
      <c r="B51" s="16">
        <v>41882</v>
      </c>
      <c r="C51" s="23">
        <v>28.532432556152301</v>
      </c>
      <c r="D51" s="25">
        <f t="shared" si="1"/>
        <v>3.7979995628596823E-2</v>
      </c>
    </row>
    <row r="52" spans="2:4" x14ac:dyDescent="0.2">
      <c r="B52" s="16">
        <v>41912</v>
      </c>
      <c r="C52" s="23">
        <v>29.1654949188232</v>
      </c>
      <c r="D52" s="25">
        <f t="shared" si="1"/>
        <v>2.2187465489492394E-2</v>
      </c>
    </row>
    <row r="53" spans="2:4" x14ac:dyDescent="0.2">
      <c r="B53" s="16">
        <v>41943</v>
      </c>
      <c r="C53" s="23">
        <v>27.8438320159912</v>
      </c>
      <c r="D53" s="25">
        <f t="shared" si="1"/>
        <v>-4.5315977202190647E-2</v>
      </c>
    </row>
    <row r="54" spans="2:4" x14ac:dyDescent="0.2">
      <c r="B54" s="16">
        <v>41973</v>
      </c>
      <c r="C54" s="23">
        <v>28.632387161254901</v>
      </c>
      <c r="D54" s="25">
        <f t="shared" si="1"/>
        <v>2.8320640090445139E-2</v>
      </c>
    </row>
    <row r="55" spans="2:4" x14ac:dyDescent="0.2">
      <c r="B55" s="16">
        <v>42004</v>
      </c>
      <c r="C55" s="23">
        <v>27.355148315429702</v>
      </c>
      <c r="D55" s="25">
        <f t="shared" si="1"/>
        <v>-4.4608185780386049E-2</v>
      </c>
    </row>
    <row r="56" spans="2:4" x14ac:dyDescent="0.2">
      <c r="B56" s="16">
        <v>42035</v>
      </c>
      <c r="C56" s="23">
        <v>25.975172042846701</v>
      </c>
      <c r="D56" s="25">
        <f t="shared" si="1"/>
        <v>-5.0446674851498556E-2</v>
      </c>
    </row>
    <row r="57" spans="2:4" x14ac:dyDescent="0.2">
      <c r="B57" s="16">
        <v>42063</v>
      </c>
      <c r="C57" s="23">
        <v>28.926698684692401</v>
      </c>
      <c r="D57" s="25">
        <f t="shared" si="1"/>
        <v>0.1136287619953809</v>
      </c>
    </row>
    <row r="58" spans="2:4" x14ac:dyDescent="0.2">
      <c r="B58" s="16">
        <v>42094</v>
      </c>
      <c r="C58" s="23">
        <v>31.414545059204102</v>
      </c>
      <c r="D58" s="25">
        <f t="shared" si="1"/>
        <v>8.6005195464224679E-2</v>
      </c>
    </row>
    <row r="59" spans="2:4" x14ac:dyDescent="0.2">
      <c r="B59" s="16">
        <v>42124</v>
      </c>
      <c r="C59" s="23">
        <v>31.3423557281494</v>
      </c>
      <c r="D59" s="25">
        <f t="shared" si="1"/>
        <v>-2.2979588250809655E-3</v>
      </c>
    </row>
    <row r="60" spans="2:4" x14ac:dyDescent="0.2">
      <c r="B60" s="16">
        <v>42155</v>
      </c>
      <c r="C60" s="23">
        <v>30.503818511962901</v>
      </c>
      <c r="D60" s="25">
        <f t="shared" si="1"/>
        <v>-2.6754122231896757E-2</v>
      </c>
    </row>
    <row r="61" spans="2:4" x14ac:dyDescent="0.2">
      <c r="B61" s="16">
        <v>42185</v>
      </c>
      <c r="C61" s="23">
        <v>30.877433776855501</v>
      </c>
      <c r="D61" s="25">
        <f t="shared" si="1"/>
        <v>1.2248147383452208E-2</v>
      </c>
    </row>
    <row r="62" spans="2:4" x14ac:dyDescent="0.2">
      <c r="B62" s="16">
        <v>42216</v>
      </c>
      <c r="C62" s="23">
        <v>33.819774627685597</v>
      </c>
      <c r="D62" s="25">
        <f t="shared" si="1"/>
        <v>9.5290977614712197E-2</v>
      </c>
    </row>
    <row r="63" spans="2:4" x14ac:dyDescent="0.2">
      <c r="B63" s="16">
        <v>42247</v>
      </c>
      <c r="C63" s="23">
        <v>32.086296081542997</v>
      </c>
      <c r="D63" s="25">
        <f t="shared" si="1"/>
        <v>-5.1256360080044312E-2</v>
      </c>
    </row>
    <row r="64" spans="2:4" x14ac:dyDescent="0.2">
      <c r="B64" s="16">
        <v>42277</v>
      </c>
      <c r="C64" s="23">
        <v>29.913759231567401</v>
      </c>
      <c r="D64" s="25">
        <f t="shared" si="1"/>
        <v>-6.7709181653575312E-2</v>
      </c>
    </row>
    <row r="65" spans="2:4" x14ac:dyDescent="0.2">
      <c r="B65" s="16">
        <v>42308</v>
      </c>
      <c r="C65" s="23">
        <v>31.510374069213899</v>
      </c>
      <c r="D65" s="25">
        <f t="shared" si="1"/>
        <v>5.3373928207646415E-2</v>
      </c>
    </row>
    <row r="66" spans="2:4" x14ac:dyDescent="0.2">
      <c r="B66" s="16">
        <v>42338</v>
      </c>
      <c r="C66" s="23">
        <v>31.995063781738299</v>
      </c>
      <c r="D66" s="25">
        <f t="shared" si="1"/>
        <v>1.5381909191549359E-2</v>
      </c>
    </row>
    <row r="67" spans="2:4" x14ac:dyDescent="0.2">
      <c r="B67" s="16">
        <v>42369</v>
      </c>
      <c r="C67" s="23">
        <v>29.7826042175293</v>
      </c>
      <c r="D67" s="25">
        <f t="shared" si="1"/>
        <v>-6.9150028245038089E-2</v>
      </c>
    </row>
    <row r="68" spans="2:4" x14ac:dyDescent="0.2">
      <c r="B68" s="16">
        <v>42400</v>
      </c>
      <c r="C68" s="23">
        <v>24.932886123657202</v>
      </c>
      <c r="D68" s="25">
        <f t="shared" ref="D68:D99" si="2">(C68-C67)/C67</f>
        <v>-0.16283727435150466</v>
      </c>
    </row>
    <row r="69" spans="2:4" x14ac:dyDescent="0.2">
      <c r="B69" s="16">
        <v>42429</v>
      </c>
      <c r="C69" s="23">
        <v>24.519475936889702</v>
      </c>
      <c r="D69" s="25">
        <f t="shared" si="2"/>
        <v>-1.6580919862913174E-2</v>
      </c>
    </row>
    <row r="70" spans="2:4" x14ac:dyDescent="0.2">
      <c r="B70" s="16">
        <v>42460</v>
      </c>
      <c r="C70" s="23">
        <v>25.2208461761475</v>
      </c>
      <c r="D70" s="25">
        <f t="shared" si="2"/>
        <v>2.8604617858189314E-2</v>
      </c>
    </row>
    <row r="71" spans="2:4" x14ac:dyDescent="0.2">
      <c r="B71" s="16">
        <v>42490</v>
      </c>
      <c r="C71" s="23">
        <v>26.366985321044901</v>
      </c>
      <c r="D71" s="25">
        <f t="shared" si="2"/>
        <v>4.5444119396015996E-2</v>
      </c>
    </row>
    <row r="72" spans="2:4" x14ac:dyDescent="0.2">
      <c r="B72" s="16">
        <v>42521</v>
      </c>
      <c r="C72" s="23">
        <v>28.377016067504901</v>
      </c>
      <c r="D72" s="25">
        <f t="shared" si="2"/>
        <v>7.6232861739248092E-2</v>
      </c>
    </row>
    <row r="73" spans="2:4" x14ac:dyDescent="0.2">
      <c r="B73" s="16">
        <v>42551</v>
      </c>
      <c r="C73" s="23">
        <v>22.669113159179702</v>
      </c>
      <c r="D73" s="25">
        <f t="shared" si="2"/>
        <v>-0.20114528232097789</v>
      </c>
    </row>
    <row r="74" spans="2:4" x14ac:dyDescent="0.2">
      <c r="B74" s="16">
        <v>42582</v>
      </c>
      <c r="C74" s="23">
        <v>26.547224044799801</v>
      </c>
      <c r="D74" s="25">
        <f t="shared" si="2"/>
        <v>0.17107466262083063</v>
      </c>
    </row>
    <row r="75" spans="2:4" x14ac:dyDescent="0.2">
      <c r="B75" s="16">
        <v>42613</v>
      </c>
      <c r="C75" s="23">
        <v>27.295368194580099</v>
      </c>
      <c r="D75" s="25">
        <f t="shared" si="2"/>
        <v>2.8181633925933904E-2</v>
      </c>
    </row>
    <row r="76" spans="2:4" x14ac:dyDescent="0.2">
      <c r="B76" s="16">
        <v>42643</v>
      </c>
      <c r="C76" s="23">
        <v>27.394123077392599</v>
      </c>
      <c r="D76" s="25">
        <f t="shared" si="2"/>
        <v>3.6180088177784407E-3</v>
      </c>
    </row>
    <row r="77" spans="2:4" x14ac:dyDescent="0.2">
      <c r="B77" s="16">
        <v>42674</v>
      </c>
      <c r="C77" s="23">
        <v>31.625638961791999</v>
      </c>
      <c r="D77" s="25">
        <f t="shared" si="2"/>
        <v>0.15446801755415634</v>
      </c>
    </row>
    <row r="78" spans="2:4" x14ac:dyDescent="0.2">
      <c r="B78" s="16">
        <v>42704</v>
      </c>
      <c r="C78" s="23">
        <v>32.786758422851598</v>
      </c>
      <c r="D78" s="25">
        <f t="shared" si="2"/>
        <v>3.6714498083734726E-2</v>
      </c>
    </row>
    <row r="79" spans="2:4" x14ac:dyDescent="0.2">
      <c r="B79" s="16">
        <v>42735</v>
      </c>
      <c r="C79" s="23">
        <v>36.240200042724602</v>
      </c>
      <c r="D79" s="25">
        <f t="shared" si="2"/>
        <v>0.10533037683487602</v>
      </c>
    </row>
    <row r="80" spans="2:4" x14ac:dyDescent="0.2">
      <c r="B80" s="16">
        <v>42766</v>
      </c>
      <c r="C80" s="23">
        <v>35.420234680175803</v>
      </c>
      <c r="D80" s="25">
        <f t="shared" si="2"/>
        <v>-2.2625850894369214E-2</v>
      </c>
    </row>
    <row r="81" spans="2:4" x14ac:dyDescent="0.2">
      <c r="B81" s="16">
        <v>42794</v>
      </c>
      <c r="C81" s="23">
        <v>32.996238708496101</v>
      </c>
      <c r="D81" s="25">
        <f t="shared" si="2"/>
        <v>-6.8435344756097208E-2</v>
      </c>
    </row>
    <row r="82" spans="2:4" x14ac:dyDescent="0.2">
      <c r="B82" s="16">
        <v>42825</v>
      </c>
      <c r="C82" s="23">
        <v>37.365413665771499</v>
      </c>
      <c r="D82" s="25">
        <f t="shared" si="2"/>
        <v>0.1324143335206989</v>
      </c>
    </row>
    <row r="83" spans="2:4" x14ac:dyDescent="0.2">
      <c r="B83" s="16">
        <v>42855</v>
      </c>
      <c r="C83" s="23">
        <v>38.771930694580099</v>
      </c>
      <c r="D83" s="25">
        <f t="shared" si="2"/>
        <v>3.7642217516704157E-2</v>
      </c>
    </row>
    <row r="84" spans="2:4" x14ac:dyDescent="0.2">
      <c r="B84" s="16">
        <v>42886</v>
      </c>
      <c r="C84" s="23">
        <v>37.598834991455099</v>
      </c>
      <c r="D84" s="25">
        <f t="shared" si="2"/>
        <v>-3.0256313836055274E-2</v>
      </c>
    </row>
    <row r="85" spans="2:4" x14ac:dyDescent="0.2">
      <c r="B85" s="16">
        <v>42916</v>
      </c>
      <c r="C85" s="23">
        <v>39.343494415283203</v>
      </c>
      <c r="D85" s="25">
        <f t="shared" si="2"/>
        <v>4.6401954321845441E-2</v>
      </c>
    </row>
    <row r="86" spans="2:4" x14ac:dyDescent="0.2">
      <c r="B86" s="16">
        <v>42947</v>
      </c>
      <c r="C86" s="23">
        <v>40.909500122070298</v>
      </c>
      <c r="D86" s="25">
        <f t="shared" si="2"/>
        <v>3.980342188869658E-2</v>
      </c>
    </row>
    <row r="87" spans="2:4" x14ac:dyDescent="0.2">
      <c r="B87" s="16">
        <v>42978</v>
      </c>
      <c r="C87" s="23">
        <v>39.873821258544901</v>
      </c>
      <c r="D87" s="25">
        <f t="shared" si="2"/>
        <v>-2.5316341202777457E-2</v>
      </c>
    </row>
    <row r="88" spans="2:4" x14ac:dyDescent="0.2">
      <c r="B88" s="16">
        <v>43008</v>
      </c>
      <c r="C88" s="23">
        <v>42.581569671630902</v>
      </c>
      <c r="D88" s="25">
        <f t="shared" si="2"/>
        <v>6.7907923735945799E-2</v>
      </c>
    </row>
    <row r="89" spans="2:4" x14ac:dyDescent="0.2">
      <c r="B89" s="16">
        <v>43039</v>
      </c>
      <c r="C89" s="23">
        <v>41.826644897460902</v>
      </c>
      <c r="D89" s="25">
        <f t="shared" si="2"/>
        <v>-1.7728909009029632E-2</v>
      </c>
    </row>
    <row r="90" spans="2:4" x14ac:dyDescent="0.2">
      <c r="B90" s="16">
        <v>43069</v>
      </c>
      <c r="C90" s="23">
        <v>39.667926788330099</v>
      </c>
      <c r="D90" s="25">
        <f t="shared" si="2"/>
        <v>-5.1611075055696093E-2</v>
      </c>
    </row>
    <row r="91" spans="2:4" x14ac:dyDescent="0.2">
      <c r="B91" s="16">
        <v>43100</v>
      </c>
      <c r="C91" s="23">
        <v>38.838130950927699</v>
      </c>
      <c r="D91" s="25">
        <f t="shared" si="2"/>
        <v>-2.0918558255646424E-2</v>
      </c>
    </row>
    <row r="92" spans="2:4" x14ac:dyDescent="0.2">
      <c r="B92" s="16">
        <v>43131</v>
      </c>
      <c r="C92" s="23">
        <v>41.552120208740199</v>
      </c>
      <c r="D92" s="25">
        <f t="shared" si="2"/>
        <v>6.9879502215017708E-2</v>
      </c>
    </row>
    <row r="93" spans="2:4" x14ac:dyDescent="0.2">
      <c r="B93" s="16">
        <v>43159</v>
      </c>
      <c r="C93" s="23">
        <v>40.784721374511697</v>
      </c>
      <c r="D93" s="25">
        <f t="shared" si="2"/>
        <v>-1.8468343621779484E-2</v>
      </c>
    </row>
    <row r="94" spans="2:4" x14ac:dyDescent="0.2">
      <c r="B94" s="16">
        <v>43190</v>
      </c>
      <c r="C94" s="23">
        <v>37.540409088134801</v>
      </c>
      <c r="D94" s="25">
        <f t="shared" si="2"/>
        <v>-7.9547246543271E-2</v>
      </c>
    </row>
    <row r="95" spans="2:4" x14ac:dyDescent="0.2">
      <c r="B95" s="16">
        <v>43220</v>
      </c>
      <c r="C95" s="23">
        <v>39.917491912841797</v>
      </c>
      <c r="D95" s="25">
        <f t="shared" si="2"/>
        <v>6.3320642540848279E-2</v>
      </c>
    </row>
    <row r="96" spans="2:4" x14ac:dyDescent="0.2">
      <c r="B96" s="16">
        <v>43251</v>
      </c>
      <c r="C96" s="23">
        <v>33.104438781738303</v>
      </c>
      <c r="D96" s="25">
        <f t="shared" si="2"/>
        <v>-0.1706783869582667</v>
      </c>
    </row>
    <row r="97" spans="2:4" x14ac:dyDescent="0.2">
      <c r="B97" s="16">
        <v>43281</v>
      </c>
      <c r="C97" s="23">
        <v>35.034629821777301</v>
      </c>
      <c r="D97" s="25">
        <f t="shared" si="2"/>
        <v>5.8306109726402225E-2</v>
      </c>
    </row>
    <row r="98" spans="2:4" x14ac:dyDescent="0.2">
      <c r="B98" s="16">
        <v>43312</v>
      </c>
      <c r="C98" s="23">
        <v>36.668132781982401</v>
      </c>
      <c r="D98" s="25">
        <f t="shared" si="2"/>
        <v>4.6625380902118867E-2</v>
      </c>
    </row>
    <row r="99" spans="2:4" x14ac:dyDescent="0.2">
      <c r="B99" s="16">
        <v>43343</v>
      </c>
      <c r="C99" s="23">
        <v>33.335262298583999</v>
      </c>
      <c r="D99" s="25">
        <f t="shared" si="2"/>
        <v>-9.0892833382453353E-2</v>
      </c>
    </row>
    <row r="100" spans="2:4" x14ac:dyDescent="0.2">
      <c r="B100" s="16">
        <v>43373</v>
      </c>
      <c r="C100" s="23">
        <v>34.718467712402301</v>
      </c>
      <c r="D100" s="25">
        <f t="shared" ref="D100:D131" si="3">(C100-C99)/C99</f>
        <v>4.1493761213844051E-2</v>
      </c>
    </row>
    <row r="101" spans="2:4" x14ac:dyDescent="0.2">
      <c r="B101" s="16">
        <v>43404</v>
      </c>
      <c r="C101" s="23">
        <v>30.384424209594702</v>
      </c>
      <c r="D101" s="25">
        <f t="shared" si="3"/>
        <v>-0.12483395116136911</v>
      </c>
    </row>
    <row r="102" spans="2:4" x14ac:dyDescent="0.2">
      <c r="B102" s="16">
        <v>43434</v>
      </c>
      <c r="C102" s="23">
        <v>29.228458404541001</v>
      </c>
      <c r="D102" s="25">
        <f t="shared" si="3"/>
        <v>-3.804468358787174E-2</v>
      </c>
    </row>
    <row r="103" spans="2:4" x14ac:dyDescent="0.2">
      <c r="B103" s="16">
        <v>43465</v>
      </c>
      <c r="C103" s="23">
        <v>26.000974655151399</v>
      </c>
      <c r="D103" s="25">
        <f t="shared" si="3"/>
        <v>-0.11042264715843422</v>
      </c>
    </row>
    <row r="104" spans="2:4" x14ac:dyDescent="0.2">
      <c r="B104" s="16">
        <v>43496</v>
      </c>
      <c r="C104" s="23">
        <v>26.982397079467798</v>
      </c>
      <c r="D104" s="25">
        <f t="shared" si="3"/>
        <v>3.7745601360445788E-2</v>
      </c>
    </row>
    <row r="105" spans="2:4" x14ac:dyDescent="0.2">
      <c r="B105" s="16">
        <v>43524</v>
      </c>
      <c r="C105" s="23">
        <v>29.6763515472412</v>
      </c>
      <c r="D105" s="25">
        <f t="shared" si="3"/>
        <v>9.984118385921173E-2</v>
      </c>
    </row>
    <row r="106" spans="2:4" x14ac:dyDescent="0.2">
      <c r="B106" s="16">
        <v>43555</v>
      </c>
      <c r="C106" s="23">
        <v>28.0659084320068</v>
      </c>
      <c r="D106" s="25">
        <f t="shared" si="3"/>
        <v>-5.4266883604973046E-2</v>
      </c>
    </row>
    <row r="107" spans="2:4" x14ac:dyDescent="0.2">
      <c r="B107" s="16">
        <v>43585</v>
      </c>
      <c r="C107" s="23">
        <v>31.253864288330099</v>
      </c>
      <c r="D107" s="25">
        <f t="shared" si="3"/>
        <v>0.11358819416255575</v>
      </c>
    </row>
    <row r="108" spans="2:4" x14ac:dyDescent="0.2">
      <c r="B108" s="16">
        <v>43616</v>
      </c>
      <c r="C108" s="23">
        <v>26.9231147766113</v>
      </c>
      <c r="D108" s="25">
        <f t="shared" si="3"/>
        <v>-0.13856684958268861</v>
      </c>
    </row>
    <row r="109" spans="2:4" x14ac:dyDescent="0.2">
      <c r="B109" s="16">
        <v>43646</v>
      </c>
      <c r="C109" s="23">
        <v>29.522611618041999</v>
      </c>
      <c r="D109" s="25">
        <f t="shared" si="3"/>
        <v>9.6552604072725617E-2</v>
      </c>
    </row>
    <row r="110" spans="2:4" x14ac:dyDescent="0.2">
      <c r="B110" s="16">
        <v>43677</v>
      </c>
      <c r="C110" s="23">
        <v>29.815967559814499</v>
      </c>
      <c r="D110" s="25">
        <f t="shared" si="3"/>
        <v>9.9366528126943535E-3</v>
      </c>
    </row>
    <row r="111" spans="2:4" x14ac:dyDescent="0.2">
      <c r="B111" s="16">
        <v>43708</v>
      </c>
      <c r="C111" s="23">
        <v>29.006593704223601</v>
      </c>
      <c r="D111" s="25">
        <f t="shared" si="3"/>
        <v>-2.7145651200726421E-2</v>
      </c>
    </row>
    <row r="112" spans="2:4" x14ac:dyDescent="0.2">
      <c r="B112" s="16">
        <v>43738</v>
      </c>
      <c r="C112" s="23">
        <v>31.5760822296143</v>
      </c>
      <c r="D112" s="25">
        <f t="shared" si="3"/>
        <v>8.8582911581809101E-2</v>
      </c>
    </row>
    <row r="113" spans="2:4" x14ac:dyDescent="0.2">
      <c r="B113" s="16">
        <v>43769</v>
      </c>
      <c r="C113" s="23">
        <v>33.088794708252003</v>
      </c>
      <c r="D113" s="25">
        <f t="shared" si="3"/>
        <v>4.790690838836785E-2</v>
      </c>
    </row>
    <row r="114" spans="2:4" x14ac:dyDescent="0.2">
      <c r="B114" s="16">
        <v>43799</v>
      </c>
      <c r="C114" s="23">
        <v>36.029396057128899</v>
      </c>
      <c r="D114" s="25">
        <f t="shared" si="3"/>
        <v>8.8870004930809418E-2</v>
      </c>
    </row>
    <row r="115" spans="2:4" x14ac:dyDescent="0.2">
      <c r="B115" s="16">
        <v>43830</v>
      </c>
      <c r="C115" s="23">
        <v>37.344181060791001</v>
      </c>
      <c r="D115" s="25">
        <f t="shared" si="3"/>
        <v>3.6492007847629584E-2</v>
      </c>
    </row>
    <row r="116" spans="2:4" x14ac:dyDescent="0.2">
      <c r="B116" s="16">
        <v>43861</v>
      </c>
      <c r="C116" s="23">
        <v>33.961784362792997</v>
      </c>
      <c r="D116" s="25">
        <f t="shared" si="3"/>
        <v>-9.0573594116093878E-2</v>
      </c>
    </row>
    <row r="117" spans="2:4" x14ac:dyDescent="0.2">
      <c r="B117" s="16">
        <v>43890</v>
      </c>
      <c r="C117" s="23">
        <v>30.9505004882813</v>
      </c>
      <c r="D117" s="25">
        <f t="shared" si="3"/>
        <v>-8.8666833354337074E-2</v>
      </c>
    </row>
    <row r="118" spans="2:4" x14ac:dyDescent="0.2">
      <c r="B118" s="16">
        <v>43921</v>
      </c>
      <c r="C118" s="23">
        <v>19.446119308471701</v>
      </c>
      <c r="D118" s="25">
        <f t="shared" si="3"/>
        <v>-0.37170258956443919</v>
      </c>
    </row>
    <row r="119" spans="2:4" x14ac:dyDescent="0.2">
      <c r="B119" s="16">
        <v>43951</v>
      </c>
      <c r="C119" s="23">
        <v>20.269626617431602</v>
      </c>
      <c r="D119" s="25">
        <f t="shared" si="3"/>
        <v>4.2348156765712096E-2</v>
      </c>
    </row>
    <row r="120" spans="2:4" x14ac:dyDescent="0.2">
      <c r="B120" s="16">
        <v>43982</v>
      </c>
      <c r="C120" s="23">
        <v>22.800237655639702</v>
      </c>
      <c r="D120" s="25">
        <f t="shared" si="3"/>
        <v>0.12484744223318892</v>
      </c>
    </row>
    <row r="121" spans="2:4" x14ac:dyDescent="0.2">
      <c r="B121" s="16">
        <v>44012</v>
      </c>
      <c r="C121" s="23">
        <v>25.002149581909201</v>
      </c>
      <c r="D121" s="25">
        <f t="shared" si="3"/>
        <v>9.6574077846282899E-2</v>
      </c>
    </row>
    <row r="122" spans="2:4" x14ac:dyDescent="0.2">
      <c r="B122" s="16">
        <v>44043</v>
      </c>
      <c r="C122" s="23">
        <v>24.115024566650401</v>
      </c>
      <c r="D122" s="25">
        <f t="shared" si="3"/>
        <v>-3.548194975606004E-2</v>
      </c>
    </row>
    <row r="123" spans="2:4" x14ac:dyDescent="0.2">
      <c r="B123" s="16">
        <v>44074</v>
      </c>
      <c r="C123" s="23">
        <v>25.846868515014702</v>
      </c>
      <c r="D123" s="25">
        <f t="shared" si="3"/>
        <v>7.1815972800597275E-2</v>
      </c>
    </row>
    <row r="124" spans="2:4" x14ac:dyDescent="0.2">
      <c r="B124" s="16">
        <v>44104</v>
      </c>
      <c r="C124" s="23">
        <v>21.895439147949201</v>
      </c>
      <c r="D124" s="25">
        <f t="shared" si="3"/>
        <v>-0.15287845662115998</v>
      </c>
    </row>
    <row r="125" spans="2:4" x14ac:dyDescent="0.2">
      <c r="B125" s="16">
        <v>44135</v>
      </c>
      <c r="C125" s="23">
        <v>21.10373878479</v>
      </c>
      <c r="D125" s="25">
        <f t="shared" si="3"/>
        <v>-3.6158231758204047E-2</v>
      </c>
    </row>
    <row r="126" spans="2:4" x14ac:dyDescent="0.2">
      <c r="B126" s="16">
        <v>44165</v>
      </c>
      <c r="C126" s="23">
        <v>30.370866775512699</v>
      </c>
      <c r="D126" s="25">
        <f t="shared" si="3"/>
        <v>0.43912256900193219</v>
      </c>
    </row>
    <row r="127" spans="2:4" x14ac:dyDescent="0.2">
      <c r="B127" s="16">
        <v>44196</v>
      </c>
      <c r="C127" s="23">
        <v>30.469821929931602</v>
      </c>
      <c r="D127" s="25">
        <f t="shared" si="3"/>
        <v>3.2582262189068587E-3</v>
      </c>
    </row>
    <row r="128" spans="2:4" x14ac:dyDescent="0.2">
      <c r="B128" s="16">
        <v>44227</v>
      </c>
      <c r="C128" s="23">
        <v>28.119468688964801</v>
      </c>
      <c r="D128" s="25">
        <f t="shared" si="3"/>
        <v>-7.7137084895726418E-2</v>
      </c>
    </row>
    <row r="129" spans="2:4" x14ac:dyDescent="0.2">
      <c r="B129" s="16">
        <v>44255</v>
      </c>
      <c r="C129" s="23">
        <v>34.831241607666001</v>
      </c>
      <c r="D129" s="25">
        <f t="shared" si="3"/>
        <v>0.23868775733074812</v>
      </c>
    </row>
    <row r="130" spans="2:4" x14ac:dyDescent="0.2">
      <c r="B130" s="16">
        <v>44286</v>
      </c>
      <c r="C130" s="23">
        <v>36.672653198242202</v>
      </c>
      <c r="D130" s="25">
        <f t="shared" si="3"/>
        <v>5.2866665257517674E-2</v>
      </c>
    </row>
    <row r="131" spans="2:4" x14ac:dyDescent="0.2">
      <c r="B131" s="16">
        <v>44316</v>
      </c>
      <c r="C131" s="23">
        <v>37.740036010742202</v>
      </c>
      <c r="D131" s="25">
        <f t="shared" si="3"/>
        <v>2.910568828303816E-2</v>
      </c>
    </row>
    <row r="132" spans="2:4" x14ac:dyDescent="0.2">
      <c r="B132" s="16">
        <v>44347</v>
      </c>
      <c r="C132" s="23">
        <v>39.4789428710938</v>
      </c>
      <c r="D132" s="25">
        <f t="shared" ref="D132:D163" si="4">(C132-C131)/C131</f>
        <v>4.6075919478631162E-2</v>
      </c>
    </row>
    <row r="133" spans="2:4" x14ac:dyDescent="0.2">
      <c r="B133" s="16">
        <v>44377</v>
      </c>
      <c r="C133" s="23">
        <v>38.124919891357401</v>
      </c>
      <c r="D133" s="25">
        <f t="shared" si="4"/>
        <v>-3.4297346414708718E-2</v>
      </c>
    </row>
    <row r="134" spans="2:4" x14ac:dyDescent="0.2">
      <c r="B134" s="16">
        <v>44408</v>
      </c>
      <c r="C134" s="23">
        <v>37.1009521484375</v>
      </c>
      <c r="D134" s="25">
        <f t="shared" si="4"/>
        <v>-2.6858226740878358E-2</v>
      </c>
    </row>
    <row r="135" spans="2:4" x14ac:dyDescent="0.2">
      <c r="B135" s="16">
        <v>44439</v>
      </c>
      <c r="C135" s="23">
        <v>38.745071411132798</v>
      </c>
      <c r="D135" s="25">
        <f t="shared" si="4"/>
        <v>4.4314745781114412E-2</v>
      </c>
    </row>
    <row r="136" spans="2:4" x14ac:dyDescent="0.2">
      <c r="B136" s="16">
        <v>44469</v>
      </c>
      <c r="C136" s="23">
        <v>39.978164672851598</v>
      </c>
      <c r="D136" s="25">
        <f t="shared" si="4"/>
        <v>3.1825809498043395E-2</v>
      </c>
    </row>
    <row r="137" spans="2:4" x14ac:dyDescent="0.2">
      <c r="B137" s="16">
        <v>44500</v>
      </c>
      <c r="C137" s="23">
        <v>42.9298095703125</v>
      </c>
      <c r="D137" s="25">
        <f t="shared" si="4"/>
        <v>7.3831425769910516E-2</v>
      </c>
    </row>
    <row r="138" spans="2:4" x14ac:dyDescent="0.2">
      <c r="B138" s="16">
        <v>44530</v>
      </c>
      <c r="C138" s="23">
        <v>40.838932037353501</v>
      </c>
      <c r="D138" s="25">
        <f t="shared" si="4"/>
        <v>-4.8704561093718783E-2</v>
      </c>
    </row>
    <row r="139" spans="2:4" x14ac:dyDescent="0.2">
      <c r="B139" s="16">
        <v>44561</v>
      </c>
      <c r="C139" s="23">
        <v>45.057762145996101</v>
      </c>
      <c r="D139" s="25">
        <f t="shared" si="4"/>
        <v>0.10330412423086453</v>
      </c>
    </row>
    <row r="140" spans="2:4" x14ac:dyDescent="0.2">
      <c r="B140" s="16">
        <v>44592</v>
      </c>
      <c r="C140" s="23">
        <v>46.711189270019503</v>
      </c>
      <c r="D140" s="25">
        <f t="shared" si="4"/>
        <v>3.6695722230189097E-2</v>
      </c>
    </row>
    <row r="141" spans="2:4" x14ac:dyDescent="0.2">
      <c r="B141" s="16">
        <v>44620</v>
      </c>
      <c r="C141" s="23">
        <v>38.933406829833999</v>
      </c>
      <c r="D141" s="25">
        <f t="shared" si="4"/>
        <v>-0.16650790874163193</v>
      </c>
    </row>
    <row r="142" spans="2:4" x14ac:dyDescent="0.2">
      <c r="B142" s="16">
        <v>44651</v>
      </c>
      <c r="C142" s="23">
        <v>38.503368377685597</v>
      </c>
      <c r="D142" s="25">
        <f t="shared" si="4"/>
        <v>-1.1045487337595921E-2</v>
      </c>
    </row>
    <row r="143" spans="2:4" x14ac:dyDescent="0.2">
      <c r="B143" s="16">
        <v>44681</v>
      </c>
      <c r="C143" s="23">
        <v>36.853645324707003</v>
      </c>
      <c r="D143" s="25">
        <f t="shared" si="4"/>
        <v>-4.2846200799789798E-2</v>
      </c>
    </row>
    <row r="144" spans="2:4" x14ac:dyDescent="0.2">
      <c r="B144" s="16">
        <v>44712</v>
      </c>
      <c r="C144" s="23">
        <v>39.3782768249512</v>
      </c>
      <c r="D144" s="25">
        <f t="shared" si="4"/>
        <v>6.8504254545252885E-2</v>
      </c>
    </row>
    <row r="145" spans="2:4" x14ac:dyDescent="0.2">
      <c r="B145" s="16">
        <v>44742</v>
      </c>
      <c r="C145" s="23">
        <v>36.1026611328125</v>
      </c>
      <c r="D145" s="25">
        <f t="shared" si="4"/>
        <v>-8.3183317205570984E-2</v>
      </c>
    </row>
    <row r="146" spans="2:4" x14ac:dyDescent="0.2">
      <c r="B146" s="16">
        <v>44773</v>
      </c>
      <c r="C146" s="23">
        <v>36.608009338378899</v>
      </c>
      <c r="D146" s="25">
        <f t="shared" si="4"/>
        <v>1.3997533414707346E-2</v>
      </c>
    </row>
    <row r="147" spans="2:4" x14ac:dyDescent="0.2">
      <c r="B147" s="16">
        <v>44804</v>
      </c>
      <c r="C147" s="23">
        <v>36.993980407714801</v>
      </c>
      <c r="D147" s="25">
        <f t="shared" si="4"/>
        <v>1.0543350384563516E-2</v>
      </c>
    </row>
    <row r="148" spans="2:4" x14ac:dyDescent="0.2">
      <c r="B148" s="16">
        <v>44834</v>
      </c>
      <c r="C148" s="23">
        <v>34.701999664306598</v>
      </c>
      <c r="D148" s="25">
        <f t="shared" si="4"/>
        <v>-6.1955505142945601E-2</v>
      </c>
    </row>
    <row r="149" spans="2:4" x14ac:dyDescent="0.2">
      <c r="B149" s="16">
        <v>44865</v>
      </c>
      <c r="C149" s="23">
        <v>37.797767639160199</v>
      </c>
      <c r="D149" s="25">
        <f t="shared" si="4"/>
        <v>8.9210074485644469E-2</v>
      </c>
    </row>
    <row r="150" spans="2:4" x14ac:dyDescent="0.2">
      <c r="B150" s="16">
        <v>44895</v>
      </c>
      <c r="C150" s="23">
        <v>42.52099609375</v>
      </c>
      <c r="D150" s="25">
        <f t="shared" si="4"/>
        <v>0.12496051353298238</v>
      </c>
    </row>
    <row r="151" spans="2:4" x14ac:dyDescent="0.2">
      <c r="B151" s="16">
        <v>44926</v>
      </c>
      <c r="C151" s="23">
        <v>42.3777465820313</v>
      </c>
      <c r="D151" s="25">
        <f t="shared" si="4"/>
        <v>-3.3689124168884642E-3</v>
      </c>
    </row>
    <row r="152" spans="2:4" x14ac:dyDescent="0.2">
      <c r="B152" s="16">
        <v>44957</v>
      </c>
      <c r="C152" s="23">
        <v>50.057468414306598</v>
      </c>
      <c r="D152" s="25">
        <f t="shared" si="4"/>
        <v>0.18122062760957652</v>
      </c>
    </row>
    <row r="153" spans="2:4" x14ac:dyDescent="0.2">
      <c r="B153" s="16">
        <v>44985</v>
      </c>
      <c r="C153" s="23">
        <v>52.643905639648402</v>
      </c>
      <c r="D153" s="25">
        <f t="shared" si="4"/>
        <v>5.1669357386091685E-2</v>
      </c>
    </row>
    <row r="154" spans="2:4" x14ac:dyDescent="0.2">
      <c r="B154" s="16">
        <v>45016</v>
      </c>
      <c r="C154" s="23">
        <v>43.937564849853501</v>
      </c>
      <c r="D154" s="25">
        <f t="shared" si="4"/>
        <v>-0.16538174141923426</v>
      </c>
    </row>
    <row r="155" spans="2:4" x14ac:dyDescent="0.2">
      <c r="B155" s="16">
        <v>45046</v>
      </c>
      <c r="C155" s="23">
        <v>46.6274604797363</v>
      </c>
      <c r="D155" s="25">
        <f t="shared" si="4"/>
        <v>6.1220862810101029E-2</v>
      </c>
    </row>
    <row r="156" spans="2:4" x14ac:dyDescent="0.2">
      <c r="B156" s="16">
        <v>45077</v>
      </c>
      <c r="C156" s="23">
        <v>42.982574462890597</v>
      </c>
      <c r="D156" s="25">
        <f t="shared" si="4"/>
        <v>-7.8170373838603632E-2</v>
      </c>
    </row>
    <row r="157" spans="2:4" x14ac:dyDescent="0.2">
      <c r="B157" s="16">
        <v>45107</v>
      </c>
      <c r="C157" s="23">
        <v>49.137001037597699</v>
      </c>
      <c r="D157" s="25">
        <f t="shared" si="4"/>
        <v>0.14318422410971646</v>
      </c>
    </row>
    <row r="158" spans="2:4" x14ac:dyDescent="0.2">
      <c r="B158" s="16">
        <v>45138</v>
      </c>
      <c r="C158" s="23">
        <v>51.0949897766113</v>
      </c>
      <c r="D158" s="25">
        <f t="shared" si="4"/>
        <v>3.9847542537555861E-2</v>
      </c>
    </row>
    <row r="159" spans="2:4" x14ac:dyDescent="0.2">
      <c r="B159" s="16">
        <v>45169</v>
      </c>
      <c r="C159" s="23">
        <v>50.831085205078097</v>
      </c>
      <c r="D159" s="25">
        <f t="shared" si="4"/>
        <v>-5.1649794370642044E-3</v>
      </c>
    </row>
    <row r="160" spans="2:4" x14ac:dyDescent="0.2">
      <c r="B160" s="16">
        <v>45199</v>
      </c>
      <c r="C160" s="23">
        <v>51.444023132324197</v>
      </c>
      <c r="D160" s="25">
        <f t="shared" si="4"/>
        <v>1.2058328575382599E-2</v>
      </c>
    </row>
    <row r="161" spans="2:4" x14ac:dyDescent="0.2">
      <c r="B161" s="16">
        <v>45230</v>
      </c>
      <c r="C161" s="23">
        <v>46.217041015625</v>
      </c>
      <c r="D161" s="25">
        <f t="shared" si="4"/>
        <v>-0.10160523610788305</v>
      </c>
    </row>
    <row r="162" spans="2:4" x14ac:dyDescent="0.2">
      <c r="B162" s="16">
        <v>45260</v>
      </c>
      <c r="C162" s="23">
        <v>49.179561614990199</v>
      </c>
      <c r="D162" s="25">
        <f t="shared" si="4"/>
        <v>6.4100178944031347E-2</v>
      </c>
    </row>
    <row r="163" spans="2:4" x14ac:dyDescent="0.2">
      <c r="B163" s="16">
        <v>45291</v>
      </c>
      <c r="C163" s="23">
        <v>53.282829284667997</v>
      </c>
      <c r="D163" s="25">
        <f t="shared" si="4"/>
        <v>8.3434409232861079E-2</v>
      </c>
    </row>
    <row r="164" spans="2:4" x14ac:dyDescent="0.2">
      <c r="B164" s="16">
        <v>45322</v>
      </c>
      <c r="C164" s="23">
        <v>53.248775482177699</v>
      </c>
      <c r="D164" s="25">
        <f t="shared" ref="D164:D183" si="5">(C164-C163)/C163</f>
        <v>-6.391140062845203E-4</v>
      </c>
    </row>
    <row r="165" spans="2:4" x14ac:dyDescent="0.2">
      <c r="B165" s="16">
        <v>45351</v>
      </c>
      <c r="C165" s="23">
        <v>47.144962310791001</v>
      </c>
      <c r="D165" s="25">
        <f t="shared" si="5"/>
        <v>-0.11462823541227979</v>
      </c>
    </row>
    <row r="166" spans="2:4" x14ac:dyDescent="0.2">
      <c r="B166" s="16">
        <v>45382</v>
      </c>
      <c r="C166" s="23">
        <v>56.066577911377003</v>
      </c>
      <c r="D166" s="25">
        <f t="shared" si="5"/>
        <v>0.18923794109267819</v>
      </c>
    </row>
    <row r="167" spans="2:4" x14ac:dyDescent="0.2">
      <c r="B167" s="16">
        <v>45412</v>
      </c>
      <c r="C167" s="23">
        <v>57.556354522705099</v>
      </c>
      <c r="D167" s="25">
        <f t="shared" si="5"/>
        <v>2.6571563074224865E-2</v>
      </c>
    </row>
    <row r="168" spans="2:4" x14ac:dyDescent="0.2">
      <c r="B168" s="16">
        <v>45443</v>
      </c>
      <c r="C168" s="23">
        <v>57.632965087890597</v>
      </c>
      <c r="D168" s="25">
        <f t="shared" si="5"/>
        <v>1.3310531186487052E-3</v>
      </c>
    </row>
    <row r="169" spans="2:4" x14ac:dyDescent="0.2">
      <c r="B169" s="16">
        <v>45473</v>
      </c>
      <c r="C169" s="23">
        <v>54.0910034179688</v>
      </c>
      <c r="D169" s="25">
        <f t="shared" si="5"/>
        <v>-6.1457217488641878E-2</v>
      </c>
    </row>
    <row r="170" spans="2:4" x14ac:dyDescent="0.2">
      <c r="B170" s="16">
        <v>45504</v>
      </c>
      <c r="C170" s="23">
        <v>57.661937713623097</v>
      </c>
      <c r="D170" s="25">
        <f t="shared" si="5"/>
        <v>6.601715756798196E-2</v>
      </c>
    </row>
    <row r="171" spans="2:4" x14ac:dyDescent="0.2">
      <c r="B171" s="16">
        <v>45535</v>
      </c>
      <c r="C171" s="23">
        <v>56.862339019775398</v>
      </c>
      <c r="D171" s="25">
        <f t="shared" si="5"/>
        <v>-1.3867010467440245E-2</v>
      </c>
    </row>
    <row r="172" spans="2:4" x14ac:dyDescent="0.2">
      <c r="B172" s="16">
        <v>45565</v>
      </c>
      <c r="C172" s="23">
        <v>55.926441192627003</v>
      </c>
      <c r="D172" s="25">
        <f t="shared" si="5"/>
        <v>-1.6459010362252446E-2</v>
      </c>
    </row>
    <row r="173" spans="2:4" x14ac:dyDescent="0.2">
      <c r="B173" s="16">
        <v>45596</v>
      </c>
      <c r="C173" s="23">
        <v>57.016803741455099</v>
      </c>
      <c r="D173" s="25">
        <f t="shared" si="5"/>
        <v>1.9496369258908668E-2</v>
      </c>
    </row>
    <row r="174" spans="2:4" x14ac:dyDescent="0.2">
      <c r="B174" s="16">
        <v>45626</v>
      </c>
      <c r="C174" s="23">
        <v>51.465049743652301</v>
      </c>
      <c r="D174" s="25">
        <f t="shared" si="5"/>
        <v>-9.7370487882439738E-2</v>
      </c>
    </row>
    <row r="175" spans="2:4" x14ac:dyDescent="0.2">
      <c r="B175" s="16">
        <v>45657</v>
      </c>
      <c r="C175" s="23">
        <v>53.809326171875</v>
      </c>
      <c r="D175" s="25">
        <f t="shared" si="5"/>
        <v>4.5550843531669605E-2</v>
      </c>
    </row>
    <row r="176" spans="2:4" x14ac:dyDescent="0.2">
      <c r="B176" s="16">
        <v>45688</v>
      </c>
      <c r="C176" s="23">
        <v>59.715450286865199</v>
      </c>
      <c r="D176" s="25">
        <f t="shared" si="5"/>
        <v>0.10976023182533746</v>
      </c>
    </row>
    <row r="177" spans="2:4" x14ac:dyDescent="0.2">
      <c r="B177" s="16">
        <v>45716</v>
      </c>
      <c r="C177" s="23">
        <v>66.203102111816406</v>
      </c>
      <c r="D177" s="25">
        <f t="shared" si="5"/>
        <v>0.10864276822472875</v>
      </c>
    </row>
    <row r="178" spans="2:4" x14ac:dyDescent="0.2">
      <c r="B178" s="16">
        <v>45747</v>
      </c>
      <c r="C178" s="23">
        <v>69.883071899414105</v>
      </c>
      <c r="D178" s="25">
        <f t="shared" si="5"/>
        <v>5.5586062740417587E-2</v>
      </c>
    </row>
    <row r="179" spans="2:4" x14ac:dyDescent="0.2">
      <c r="B179" s="16">
        <v>45777</v>
      </c>
      <c r="C179" s="23">
        <v>67.50244140625</v>
      </c>
      <c r="D179" s="25">
        <f t="shared" si="5"/>
        <v>-3.4065910791538402E-2</v>
      </c>
    </row>
    <row r="180" spans="2:4" x14ac:dyDescent="0.2">
      <c r="B180" s="16">
        <v>45808</v>
      </c>
      <c r="C180" s="23">
        <v>70.092048645019503</v>
      </c>
      <c r="D180" s="25">
        <f t="shared" si="5"/>
        <v>3.8363164128901166E-2</v>
      </c>
    </row>
    <row r="181" spans="2:4" x14ac:dyDescent="0.2">
      <c r="B181" s="16">
        <v>45838</v>
      </c>
      <c r="C181" s="23">
        <v>73.7996826171875</v>
      </c>
      <c r="D181" s="25">
        <f t="shared" si="5"/>
        <v>5.289664154268444E-2</v>
      </c>
    </row>
    <row r="182" spans="2:4" x14ac:dyDescent="0.2">
      <c r="B182" s="16">
        <v>45869</v>
      </c>
      <c r="C182" s="23">
        <v>77.416168212890597</v>
      </c>
      <c r="D182" s="25">
        <f t="shared" si="5"/>
        <v>4.900408060645018E-2</v>
      </c>
    </row>
    <row r="183" spans="2:4" x14ac:dyDescent="0.2">
      <c r="B183" s="16">
        <v>45900</v>
      </c>
      <c r="C183" s="23">
        <v>74.292839050292997</v>
      </c>
      <c r="D183" s="25">
        <f t="shared" si="5"/>
        <v>-4.0344662293393292E-2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7" tint="0.79998168889431442"/>
  </sheetPr>
  <dimension ref="B2:D183"/>
  <sheetViews>
    <sheetView showGridLines="0" workbookViewId="0">
      <selection activeCell="N31" sqref="N31"/>
    </sheetView>
  </sheetViews>
  <sheetFormatPr baseColWidth="10" defaultColWidth="10.83203125" defaultRowHeight="15" x14ac:dyDescent="0.2"/>
  <sheetData>
    <row r="2" spans="2:4" x14ac:dyDescent="0.2">
      <c r="B2" s="21" t="s">
        <v>308</v>
      </c>
      <c r="C2" t="s">
        <v>24</v>
      </c>
      <c r="D2" t="s">
        <v>310</v>
      </c>
    </row>
    <row r="3" spans="2:4" x14ac:dyDescent="0.2">
      <c r="B3" s="16" t="s">
        <v>237</v>
      </c>
      <c r="C3" s="23">
        <v>24.874801635742202</v>
      </c>
    </row>
    <row r="4" spans="2:4" x14ac:dyDescent="0.2">
      <c r="B4" s="16">
        <v>40451</v>
      </c>
      <c r="C4" s="23">
        <v>27.439826965331999</v>
      </c>
      <c r="D4" s="25">
        <f t="shared" ref="D4:D35" si="0">(C4-C3)/C3</f>
        <v>0.10311741846834083</v>
      </c>
    </row>
    <row r="5" spans="2:4" x14ac:dyDescent="0.2">
      <c r="B5" s="16">
        <v>40482</v>
      </c>
      <c r="C5" s="23">
        <v>27.331712722778299</v>
      </c>
      <c r="D5" s="25">
        <f t="shared" si="0"/>
        <v>-3.9400482623412267E-3</v>
      </c>
    </row>
    <row r="6" spans="2:4" x14ac:dyDescent="0.2">
      <c r="B6" s="16">
        <v>40512</v>
      </c>
      <c r="C6" s="23">
        <v>24.226087570190401</v>
      </c>
      <c r="D6" s="25">
        <f t="shared" si="0"/>
        <v>-0.11362716943822053</v>
      </c>
    </row>
    <row r="7" spans="2:4" x14ac:dyDescent="0.2">
      <c r="B7" s="16">
        <v>40543</v>
      </c>
      <c r="C7" s="23">
        <v>26.045469284057599</v>
      </c>
      <c r="D7" s="25">
        <f t="shared" si="0"/>
        <v>7.5100104736098711E-2</v>
      </c>
    </row>
    <row r="8" spans="2:4" x14ac:dyDescent="0.2">
      <c r="B8" s="16">
        <v>40574</v>
      </c>
      <c r="C8" s="23">
        <v>27.443553924560501</v>
      </c>
      <c r="D8" s="25">
        <f t="shared" si="0"/>
        <v>5.3678612017126037E-2</v>
      </c>
    </row>
    <row r="9" spans="2:4" x14ac:dyDescent="0.2">
      <c r="B9" s="16">
        <v>40602</v>
      </c>
      <c r="C9" s="23">
        <v>31.5707111358643</v>
      </c>
      <c r="D9" s="25">
        <f t="shared" si="0"/>
        <v>0.15038712634117757</v>
      </c>
    </row>
    <row r="10" spans="2:4" x14ac:dyDescent="0.2">
      <c r="B10" s="16">
        <v>40633</v>
      </c>
      <c r="C10" s="23">
        <v>30.560361862182599</v>
      </c>
      <c r="D10" s="25">
        <f t="shared" si="0"/>
        <v>-3.2002740430320718E-2</v>
      </c>
    </row>
    <row r="11" spans="2:4" x14ac:dyDescent="0.2">
      <c r="B11" s="16">
        <v>40663</v>
      </c>
      <c r="C11" s="23">
        <v>30.5081672668457</v>
      </c>
      <c r="D11" s="25">
        <f t="shared" si="0"/>
        <v>-1.7079181055604212E-3</v>
      </c>
    </row>
    <row r="12" spans="2:4" x14ac:dyDescent="0.2">
      <c r="B12" s="16">
        <v>40694</v>
      </c>
      <c r="C12" s="23">
        <v>29.583560943603501</v>
      </c>
      <c r="D12" s="25">
        <f t="shared" si="0"/>
        <v>-3.0306845873596625E-2</v>
      </c>
    </row>
    <row r="13" spans="2:4" x14ac:dyDescent="0.2">
      <c r="B13" s="16">
        <v>40724</v>
      </c>
      <c r="C13" s="23">
        <v>30.124160766601602</v>
      </c>
      <c r="D13" s="25">
        <f t="shared" si="0"/>
        <v>1.8273656238634368E-2</v>
      </c>
    </row>
    <row r="14" spans="2:4" x14ac:dyDescent="0.2">
      <c r="B14" s="16">
        <v>40755</v>
      </c>
      <c r="C14" s="23">
        <v>26.310165405273398</v>
      </c>
      <c r="D14" s="25">
        <f t="shared" si="0"/>
        <v>-0.12660918227327836</v>
      </c>
    </row>
    <row r="15" spans="2:4" x14ac:dyDescent="0.2">
      <c r="B15" s="16">
        <v>40786</v>
      </c>
      <c r="C15" s="23">
        <v>21.714017868041999</v>
      </c>
      <c r="D15" s="25">
        <f t="shared" si="0"/>
        <v>-0.17469094041918048</v>
      </c>
    </row>
    <row r="16" spans="2:4" x14ac:dyDescent="0.2">
      <c r="B16" s="16">
        <v>40816</v>
      </c>
      <c r="C16" s="23">
        <v>19.215032577514702</v>
      </c>
      <c r="D16" s="25">
        <f t="shared" si="0"/>
        <v>-0.1150862684977903</v>
      </c>
    </row>
    <row r="17" spans="2:4" x14ac:dyDescent="0.2">
      <c r="B17" s="16">
        <v>40847</v>
      </c>
      <c r="C17" s="23">
        <v>21.216518402099599</v>
      </c>
      <c r="D17" s="25">
        <f t="shared" si="0"/>
        <v>0.1041624996736681</v>
      </c>
    </row>
    <row r="18" spans="2:4" x14ac:dyDescent="0.2">
      <c r="B18" s="16">
        <v>40877</v>
      </c>
      <c r="C18" s="23">
        <v>21.5035400390625</v>
      </c>
      <c r="D18" s="25">
        <f t="shared" si="0"/>
        <v>1.3528215681914025E-2</v>
      </c>
    </row>
    <row r="19" spans="2:4" x14ac:dyDescent="0.2">
      <c r="B19" s="16">
        <v>40908</v>
      </c>
      <c r="C19" s="23">
        <v>18.480260848998999</v>
      </c>
      <c r="D19" s="25">
        <f t="shared" si="0"/>
        <v>-0.14059448744585912</v>
      </c>
    </row>
    <row r="20" spans="2:4" x14ac:dyDescent="0.2">
      <c r="B20" s="16">
        <v>40939</v>
      </c>
      <c r="C20" s="23">
        <v>21.361942291259801</v>
      </c>
      <c r="D20" s="25">
        <f t="shared" si="0"/>
        <v>0.1559329419539493</v>
      </c>
    </row>
    <row r="21" spans="2:4" x14ac:dyDescent="0.2">
      <c r="B21" s="16">
        <v>40968</v>
      </c>
      <c r="C21" s="23">
        <v>25.3113403320313</v>
      </c>
      <c r="D21" s="25">
        <f t="shared" si="0"/>
        <v>0.18488010064456487</v>
      </c>
    </row>
    <row r="22" spans="2:4" x14ac:dyDescent="0.2">
      <c r="B22" s="16">
        <v>40999</v>
      </c>
      <c r="C22" s="23">
        <v>25.686378479003899</v>
      </c>
      <c r="D22" s="25">
        <f t="shared" si="0"/>
        <v>1.4817000682417108E-2</v>
      </c>
    </row>
    <row r="23" spans="2:4" x14ac:dyDescent="0.2">
      <c r="B23" s="16">
        <v>41029</v>
      </c>
      <c r="C23" s="23">
        <v>22.571252822876001</v>
      </c>
      <c r="D23" s="25">
        <f t="shared" si="0"/>
        <v>-0.12127539344147747</v>
      </c>
    </row>
    <row r="24" spans="2:4" x14ac:dyDescent="0.2">
      <c r="B24" s="16">
        <v>41060</v>
      </c>
      <c r="C24" s="23">
        <v>20.856786727905298</v>
      </c>
      <c r="D24" s="25">
        <f t="shared" si="0"/>
        <v>-7.5957950071477154E-2</v>
      </c>
    </row>
    <row r="25" spans="2:4" x14ac:dyDescent="0.2">
      <c r="B25" s="16">
        <v>41090</v>
      </c>
      <c r="C25" s="23">
        <v>22.196212768554702</v>
      </c>
      <c r="D25" s="25">
        <f t="shared" si="0"/>
        <v>6.4220153282639691E-2</v>
      </c>
    </row>
    <row r="26" spans="2:4" x14ac:dyDescent="0.2">
      <c r="B26" s="16">
        <v>41121</v>
      </c>
      <c r="C26" s="23">
        <v>23.6604309082031</v>
      </c>
      <c r="D26" s="25">
        <f t="shared" si="0"/>
        <v>6.5967025767690923E-2</v>
      </c>
    </row>
    <row r="27" spans="2:4" x14ac:dyDescent="0.2">
      <c r="B27" s="16">
        <v>41152</v>
      </c>
      <c r="C27" s="23">
        <v>23.235082626342798</v>
      </c>
      <c r="D27" s="25">
        <f t="shared" si="0"/>
        <v>-1.7977199295758941E-2</v>
      </c>
    </row>
    <row r="28" spans="2:4" x14ac:dyDescent="0.2">
      <c r="B28" s="16">
        <v>41182</v>
      </c>
      <c r="C28" s="23">
        <v>26.1767387390137</v>
      </c>
      <c r="D28" s="25">
        <f t="shared" si="0"/>
        <v>0.12660407367502952</v>
      </c>
    </row>
    <row r="29" spans="2:4" x14ac:dyDescent="0.2">
      <c r="B29" s="16">
        <v>41213</v>
      </c>
      <c r="C29" s="23">
        <v>25.783189773559599</v>
      </c>
      <c r="D29" s="25">
        <f t="shared" si="0"/>
        <v>-1.5034300849232905E-2</v>
      </c>
    </row>
    <row r="30" spans="2:4" x14ac:dyDescent="0.2">
      <c r="B30" s="16">
        <v>41243</v>
      </c>
      <c r="C30" s="23">
        <v>25.878593444824201</v>
      </c>
      <c r="D30" s="25">
        <f t="shared" si="0"/>
        <v>3.700227632906684E-3</v>
      </c>
    </row>
    <row r="31" spans="2:4" x14ac:dyDescent="0.2">
      <c r="B31" s="16">
        <v>41274</v>
      </c>
      <c r="C31" s="23">
        <v>26.1250610351563</v>
      </c>
      <c r="D31" s="25">
        <f t="shared" si="0"/>
        <v>9.5239948360251025E-3</v>
      </c>
    </row>
    <row r="32" spans="2:4" x14ac:dyDescent="0.2">
      <c r="B32" s="16">
        <v>41305</v>
      </c>
      <c r="C32" s="23">
        <v>28.227943420410199</v>
      </c>
      <c r="D32" s="25">
        <f t="shared" si="0"/>
        <v>8.0492917602147079E-2</v>
      </c>
    </row>
    <row r="33" spans="2:4" x14ac:dyDescent="0.2">
      <c r="B33" s="16">
        <v>41333</v>
      </c>
      <c r="C33" s="23">
        <v>29.969078063964801</v>
      </c>
      <c r="D33" s="25">
        <f t="shared" si="0"/>
        <v>6.1681243214327677E-2</v>
      </c>
    </row>
    <row r="34" spans="2:4" x14ac:dyDescent="0.2">
      <c r="B34" s="16">
        <v>41364</v>
      </c>
      <c r="C34" s="23">
        <v>28.223970413208001</v>
      </c>
      <c r="D34" s="25">
        <f t="shared" si="0"/>
        <v>-5.8230274786301814E-2</v>
      </c>
    </row>
    <row r="35" spans="2:4" x14ac:dyDescent="0.2">
      <c r="B35" s="16">
        <v>41394</v>
      </c>
      <c r="C35" s="23">
        <v>27.766817092895501</v>
      </c>
      <c r="D35" s="25">
        <f t="shared" si="0"/>
        <v>-1.6197342670773402E-2</v>
      </c>
    </row>
    <row r="36" spans="2:4" x14ac:dyDescent="0.2">
      <c r="B36" s="16">
        <v>41425</v>
      </c>
      <c r="C36" s="23">
        <v>30.028713226318398</v>
      </c>
      <c r="D36" s="25">
        <f t="shared" ref="D36:D67" si="1">(C36-C35)/C35</f>
        <v>8.1460403828627265E-2</v>
      </c>
    </row>
    <row r="37" spans="2:4" x14ac:dyDescent="0.2">
      <c r="B37" s="16">
        <v>41455</v>
      </c>
      <c r="C37" s="23">
        <v>29.694795608520501</v>
      </c>
      <c r="D37" s="25">
        <f t="shared" si="1"/>
        <v>-1.1119944277373785E-2</v>
      </c>
    </row>
    <row r="38" spans="2:4" x14ac:dyDescent="0.2">
      <c r="B38" s="16">
        <v>41486</v>
      </c>
      <c r="C38" s="23">
        <v>33.6056938171387</v>
      </c>
      <c r="D38" s="25">
        <f t="shared" si="1"/>
        <v>0.1317031529759384</v>
      </c>
    </row>
    <row r="39" spans="2:4" x14ac:dyDescent="0.2">
      <c r="B39" s="16">
        <v>41517</v>
      </c>
      <c r="C39" s="23">
        <v>33.842525482177699</v>
      </c>
      <c r="D39" s="25">
        <f t="shared" si="1"/>
        <v>7.0473672207956566E-3</v>
      </c>
    </row>
    <row r="40" spans="2:4" x14ac:dyDescent="0.2">
      <c r="B40" s="16">
        <v>41547</v>
      </c>
      <c r="C40" s="23">
        <v>35.90869140625</v>
      </c>
      <c r="D40" s="25">
        <f t="shared" si="1"/>
        <v>6.1052356307167287E-2</v>
      </c>
    </row>
    <row r="41" spans="2:4" x14ac:dyDescent="0.2">
      <c r="B41" s="16">
        <v>41578</v>
      </c>
      <c r="C41" s="23">
        <v>39.567337036132798</v>
      </c>
      <c r="D41" s="25">
        <f t="shared" si="1"/>
        <v>0.10188746753511607</v>
      </c>
    </row>
    <row r="42" spans="2:4" x14ac:dyDescent="0.2">
      <c r="B42" s="16">
        <v>41608</v>
      </c>
      <c r="C42" s="23">
        <v>39.199836730957003</v>
      </c>
      <c r="D42" s="25">
        <f t="shared" si="1"/>
        <v>-9.2879716630966357E-3</v>
      </c>
    </row>
    <row r="43" spans="2:4" x14ac:dyDescent="0.2">
      <c r="B43" s="16">
        <v>41639</v>
      </c>
      <c r="C43" s="23">
        <v>40.122673034667997</v>
      </c>
      <c r="D43" s="25">
        <f t="shared" si="1"/>
        <v>2.3541840493999034E-2</v>
      </c>
    </row>
    <row r="44" spans="2:4" x14ac:dyDescent="0.2">
      <c r="B44" s="16">
        <v>41670</v>
      </c>
      <c r="C44" s="23">
        <v>41.298667907714801</v>
      </c>
      <c r="D44" s="25">
        <f t="shared" si="1"/>
        <v>2.9309983211504517E-2</v>
      </c>
    </row>
    <row r="45" spans="2:4" x14ac:dyDescent="0.2">
      <c r="B45" s="16">
        <v>41698</v>
      </c>
      <c r="C45" s="23">
        <v>46.329303741455099</v>
      </c>
      <c r="D45" s="25">
        <f t="shared" si="1"/>
        <v>0.12181109194566903</v>
      </c>
    </row>
    <row r="46" spans="2:4" x14ac:dyDescent="0.2">
      <c r="B46" s="16">
        <v>41729</v>
      </c>
      <c r="C46" s="23">
        <v>44.875644683837898</v>
      </c>
      <c r="D46" s="25">
        <f t="shared" si="1"/>
        <v>-3.1376665311645485E-2</v>
      </c>
    </row>
    <row r="47" spans="2:4" x14ac:dyDescent="0.2">
      <c r="B47" s="16">
        <v>41759</v>
      </c>
      <c r="C47" s="23">
        <v>41.576332092285199</v>
      </c>
      <c r="D47" s="25">
        <f t="shared" si="1"/>
        <v>-7.3521229941036506E-2</v>
      </c>
    </row>
    <row r="48" spans="2:4" x14ac:dyDescent="0.2">
      <c r="B48" s="16">
        <v>41790</v>
      </c>
      <c r="C48" s="23">
        <v>43.560821533203097</v>
      </c>
      <c r="D48" s="25">
        <f t="shared" si="1"/>
        <v>4.7731229308853214E-2</v>
      </c>
    </row>
    <row r="49" spans="2:4" x14ac:dyDescent="0.2">
      <c r="B49" s="16">
        <v>41820</v>
      </c>
      <c r="C49" s="23">
        <v>43.491947174072301</v>
      </c>
      <c r="D49" s="25">
        <f t="shared" si="1"/>
        <v>-1.5811079017023989E-3</v>
      </c>
    </row>
    <row r="50" spans="2:4" x14ac:dyDescent="0.2">
      <c r="B50" s="16">
        <v>41851</v>
      </c>
      <c r="C50" s="23">
        <v>45.270034790039098</v>
      </c>
      <c r="D50" s="25">
        <f t="shared" si="1"/>
        <v>4.0883145766046611E-2</v>
      </c>
    </row>
    <row r="51" spans="2:4" x14ac:dyDescent="0.2">
      <c r="B51" s="16">
        <v>41882</v>
      </c>
      <c r="C51" s="23">
        <v>45.1698608398438</v>
      </c>
      <c r="D51" s="25">
        <f t="shared" si="1"/>
        <v>-2.2128092160719937E-3</v>
      </c>
    </row>
    <row r="52" spans="2:4" x14ac:dyDescent="0.2">
      <c r="B52" s="16">
        <v>41912</v>
      </c>
      <c r="C52" s="23">
        <v>47.440467834472699</v>
      </c>
      <c r="D52" s="25">
        <f t="shared" si="1"/>
        <v>5.0268186627354487E-2</v>
      </c>
    </row>
    <row r="53" spans="2:4" x14ac:dyDescent="0.2">
      <c r="B53" s="16">
        <v>41943</v>
      </c>
      <c r="C53" s="23">
        <v>43.792472839355497</v>
      </c>
      <c r="D53" s="25">
        <f t="shared" si="1"/>
        <v>-7.689626940117103E-2</v>
      </c>
    </row>
    <row r="54" spans="2:4" x14ac:dyDescent="0.2">
      <c r="B54" s="16">
        <v>41973</v>
      </c>
      <c r="C54" s="23">
        <v>49.193496704101598</v>
      </c>
      <c r="D54" s="25">
        <f t="shared" si="1"/>
        <v>0.1233322421540055</v>
      </c>
    </row>
    <row r="55" spans="2:4" x14ac:dyDescent="0.2">
      <c r="B55" s="16">
        <v>42004</v>
      </c>
      <c r="C55" s="23">
        <v>49.652618408203097</v>
      </c>
      <c r="D55" s="25">
        <f t="shared" si="1"/>
        <v>9.3329755935649614E-3</v>
      </c>
    </row>
    <row r="56" spans="2:4" x14ac:dyDescent="0.2">
      <c r="B56" s="16">
        <v>42035</v>
      </c>
      <c r="C56" s="23">
        <v>53.901641845703097</v>
      </c>
      <c r="D56" s="25">
        <f t="shared" si="1"/>
        <v>8.5575012430724504E-2</v>
      </c>
    </row>
    <row r="57" spans="2:4" x14ac:dyDescent="0.2">
      <c r="B57" s="16">
        <v>42063</v>
      </c>
      <c r="C57" s="23">
        <v>60.329433441162102</v>
      </c>
      <c r="D57" s="25">
        <f t="shared" si="1"/>
        <v>0.11925038598748014</v>
      </c>
    </row>
    <row r="58" spans="2:4" x14ac:dyDescent="0.2">
      <c r="B58" s="16">
        <v>42094</v>
      </c>
      <c r="C58" s="23">
        <v>63.752025604248097</v>
      </c>
      <c r="D58" s="25">
        <f t="shared" si="1"/>
        <v>5.6731713988727728E-2</v>
      </c>
    </row>
    <row r="59" spans="2:4" x14ac:dyDescent="0.2">
      <c r="B59" s="16">
        <v>42124</v>
      </c>
      <c r="C59" s="23">
        <v>66.364883422851605</v>
      </c>
      <c r="D59" s="25">
        <f t="shared" si="1"/>
        <v>4.0984702742204344E-2</v>
      </c>
    </row>
    <row r="60" spans="2:4" x14ac:dyDescent="0.2">
      <c r="B60" s="16">
        <v>42155</v>
      </c>
      <c r="C60" s="23">
        <v>65.964187622070298</v>
      </c>
      <c r="D60" s="25">
        <f t="shared" si="1"/>
        <v>-6.037768472043065E-3</v>
      </c>
    </row>
    <row r="61" spans="2:4" x14ac:dyDescent="0.2">
      <c r="B61" s="16">
        <v>42185</v>
      </c>
      <c r="C61" s="23">
        <v>67.254577636718807</v>
      </c>
      <c r="D61" s="25">
        <f t="shared" si="1"/>
        <v>1.956197841837394E-2</v>
      </c>
    </row>
    <row r="62" spans="2:4" x14ac:dyDescent="0.2">
      <c r="B62" s="16">
        <v>42216</v>
      </c>
      <c r="C62" s="23">
        <v>73.762260437011705</v>
      </c>
      <c r="D62" s="25">
        <f t="shared" si="1"/>
        <v>9.6761930993674319E-2</v>
      </c>
    </row>
    <row r="63" spans="2:4" x14ac:dyDescent="0.2">
      <c r="B63" s="16">
        <v>42247</v>
      </c>
      <c r="C63" s="23">
        <v>67.890106201171903</v>
      </c>
      <c r="D63" s="25">
        <f t="shared" si="1"/>
        <v>-7.9609195827915938E-2</v>
      </c>
    </row>
    <row r="64" spans="2:4" x14ac:dyDescent="0.2">
      <c r="B64" s="16">
        <v>42277</v>
      </c>
      <c r="C64" s="23">
        <v>67.466415405273395</v>
      </c>
      <c r="D64" s="25">
        <f t="shared" si="1"/>
        <v>-6.2408327163759082E-3</v>
      </c>
    </row>
    <row r="65" spans="2:4" x14ac:dyDescent="0.2">
      <c r="B65" s="16">
        <v>42308</v>
      </c>
      <c r="C65" s="23">
        <v>68.661186218261705</v>
      </c>
      <c r="D65" s="25">
        <f t="shared" si="1"/>
        <v>1.7709119505034832E-2</v>
      </c>
    </row>
    <row r="66" spans="2:4" x14ac:dyDescent="0.2">
      <c r="B66" s="16">
        <v>42338</v>
      </c>
      <c r="C66" s="23">
        <v>73.991043090820298</v>
      </c>
      <c r="D66" s="25">
        <f t="shared" si="1"/>
        <v>7.7625470314712106E-2</v>
      </c>
    </row>
    <row r="67" spans="2:4" x14ac:dyDescent="0.2">
      <c r="B67" s="16">
        <v>42369</v>
      </c>
      <c r="C67" s="23">
        <v>72.533607482910199</v>
      </c>
      <c r="D67" s="25">
        <f t="shared" si="1"/>
        <v>-1.9697459949593765E-2</v>
      </c>
    </row>
    <row r="68" spans="2:4" x14ac:dyDescent="0.2">
      <c r="B68" s="16">
        <v>42400</v>
      </c>
      <c r="C68" s="23">
        <v>71.245628356933594</v>
      </c>
      <c r="D68" s="25">
        <f t="shared" ref="D68:D99" si="2">(C68-C67)/C67</f>
        <v>-1.7756998040943554E-2</v>
      </c>
    </row>
    <row r="69" spans="2:4" x14ac:dyDescent="0.2">
      <c r="B69" s="16">
        <v>42429</v>
      </c>
      <c r="C69" s="23">
        <v>64.992141723632798</v>
      </c>
      <c r="D69" s="25">
        <f t="shared" si="2"/>
        <v>-8.777361892257364E-2</v>
      </c>
    </row>
    <row r="70" spans="2:4" x14ac:dyDescent="0.2">
      <c r="B70" s="16">
        <v>42460</v>
      </c>
      <c r="C70" s="23">
        <v>69.974594116210895</v>
      </c>
      <c r="D70" s="25">
        <f t="shared" si="2"/>
        <v>7.6662381950191219E-2</v>
      </c>
    </row>
    <row r="71" spans="2:4" x14ac:dyDescent="0.2">
      <c r="B71" s="16">
        <v>42490</v>
      </c>
      <c r="C71" s="23">
        <v>69.084869384765597</v>
      </c>
      <c r="D71" s="25">
        <f t="shared" si="2"/>
        <v>-1.2714968092100406E-2</v>
      </c>
    </row>
    <row r="72" spans="2:4" x14ac:dyDescent="0.2">
      <c r="B72" s="16">
        <v>42521</v>
      </c>
      <c r="C72" s="23">
        <v>72.618339538574205</v>
      </c>
      <c r="D72" s="25">
        <f t="shared" si="2"/>
        <v>5.1146802263301365E-2</v>
      </c>
    </row>
    <row r="73" spans="2:4" x14ac:dyDescent="0.2">
      <c r="B73" s="16">
        <v>42551</v>
      </c>
      <c r="C73" s="23">
        <v>67.319442749023395</v>
      </c>
      <c r="D73" s="25">
        <f t="shared" si="2"/>
        <v>-7.296912630088552E-2</v>
      </c>
    </row>
    <row r="74" spans="2:4" x14ac:dyDescent="0.2">
      <c r="B74" s="16">
        <v>42582</v>
      </c>
      <c r="C74" s="23">
        <v>73.991119384765597</v>
      </c>
      <c r="D74" s="25">
        <f t="shared" si="2"/>
        <v>9.9104751366038121E-2</v>
      </c>
    </row>
    <row r="75" spans="2:4" x14ac:dyDescent="0.2">
      <c r="B75" s="16">
        <v>42613</v>
      </c>
      <c r="C75" s="23">
        <v>75.187721252441406</v>
      </c>
      <c r="D75" s="25">
        <f t="shared" si="2"/>
        <v>1.6172236311945622E-2</v>
      </c>
    </row>
    <row r="76" spans="2:4" x14ac:dyDescent="0.2">
      <c r="B76" s="16">
        <v>42643</v>
      </c>
      <c r="C76" s="23">
        <v>75.049980163574205</v>
      </c>
      <c r="D76" s="25">
        <f t="shared" si="2"/>
        <v>-1.8319625408614061E-3</v>
      </c>
    </row>
    <row r="77" spans="2:4" x14ac:dyDescent="0.2">
      <c r="B77" s="16">
        <v>42674</v>
      </c>
      <c r="C77" s="23">
        <v>64.977882385253906</v>
      </c>
      <c r="D77" s="25">
        <f t="shared" si="2"/>
        <v>-0.13420520240468803</v>
      </c>
    </row>
    <row r="78" spans="2:4" x14ac:dyDescent="0.2">
      <c r="B78" s="16">
        <v>42704</v>
      </c>
      <c r="C78" s="23">
        <v>64.134246826171903</v>
      </c>
      <c r="D78" s="25">
        <f t="shared" si="2"/>
        <v>-1.298342648472425E-2</v>
      </c>
    </row>
    <row r="79" spans="2:4" x14ac:dyDescent="0.2">
      <c r="B79" s="16">
        <v>42735</v>
      </c>
      <c r="C79" s="23">
        <v>68.998130798339801</v>
      </c>
      <c r="D79" s="25">
        <f t="shared" si="2"/>
        <v>7.5839106450425228E-2</v>
      </c>
    </row>
    <row r="80" spans="2:4" x14ac:dyDescent="0.2">
      <c r="B80" s="16">
        <v>42766</v>
      </c>
      <c r="C80" s="23">
        <v>64.883201599121094</v>
      </c>
      <c r="D80" s="25">
        <f t="shared" si="2"/>
        <v>-5.9638270654684439E-2</v>
      </c>
    </row>
    <row r="81" spans="2:4" x14ac:dyDescent="0.2">
      <c r="B81" s="16">
        <v>42794</v>
      </c>
      <c r="C81" s="23">
        <v>69.462982177734403</v>
      </c>
      <c r="D81" s="25">
        <f t="shared" si="2"/>
        <v>7.0584996821046936E-2</v>
      </c>
    </row>
    <row r="82" spans="2:4" x14ac:dyDescent="0.2">
      <c r="B82" s="16">
        <v>42825</v>
      </c>
      <c r="C82" s="23">
        <v>74.516250610351605</v>
      </c>
      <c r="D82" s="25">
        <f t="shared" si="2"/>
        <v>7.2747645928696841E-2</v>
      </c>
    </row>
    <row r="83" spans="2:4" x14ac:dyDescent="0.2">
      <c r="B83" s="16">
        <v>42855</v>
      </c>
      <c r="C83" s="23">
        <v>79.113258361816406</v>
      </c>
      <c r="D83" s="25">
        <f t="shared" si="2"/>
        <v>6.1691345361735053E-2</v>
      </c>
    </row>
    <row r="84" spans="2:4" x14ac:dyDescent="0.2">
      <c r="B84" s="16">
        <v>42886</v>
      </c>
      <c r="C84" s="23">
        <v>79.337089538574205</v>
      </c>
      <c r="D84" s="25">
        <f t="shared" si="2"/>
        <v>2.8292498803946268E-3</v>
      </c>
    </row>
    <row r="85" spans="2:4" x14ac:dyDescent="0.2">
      <c r="B85" s="16">
        <v>42916</v>
      </c>
      <c r="C85" s="23">
        <v>79.200988769531307</v>
      </c>
      <c r="D85" s="25">
        <f t="shared" si="2"/>
        <v>-1.715474689511072E-3</v>
      </c>
    </row>
    <row r="86" spans="2:4" x14ac:dyDescent="0.2">
      <c r="B86" s="16">
        <v>42947</v>
      </c>
      <c r="C86" s="23">
        <v>80.531509399414105</v>
      </c>
      <c r="D86" s="25">
        <f t="shared" si="2"/>
        <v>1.679929317239346E-2</v>
      </c>
    </row>
    <row r="87" spans="2:4" x14ac:dyDescent="0.2">
      <c r="B87" s="16">
        <v>42978</v>
      </c>
      <c r="C87" s="23">
        <v>81.520637512207003</v>
      </c>
      <c r="D87" s="25">
        <f t="shared" si="2"/>
        <v>1.2282498119923404E-2</v>
      </c>
    </row>
    <row r="88" spans="2:4" x14ac:dyDescent="0.2">
      <c r="B88" s="16">
        <v>43008</v>
      </c>
      <c r="C88" s="23">
        <v>86.7989501953125</v>
      </c>
      <c r="D88" s="25">
        <f t="shared" si="2"/>
        <v>6.4748177200099982E-2</v>
      </c>
    </row>
    <row r="89" spans="2:4" x14ac:dyDescent="0.2">
      <c r="B89" s="16">
        <v>43039</v>
      </c>
      <c r="C89" s="23">
        <v>91.341972351074205</v>
      </c>
      <c r="D89" s="25">
        <f t="shared" si="2"/>
        <v>5.2339597950656395E-2</v>
      </c>
    </row>
    <row r="90" spans="2:4" x14ac:dyDescent="0.2">
      <c r="B90" s="16">
        <v>43069</v>
      </c>
      <c r="C90" s="23">
        <v>84.803161621093807</v>
      </c>
      <c r="D90" s="25">
        <f t="shared" si="2"/>
        <v>-7.1586047045802598E-2</v>
      </c>
    </row>
    <row r="91" spans="2:4" x14ac:dyDescent="0.2">
      <c r="B91" s="16">
        <v>43100</v>
      </c>
      <c r="C91" s="23">
        <v>86.5626220703125</v>
      </c>
      <c r="D91" s="25">
        <f t="shared" si="2"/>
        <v>2.0747580816386068E-2</v>
      </c>
    </row>
    <row r="92" spans="2:4" x14ac:dyDescent="0.2">
      <c r="B92" s="16">
        <v>43131</v>
      </c>
      <c r="C92" s="23">
        <v>93.617866516113295</v>
      </c>
      <c r="D92" s="25">
        <f t="shared" si="2"/>
        <v>8.1504514039212092E-2</v>
      </c>
    </row>
    <row r="93" spans="2:4" x14ac:dyDescent="0.2">
      <c r="B93" s="16">
        <v>43159</v>
      </c>
      <c r="C93" s="23">
        <v>90.116500854492202</v>
      </c>
      <c r="D93" s="25">
        <f t="shared" si="2"/>
        <v>-3.7400613706769816E-2</v>
      </c>
    </row>
    <row r="94" spans="2:4" x14ac:dyDescent="0.2">
      <c r="B94" s="16">
        <v>43190</v>
      </c>
      <c r="C94" s="23">
        <v>88.584648132324205</v>
      </c>
      <c r="D94" s="25">
        <f t="shared" si="2"/>
        <v>-1.6998581920545531E-2</v>
      </c>
    </row>
    <row r="95" spans="2:4" x14ac:dyDescent="0.2">
      <c r="B95" s="16">
        <v>43220</v>
      </c>
      <c r="C95" s="23">
        <v>99.789039611816406</v>
      </c>
      <c r="D95" s="25">
        <f t="shared" si="2"/>
        <v>0.12648231624463338</v>
      </c>
    </row>
    <row r="96" spans="2:4" x14ac:dyDescent="0.2">
      <c r="B96" s="16">
        <v>43251</v>
      </c>
      <c r="C96" s="23">
        <v>98.607322692871094</v>
      </c>
      <c r="D96" s="25">
        <f t="shared" si="2"/>
        <v>-1.1842151438096221E-2</v>
      </c>
    </row>
    <row r="97" spans="2:4" x14ac:dyDescent="0.2">
      <c r="B97" s="16">
        <v>43281</v>
      </c>
      <c r="C97" s="23">
        <v>100.83945465087901</v>
      </c>
      <c r="D97" s="25">
        <f t="shared" si="2"/>
        <v>2.2636574009419749E-2</v>
      </c>
    </row>
    <row r="98" spans="2:4" x14ac:dyDescent="0.2">
      <c r="B98" s="16">
        <v>43312</v>
      </c>
      <c r="C98" s="23">
        <v>97.552818298339801</v>
      </c>
      <c r="D98" s="25">
        <f t="shared" si="2"/>
        <v>-3.2592762068359274E-2</v>
      </c>
    </row>
    <row r="99" spans="2:4" x14ac:dyDescent="0.2">
      <c r="B99" s="16">
        <v>43343</v>
      </c>
      <c r="C99" s="23">
        <v>98.174728393554702</v>
      </c>
      <c r="D99" s="25">
        <f t="shared" si="2"/>
        <v>6.3751115145945971E-3</v>
      </c>
    </row>
    <row r="100" spans="2:4" x14ac:dyDescent="0.2">
      <c r="B100" s="16">
        <v>43373</v>
      </c>
      <c r="C100" s="23">
        <v>96.3089599609375</v>
      </c>
      <c r="D100" s="25">
        <f t="shared" ref="D100:D131" si="3">(C100-C99)/C99</f>
        <v>-1.900456933415557E-2</v>
      </c>
    </row>
    <row r="101" spans="2:4" x14ac:dyDescent="0.2">
      <c r="B101" s="16">
        <v>43404</v>
      </c>
      <c r="C101" s="23">
        <v>95.953575134277301</v>
      </c>
      <c r="D101" s="25">
        <f t="shared" si="3"/>
        <v>-3.690049470000937E-3</v>
      </c>
    </row>
    <row r="102" spans="2:4" x14ac:dyDescent="0.2">
      <c r="B102" s="16">
        <v>43434</v>
      </c>
      <c r="C102" s="23">
        <v>91.555717468261705</v>
      </c>
      <c r="D102" s="25">
        <f t="shared" si="3"/>
        <v>-4.5833181930545482E-2</v>
      </c>
    </row>
    <row r="103" spans="2:4" x14ac:dyDescent="0.2">
      <c r="B103" s="16">
        <v>43465</v>
      </c>
      <c r="C103" s="23">
        <v>77.118255615234403</v>
      </c>
      <c r="D103" s="25">
        <f t="shared" si="3"/>
        <v>-0.15769044525299172</v>
      </c>
    </row>
    <row r="104" spans="2:4" x14ac:dyDescent="0.2">
      <c r="B104" s="16">
        <v>43496</v>
      </c>
      <c r="C104" s="23">
        <v>85.718544006347699</v>
      </c>
      <c r="D104" s="25">
        <f t="shared" si="3"/>
        <v>0.11152078483235742</v>
      </c>
    </row>
    <row r="105" spans="2:4" x14ac:dyDescent="0.2">
      <c r="B105" s="16">
        <v>43524</v>
      </c>
      <c r="C105" s="23">
        <v>93.465904235839801</v>
      </c>
      <c r="D105" s="25">
        <f t="shared" si="3"/>
        <v>9.0381379190463018E-2</v>
      </c>
    </row>
    <row r="106" spans="2:4" x14ac:dyDescent="0.2">
      <c r="B106" s="16">
        <v>43555</v>
      </c>
      <c r="C106" s="23">
        <v>96.042427062988295</v>
      </c>
      <c r="D106" s="25">
        <f t="shared" si="3"/>
        <v>2.7566446269510526E-2</v>
      </c>
    </row>
    <row r="107" spans="2:4" x14ac:dyDescent="0.2">
      <c r="B107" s="16">
        <v>43585</v>
      </c>
      <c r="C107" s="23">
        <v>96.042427062988295</v>
      </c>
      <c r="D107" s="25">
        <f t="shared" si="3"/>
        <v>0</v>
      </c>
    </row>
    <row r="108" spans="2:4" x14ac:dyDescent="0.2">
      <c r="B108" s="16">
        <v>43616</v>
      </c>
      <c r="C108" s="23">
        <v>88.934753417968807</v>
      </c>
      <c r="D108" s="25">
        <f t="shared" si="3"/>
        <v>-7.4005560483784982E-2</v>
      </c>
    </row>
    <row r="109" spans="2:4" x14ac:dyDescent="0.2">
      <c r="B109" s="16">
        <v>43646</v>
      </c>
      <c r="C109" s="23">
        <v>97.152992248535199</v>
      </c>
      <c r="D109" s="25">
        <f t="shared" si="3"/>
        <v>9.2407506792568886E-2</v>
      </c>
    </row>
    <row r="110" spans="2:4" x14ac:dyDescent="0.2">
      <c r="B110" s="16">
        <v>43677</v>
      </c>
      <c r="C110" s="23">
        <v>104.206268310547</v>
      </c>
      <c r="D110" s="25">
        <f t="shared" si="3"/>
        <v>7.2599679111974527E-2</v>
      </c>
    </row>
    <row r="111" spans="2:4" x14ac:dyDescent="0.2">
      <c r="B111" s="16">
        <v>43708</v>
      </c>
      <c r="C111" s="23">
        <v>98.6907958984375</v>
      </c>
      <c r="D111" s="25">
        <f t="shared" si="3"/>
        <v>-5.2928413055467478E-2</v>
      </c>
    </row>
    <row r="112" spans="2:4" x14ac:dyDescent="0.2">
      <c r="B112" s="16">
        <v>43738</v>
      </c>
      <c r="C112" s="23">
        <v>97.741409301757798</v>
      </c>
      <c r="D112" s="25">
        <f t="shared" si="3"/>
        <v>-9.6198088994713712E-3</v>
      </c>
    </row>
    <row r="113" spans="2:4" x14ac:dyDescent="0.2">
      <c r="B113" s="16">
        <v>43769</v>
      </c>
      <c r="C113" s="23">
        <v>91.276535034179702</v>
      </c>
      <c r="D113" s="25">
        <f t="shared" si="3"/>
        <v>-6.6142634056145441E-2</v>
      </c>
    </row>
    <row r="114" spans="2:4" x14ac:dyDescent="0.2">
      <c r="B114" s="16">
        <v>43799</v>
      </c>
      <c r="C114" s="23">
        <v>97.063270568847699</v>
      </c>
      <c r="D114" s="25">
        <f t="shared" si="3"/>
        <v>6.3397844062563047E-2</v>
      </c>
    </row>
    <row r="115" spans="2:4" x14ac:dyDescent="0.2">
      <c r="B115" s="16">
        <v>43830</v>
      </c>
      <c r="C115" s="23">
        <v>98.464744567871094</v>
      </c>
      <c r="D115" s="25">
        <f t="shared" si="3"/>
        <v>1.4438767525655536E-2</v>
      </c>
    </row>
    <row r="116" spans="2:4" x14ac:dyDescent="0.2">
      <c r="B116" s="16">
        <v>43861</v>
      </c>
      <c r="C116" s="23">
        <v>101.58415222168</v>
      </c>
      <c r="D116" s="25">
        <f t="shared" si="3"/>
        <v>3.1680452404552979E-2</v>
      </c>
    </row>
    <row r="117" spans="2:4" x14ac:dyDescent="0.2">
      <c r="B117" s="16">
        <v>43890</v>
      </c>
      <c r="C117" s="23">
        <v>89.712326049804702</v>
      </c>
      <c r="D117" s="25">
        <f t="shared" si="3"/>
        <v>-0.11686691193689584</v>
      </c>
    </row>
    <row r="118" spans="2:4" x14ac:dyDescent="0.2">
      <c r="B118" s="16">
        <v>43921</v>
      </c>
      <c r="C118" s="23">
        <v>69.621528625488295</v>
      </c>
      <c r="D118" s="25">
        <f t="shared" si="3"/>
        <v>-0.22394690126708786</v>
      </c>
    </row>
    <row r="119" spans="2:4" x14ac:dyDescent="0.2">
      <c r="B119" s="16">
        <v>43951</v>
      </c>
      <c r="C119" s="23">
        <v>77.524024963378906</v>
      </c>
      <c r="D119" s="25">
        <f t="shared" si="3"/>
        <v>0.11350650429409738</v>
      </c>
    </row>
    <row r="120" spans="2:4" x14ac:dyDescent="0.2">
      <c r="B120" s="16">
        <v>43982</v>
      </c>
      <c r="C120" s="23">
        <v>83.274581909179702</v>
      </c>
      <c r="D120" s="25">
        <f t="shared" si="3"/>
        <v>7.4177739720264341E-2</v>
      </c>
    </row>
    <row r="121" spans="2:4" x14ac:dyDescent="0.2">
      <c r="B121" s="16">
        <v>44012</v>
      </c>
      <c r="C121" s="23">
        <v>92.180725097656307</v>
      </c>
      <c r="D121" s="25">
        <f t="shared" si="3"/>
        <v>0.10694911921851204</v>
      </c>
    </row>
    <row r="122" spans="2:4" x14ac:dyDescent="0.2">
      <c r="B122" s="16">
        <v>44043</v>
      </c>
      <c r="C122" s="23">
        <v>100.457077026367</v>
      </c>
      <c r="D122" s="25">
        <f t="shared" si="3"/>
        <v>8.9783975119990908E-2</v>
      </c>
    </row>
    <row r="123" spans="2:4" x14ac:dyDescent="0.2">
      <c r="B123" s="16">
        <v>44074</v>
      </c>
      <c r="C123" s="23">
        <v>106.420272827148</v>
      </c>
      <c r="D123" s="25">
        <f t="shared" si="3"/>
        <v>5.9360634186238888E-2</v>
      </c>
    </row>
    <row r="124" spans="2:4" x14ac:dyDescent="0.2">
      <c r="B124" s="16">
        <v>44104</v>
      </c>
      <c r="C124" s="23">
        <v>100.68643188476599</v>
      </c>
      <c r="D124" s="25">
        <f t="shared" si="3"/>
        <v>-5.3879216713671962E-2</v>
      </c>
    </row>
    <row r="125" spans="2:4" x14ac:dyDescent="0.2">
      <c r="B125" s="16">
        <v>44135</v>
      </c>
      <c r="C125" s="23">
        <v>90.952651977539105</v>
      </c>
      <c r="D125" s="25">
        <f t="shared" si="3"/>
        <v>-9.6674196562721026E-2</v>
      </c>
    </row>
    <row r="126" spans="2:4" x14ac:dyDescent="0.2">
      <c r="B126" s="16">
        <v>44165</v>
      </c>
      <c r="C126" s="23">
        <v>106.695510864258</v>
      </c>
      <c r="D126" s="25">
        <f t="shared" si="3"/>
        <v>0.17308850862981559</v>
      </c>
    </row>
    <row r="127" spans="2:4" x14ac:dyDescent="0.2">
      <c r="B127" s="16">
        <v>44196</v>
      </c>
      <c r="C127" s="23">
        <v>116.32838439941401</v>
      </c>
      <c r="D127" s="25">
        <f t="shared" si="3"/>
        <v>9.0283775363438762E-2</v>
      </c>
    </row>
    <row r="128" spans="2:4" x14ac:dyDescent="0.2">
      <c r="B128" s="16">
        <v>44227</v>
      </c>
      <c r="C128" s="23">
        <v>109.631240844727</v>
      </c>
      <c r="D128" s="25">
        <f t="shared" si="3"/>
        <v>-5.7571018365494803E-2</v>
      </c>
    </row>
    <row r="129" spans="2:4" x14ac:dyDescent="0.2">
      <c r="B129" s="16">
        <v>44255</v>
      </c>
      <c r="C129" s="23">
        <v>122.153968811035</v>
      </c>
      <c r="D129" s="25">
        <f t="shared" si="3"/>
        <v>0.11422590741305387</v>
      </c>
    </row>
    <row r="130" spans="2:4" x14ac:dyDescent="0.2">
      <c r="B130" s="16">
        <v>44286</v>
      </c>
      <c r="C130" s="23">
        <v>133.117111206055</v>
      </c>
      <c r="D130" s="25">
        <f t="shared" si="3"/>
        <v>8.9748556692245796E-2</v>
      </c>
    </row>
    <row r="131" spans="2:4" x14ac:dyDescent="0.2">
      <c r="B131" s="16">
        <v>44316</v>
      </c>
      <c r="C131" s="23">
        <v>139.81422424316401</v>
      </c>
      <c r="D131" s="25">
        <f t="shared" si="3"/>
        <v>5.0309933684951985E-2</v>
      </c>
    </row>
    <row r="132" spans="2:4" x14ac:dyDescent="0.2">
      <c r="B132" s="16">
        <v>44347</v>
      </c>
      <c r="C132" s="23">
        <v>140.04359436035199</v>
      </c>
      <c r="D132" s="25">
        <f t="shared" ref="D132:D163" si="4">(C132-C131)/C131</f>
        <v>1.6405349200311989E-3</v>
      </c>
    </row>
    <row r="133" spans="2:4" x14ac:dyDescent="0.2">
      <c r="B133" s="16">
        <v>44377</v>
      </c>
      <c r="C133" s="23">
        <v>148.62141418457</v>
      </c>
      <c r="D133" s="25">
        <f t="shared" si="4"/>
        <v>6.1251068736111317E-2</v>
      </c>
    </row>
    <row r="134" spans="2:4" x14ac:dyDescent="0.2">
      <c r="B134" s="16">
        <v>44408</v>
      </c>
      <c r="C134" s="23">
        <v>169.36331176757801</v>
      </c>
      <c r="D134" s="25">
        <f t="shared" si="4"/>
        <v>0.13956197158270248</v>
      </c>
    </row>
    <row r="135" spans="2:4" x14ac:dyDescent="0.2">
      <c r="B135" s="16">
        <v>44439</v>
      </c>
      <c r="C135" s="23">
        <v>176.70471191406301</v>
      </c>
      <c r="D135" s="25">
        <f t="shared" si="4"/>
        <v>4.3347051199375507E-2</v>
      </c>
    </row>
    <row r="136" spans="2:4" x14ac:dyDescent="0.2">
      <c r="B136" s="16">
        <v>44469</v>
      </c>
      <c r="C136" s="23">
        <v>167.41180419921901</v>
      </c>
      <c r="D136" s="25">
        <f t="shared" si="4"/>
        <v>-5.2590039134686094E-2</v>
      </c>
    </row>
    <row r="137" spans="2:4" x14ac:dyDescent="0.2">
      <c r="B137" s="16">
        <v>44500</v>
      </c>
      <c r="C137" s="23">
        <v>187.06631469726599</v>
      </c>
      <c r="D137" s="25">
        <f t="shared" si="4"/>
        <v>0.11740217837123507</v>
      </c>
    </row>
    <row r="138" spans="2:4" x14ac:dyDescent="0.2">
      <c r="B138" s="16">
        <v>44530</v>
      </c>
      <c r="C138" s="23">
        <v>189.66833496093801</v>
      </c>
      <c r="D138" s="25">
        <f t="shared" si="4"/>
        <v>1.390961418084774E-2</v>
      </c>
    </row>
    <row r="139" spans="2:4" x14ac:dyDescent="0.2">
      <c r="B139" s="16">
        <v>44561</v>
      </c>
      <c r="C139" s="23">
        <v>200.26223754882801</v>
      </c>
      <c r="D139" s="25">
        <f t="shared" si="4"/>
        <v>5.585488263010166E-2</v>
      </c>
    </row>
    <row r="140" spans="2:4" x14ac:dyDescent="0.2">
      <c r="B140" s="16">
        <v>44592</v>
      </c>
      <c r="C140" s="23">
        <v>183.488525390625</v>
      </c>
      <c r="D140" s="25">
        <f t="shared" si="4"/>
        <v>-8.3758737361122507E-2</v>
      </c>
    </row>
    <row r="141" spans="2:4" x14ac:dyDescent="0.2">
      <c r="B141" s="16">
        <v>44620</v>
      </c>
      <c r="C141" s="23">
        <v>174.98553466796901</v>
      </c>
      <c r="D141" s="25">
        <f t="shared" si="4"/>
        <v>-4.6340721876499631E-2</v>
      </c>
    </row>
    <row r="142" spans="2:4" x14ac:dyDescent="0.2">
      <c r="B142" s="16">
        <v>44651</v>
      </c>
      <c r="C142" s="23">
        <v>188.18147277832</v>
      </c>
      <c r="D142" s="25">
        <f t="shared" si="4"/>
        <v>7.5411594080562028E-2</v>
      </c>
    </row>
    <row r="143" spans="2:4" x14ac:dyDescent="0.2">
      <c r="B143" s="16">
        <v>44681</v>
      </c>
      <c r="C143" s="23">
        <v>182.23402404785199</v>
      </c>
      <c r="D143" s="25">
        <f t="shared" si="4"/>
        <v>-3.1604858026986406E-2</v>
      </c>
    </row>
    <row r="144" spans="2:4" x14ac:dyDescent="0.2">
      <c r="B144" s="16">
        <v>44712</v>
      </c>
      <c r="C144" s="23">
        <v>167.737060546875</v>
      </c>
      <c r="D144" s="25">
        <f t="shared" si="4"/>
        <v>-7.9551354785263914E-2</v>
      </c>
    </row>
    <row r="145" spans="2:4" x14ac:dyDescent="0.2">
      <c r="B145" s="16">
        <v>44742</v>
      </c>
      <c r="C145" s="23">
        <v>151.892654418945</v>
      </c>
      <c r="D145" s="25">
        <f t="shared" si="4"/>
        <v>-9.4459781733817846E-2</v>
      </c>
    </row>
    <row r="146" spans="2:4" x14ac:dyDescent="0.2">
      <c r="B146" s="16">
        <v>44773</v>
      </c>
      <c r="C146" s="23">
        <v>174.56521606445301</v>
      </c>
      <c r="D146" s="25">
        <f t="shared" si="4"/>
        <v>0.14926700525604975</v>
      </c>
    </row>
    <row r="147" spans="2:4" x14ac:dyDescent="0.2">
      <c r="B147" s="16">
        <v>44804</v>
      </c>
      <c r="C147" s="23">
        <v>162.93382263183599</v>
      </c>
      <c r="D147" s="25">
        <f t="shared" si="4"/>
        <v>-6.6630647816587188E-2</v>
      </c>
    </row>
    <row r="148" spans="2:4" x14ac:dyDescent="0.2">
      <c r="B148" s="16">
        <v>44834</v>
      </c>
      <c r="C148" s="23">
        <v>155.87020874023401</v>
      </c>
      <c r="D148" s="25">
        <f t="shared" si="4"/>
        <v>-4.335265555981508E-2</v>
      </c>
    </row>
    <row r="149" spans="2:4" x14ac:dyDescent="0.2">
      <c r="B149" s="16">
        <v>44865</v>
      </c>
      <c r="C149" s="23">
        <v>156.57656860351599</v>
      </c>
      <c r="D149" s="25">
        <f t="shared" si="4"/>
        <v>4.5317182095981874E-3</v>
      </c>
    </row>
    <row r="150" spans="2:4" x14ac:dyDescent="0.2">
      <c r="B150" s="16">
        <v>44895</v>
      </c>
      <c r="C150" s="23">
        <v>161.05017089843801</v>
      </c>
      <c r="D150" s="25">
        <f t="shared" si="4"/>
        <v>2.8571339471936547E-2</v>
      </c>
    </row>
    <row r="151" spans="2:4" x14ac:dyDescent="0.2">
      <c r="B151" s="16">
        <v>44926</v>
      </c>
      <c r="C151" s="23">
        <v>146.87588500976599</v>
      </c>
      <c r="D151" s="25">
        <f t="shared" si="4"/>
        <v>-8.8011616563950443E-2</v>
      </c>
    </row>
    <row r="152" spans="2:4" x14ac:dyDescent="0.2">
      <c r="B152" s="16">
        <v>44957</v>
      </c>
      <c r="C152" s="23">
        <v>163.78143310546901</v>
      </c>
      <c r="D152" s="25">
        <f t="shared" si="4"/>
        <v>0.11510091050398734</v>
      </c>
    </row>
    <row r="153" spans="2:4" x14ac:dyDescent="0.2">
      <c r="B153" s="16">
        <v>44985</v>
      </c>
      <c r="C153" s="23">
        <v>167.50161743164099</v>
      </c>
      <c r="D153" s="25">
        <f t="shared" si="4"/>
        <v>2.2714322714323373E-2</v>
      </c>
    </row>
    <row r="154" spans="2:4" x14ac:dyDescent="0.2">
      <c r="B154" s="16">
        <v>45016</v>
      </c>
      <c r="C154" s="23">
        <v>160.81472778320301</v>
      </c>
      <c r="D154" s="25">
        <f t="shared" si="4"/>
        <v>-3.9921343751602674E-2</v>
      </c>
    </row>
    <row r="155" spans="2:4" x14ac:dyDescent="0.2">
      <c r="B155" s="16">
        <v>45046</v>
      </c>
      <c r="C155" s="23">
        <v>155.305099487305</v>
      </c>
      <c r="D155" s="25">
        <f t="shared" si="4"/>
        <v>-3.4260719598553389E-2</v>
      </c>
    </row>
    <row r="156" spans="2:4" x14ac:dyDescent="0.2">
      <c r="B156" s="16">
        <v>45077</v>
      </c>
      <c r="C156" s="23">
        <v>153.32730102539099</v>
      </c>
      <c r="D156" s="25">
        <f t="shared" si="4"/>
        <v>-1.2734922861149679E-2</v>
      </c>
    </row>
    <row r="157" spans="2:4" x14ac:dyDescent="0.2">
      <c r="B157" s="16">
        <v>45107</v>
      </c>
      <c r="C157" s="23">
        <v>166.89570617675801</v>
      </c>
      <c r="D157" s="25">
        <f t="shared" si="4"/>
        <v>8.8493080231811364E-2</v>
      </c>
    </row>
    <row r="158" spans="2:4" x14ac:dyDescent="0.2">
      <c r="B158" s="16">
        <v>45138</v>
      </c>
      <c r="C158" s="23">
        <v>158.52928161621099</v>
      </c>
      <c r="D158" s="25">
        <f t="shared" si="4"/>
        <v>-5.0129657330346168E-2</v>
      </c>
    </row>
    <row r="159" spans="2:4" x14ac:dyDescent="0.2">
      <c r="B159" s="16">
        <v>45169</v>
      </c>
      <c r="C159" s="23">
        <v>165.74171447753901</v>
      </c>
      <c r="D159" s="25">
        <f t="shared" si="4"/>
        <v>4.5495903266557648E-2</v>
      </c>
    </row>
    <row r="160" spans="2:4" x14ac:dyDescent="0.2">
      <c r="B160" s="16">
        <v>45199</v>
      </c>
      <c r="C160" s="23">
        <v>159.44285583496099</v>
      </c>
      <c r="D160" s="25">
        <f t="shared" si="4"/>
        <v>-3.8004063505881133E-2</v>
      </c>
    </row>
    <row r="161" spans="2:4" x14ac:dyDescent="0.2">
      <c r="B161" s="16">
        <v>45230</v>
      </c>
      <c r="C161" s="23">
        <v>160.11601257324199</v>
      </c>
      <c r="D161" s="25">
        <f t="shared" si="4"/>
        <v>4.2219310156974199E-3</v>
      </c>
    </row>
    <row r="162" spans="2:4" x14ac:dyDescent="0.2">
      <c r="B162" s="16">
        <v>45260</v>
      </c>
      <c r="C162" s="23">
        <v>180.79165649414099</v>
      </c>
      <c r="D162" s="25">
        <f t="shared" si="4"/>
        <v>0.12912914572764125</v>
      </c>
    </row>
    <row r="163" spans="2:4" x14ac:dyDescent="0.2">
      <c r="B163" s="16">
        <v>45291</v>
      </c>
      <c r="C163" s="23">
        <v>181.51289367675801</v>
      </c>
      <c r="D163" s="25">
        <f t="shared" si="4"/>
        <v>3.9893278075052675E-3</v>
      </c>
    </row>
    <row r="164" spans="2:4" x14ac:dyDescent="0.2">
      <c r="B164" s="16">
        <v>45322</v>
      </c>
      <c r="C164" s="23">
        <v>199.25547790527301</v>
      </c>
      <c r="D164" s="25">
        <f t="shared" ref="D164:D183" si="5">(C164-C163)/C163</f>
        <v>9.7748341008277728E-2</v>
      </c>
    </row>
    <row r="165" spans="2:4" x14ac:dyDescent="0.2">
      <c r="B165" s="16">
        <v>45351</v>
      </c>
      <c r="C165" s="23">
        <v>216.08448791503901</v>
      </c>
      <c r="D165" s="25">
        <f t="shared" si="5"/>
        <v>8.4459459718174396E-2</v>
      </c>
    </row>
    <row r="166" spans="2:4" x14ac:dyDescent="0.2">
      <c r="B166" s="16">
        <v>45382</v>
      </c>
      <c r="C166" s="23">
        <v>205.12159729003901</v>
      </c>
      <c r="D166" s="25">
        <f t="shared" si="5"/>
        <v>-5.0734278664697277E-2</v>
      </c>
    </row>
    <row r="167" spans="2:4" x14ac:dyDescent="0.2">
      <c r="B167" s="16">
        <v>45412</v>
      </c>
      <c r="C167" s="23">
        <v>190.31205749511699</v>
      </c>
      <c r="D167" s="25">
        <f t="shared" si="5"/>
        <v>-7.2198832256466589E-2</v>
      </c>
    </row>
    <row r="168" spans="2:4" x14ac:dyDescent="0.2">
      <c r="B168" s="16">
        <v>45443</v>
      </c>
      <c r="C168" s="23">
        <v>178.48367309570301</v>
      </c>
      <c r="D168" s="25">
        <f t="shared" si="5"/>
        <v>-6.2152574855733819E-2</v>
      </c>
    </row>
    <row r="169" spans="2:4" x14ac:dyDescent="0.2">
      <c r="B169" s="16">
        <v>45473</v>
      </c>
      <c r="C169" s="23">
        <v>181.51728820800801</v>
      </c>
      <c r="D169" s="25">
        <f t="shared" si="5"/>
        <v>1.699659727799514E-2</v>
      </c>
    </row>
    <row r="170" spans="2:4" x14ac:dyDescent="0.2">
      <c r="B170" s="16">
        <v>45504</v>
      </c>
      <c r="C170" s="23">
        <v>179.464599609375</v>
      </c>
      <c r="D170" s="25">
        <f t="shared" si="5"/>
        <v>-1.1308501900274935E-2</v>
      </c>
    </row>
    <row r="171" spans="2:4" x14ac:dyDescent="0.2">
      <c r="B171" s="16">
        <v>45535</v>
      </c>
      <c r="C171" s="23">
        <v>183.27674865722699</v>
      </c>
      <c r="D171" s="25">
        <f t="shared" si="5"/>
        <v>2.1241788386955212E-2</v>
      </c>
    </row>
    <row r="172" spans="2:4" x14ac:dyDescent="0.2">
      <c r="B172" s="16">
        <v>45565</v>
      </c>
      <c r="C172" s="23">
        <v>189.581466674805</v>
      </c>
      <c r="D172" s="25">
        <f t="shared" si="5"/>
        <v>3.4399988344235626E-2</v>
      </c>
    </row>
    <row r="173" spans="2:4" x14ac:dyDescent="0.2">
      <c r="B173" s="16">
        <v>45596</v>
      </c>
      <c r="C173" s="23">
        <v>155.614181518555</v>
      </c>
      <c r="D173" s="25">
        <f t="shared" si="5"/>
        <v>-0.17916986165380366</v>
      </c>
    </row>
    <row r="174" spans="2:4" x14ac:dyDescent="0.2">
      <c r="B174" s="16">
        <v>45626</v>
      </c>
      <c r="C174" s="23">
        <v>148.478591918945</v>
      </c>
      <c r="D174" s="25">
        <f t="shared" si="5"/>
        <v>-4.5854365778090558E-2</v>
      </c>
    </row>
    <row r="175" spans="2:4" x14ac:dyDescent="0.2">
      <c r="B175" s="16">
        <v>45657</v>
      </c>
      <c r="C175" s="23">
        <v>154.58782958984401</v>
      </c>
      <c r="D175" s="25">
        <f t="shared" si="5"/>
        <v>4.1145579251142553E-2</v>
      </c>
    </row>
    <row r="176" spans="2:4" x14ac:dyDescent="0.2">
      <c r="B176" s="16">
        <v>45688</v>
      </c>
      <c r="C176" s="23">
        <v>171.986892700195</v>
      </c>
      <c r="D176" s="25">
        <f t="shared" si="5"/>
        <v>0.11255131245787324</v>
      </c>
    </row>
    <row r="177" spans="2:4" x14ac:dyDescent="0.2">
      <c r="B177" s="16">
        <v>45716</v>
      </c>
      <c r="C177" s="23">
        <v>145.79054260253901</v>
      </c>
      <c r="D177" s="25">
        <f t="shared" si="5"/>
        <v>-0.15231596830649813</v>
      </c>
    </row>
    <row r="178" spans="2:4" x14ac:dyDescent="0.2">
      <c r="B178" s="16">
        <v>45747</v>
      </c>
      <c r="C178" s="23">
        <v>134.94056701660199</v>
      </c>
      <c r="D178" s="25">
        <f t="shared" si="5"/>
        <v>-7.4421669555869124E-2</v>
      </c>
    </row>
    <row r="179" spans="2:4" x14ac:dyDescent="0.2">
      <c r="B179" s="16">
        <v>45777</v>
      </c>
      <c r="C179" s="23">
        <v>136.70002746582</v>
      </c>
      <c r="D179" s="25">
        <f t="shared" si="5"/>
        <v>1.3038780613701893E-2</v>
      </c>
    </row>
    <row r="180" spans="2:4" x14ac:dyDescent="0.2">
      <c r="B180" s="16">
        <v>45808</v>
      </c>
      <c r="C180" s="23">
        <v>142.95587158203099</v>
      </c>
      <c r="D180" s="25">
        <f t="shared" si="5"/>
        <v>4.5763298165943558E-2</v>
      </c>
    </row>
    <row r="181" spans="2:4" x14ac:dyDescent="0.2">
      <c r="B181" s="16">
        <v>45838</v>
      </c>
      <c r="C181" s="23">
        <v>145.05000305175801</v>
      </c>
      <c r="D181" s="25">
        <f t="shared" si="5"/>
        <v>1.4648796489099518E-2</v>
      </c>
    </row>
    <row r="182" spans="2:4" x14ac:dyDescent="0.2">
      <c r="B182" s="16">
        <v>45869</v>
      </c>
      <c r="C182" s="23">
        <v>130.89999389648401</v>
      </c>
      <c r="D182" s="25">
        <f t="shared" si="5"/>
        <v>-9.7552629145584199E-2</v>
      </c>
    </row>
    <row r="183" spans="2:4" x14ac:dyDescent="0.2">
      <c r="B183" s="16">
        <v>45900</v>
      </c>
      <c r="C183" s="23">
        <v>121.449996948242</v>
      </c>
      <c r="D183" s="25">
        <f t="shared" si="5"/>
        <v>-7.219249342146708E-2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7" tint="0.79998168889431442"/>
  </sheetPr>
  <dimension ref="B2:D183"/>
  <sheetViews>
    <sheetView showGridLines="0" workbookViewId="0">
      <selection activeCell="N31" sqref="N31"/>
    </sheetView>
  </sheetViews>
  <sheetFormatPr baseColWidth="10" defaultColWidth="10.83203125" defaultRowHeight="15" x14ac:dyDescent="0.2"/>
  <cols>
    <col min="3" max="3" width="11.6640625" bestFit="1" customWidth="1"/>
  </cols>
  <sheetData>
    <row r="2" spans="2:4" x14ac:dyDescent="0.2">
      <c r="B2" s="21" t="s">
        <v>308</v>
      </c>
      <c r="C2" t="s">
        <v>25</v>
      </c>
      <c r="D2" t="s">
        <v>310</v>
      </c>
    </row>
    <row r="3" spans="2:4" x14ac:dyDescent="0.2">
      <c r="B3" s="16" t="s">
        <v>237</v>
      </c>
      <c r="C3" s="23">
        <v>27.3107395172119</v>
      </c>
    </row>
    <row r="4" spans="2:4" x14ac:dyDescent="0.2">
      <c r="B4" s="16">
        <v>40451</v>
      </c>
      <c r="C4" s="23">
        <v>28.257492065429702</v>
      </c>
      <c r="D4" s="25">
        <f t="shared" ref="D4:D35" si="0">(C4-C3)/C3</f>
        <v>3.4665943323180064E-2</v>
      </c>
    </row>
    <row r="5" spans="2:4" x14ac:dyDescent="0.2">
      <c r="B5" s="16">
        <v>40482</v>
      </c>
      <c r="C5" s="23">
        <v>29.2879524230957</v>
      </c>
      <c r="D5" s="25">
        <f t="shared" si="0"/>
        <v>3.646680162839596E-2</v>
      </c>
    </row>
    <row r="6" spans="2:4" x14ac:dyDescent="0.2">
      <c r="B6" s="16">
        <v>40512</v>
      </c>
      <c r="C6" s="23">
        <v>29.062541961669901</v>
      </c>
      <c r="D6" s="25">
        <f t="shared" si="0"/>
        <v>-7.696354397518289E-3</v>
      </c>
    </row>
    <row r="7" spans="2:4" x14ac:dyDescent="0.2">
      <c r="B7" s="16">
        <v>40543</v>
      </c>
      <c r="C7" s="23">
        <v>30.283004760742202</v>
      </c>
      <c r="D7" s="25">
        <f t="shared" si="0"/>
        <v>4.1994358259575128E-2</v>
      </c>
    </row>
    <row r="8" spans="2:4" x14ac:dyDescent="0.2">
      <c r="B8" s="16">
        <v>40574</v>
      </c>
      <c r="C8" s="23">
        <v>28.331548690795898</v>
      </c>
      <c r="D8" s="25">
        <f t="shared" si="0"/>
        <v>-6.4440635444343378E-2</v>
      </c>
    </row>
    <row r="9" spans="2:4" x14ac:dyDescent="0.2">
      <c r="B9" s="16">
        <v>40602</v>
      </c>
      <c r="C9" s="23">
        <v>29.258975982666001</v>
      </c>
      <c r="D9" s="25">
        <f t="shared" si="0"/>
        <v>3.2734789827122912E-2</v>
      </c>
    </row>
    <row r="10" spans="2:4" x14ac:dyDescent="0.2">
      <c r="B10" s="16">
        <v>40633</v>
      </c>
      <c r="C10" s="23">
        <v>29.6872673034668</v>
      </c>
      <c r="D10" s="25">
        <f t="shared" si="0"/>
        <v>1.4637946353779884E-2</v>
      </c>
    </row>
    <row r="11" spans="2:4" x14ac:dyDescent="0.2">
      <c r="B11" s="16">
        <v>40663</v>
      </c>
      <c r="C11" s="23">
        <v>31.851261138916001</v>
      </c>
      <c r="D11" s="25">
        <f t="shared" si="0"/>
        <v>7.2892995280724127E-2</v>
      </c>
    </row>
    <row r="12" spans="2:4" x14ac:dyDescent="0.2">
      <c r="B12" s="16">
        <v>40694</v>
      </c>
      <c r="C12" s="23">
        <v>32.8141059875488</v>
      </c>
      <c r="D12" s="25">
        <f t="shared" si="0"/>
        <v>3.0229410522661863E-2</v>
      </c>
    </row>
    <row r="13" spans="2:4" x14ac:dyDescent="0.2">
      <c r="B13" s="16">
        <v>40724</v>
      </c>
      <c r="C13" s="23">
        <v>34.027992248535199</v>
      </c>
      <c r="D13" s="25">
        <f t="shared" si="0"/>
        <v>3.6992818315605004E-2</v>
      </c>
    </row>
    <row r="14" spans="2:4" x14ac:dyDescent="0.2">
      <c r="B14" s="16">
        <v>40755</v>
      </c>
      <c r="C14" s="23">
        <v>32.936717987060597</v>
      </c>
      <c r="D14" s="25">
        <f t="shared" si="0"/>
        <v>-3.2069898614767028E-2</v>
      </c>
    </row>
    <row r="15" spans="2:4" x14ac:dyDescent="0.2">
      <c r="B15" s="16">
        <v>40786</v>
      </c>
      <c r="C15" s="23">
        <v>31.0848484039307</v>
      </c>
      <c r="D15" s="25">
        <f t="shared" si="0"/>
        <v>-5.6225079373646639E-2</v>
      </c>
    </row>
    <row r="16" spans="2:4" x14ac:dyDescent="0.2">
      <c r="B16" s="16">
        <v>40816</v>
      </c>
      <c r="C16" s="23">
        <v>30.555749893188501</v>
      </c>
      <c r="D16" s="25">
        <f t="shared" si="0"/>
        <v>-1.7021106355960009E-2</v>
      </c>
    </row>
    <row r="17" spans="2:4" x14ac:dyDescent="0.2">
      <c r="B17" s="16">
        <v>40847</v>
      </c>
      <c r="C17" s="23">
        <v>33.267406463623097</v>
      </c>
      <c r="D17" s="25">
        <f t="shared" si="0"/>
        <v>8.8744559695426703E-2</v>
      </c>
    </row>
    <row r="18" spans="2:4" x14ac:dyDescent="0.2">
      <c r="B18" s="16">
        <v>40877</v>
      </c>
      <c r="C18" s="23">
        <v>32.437366485595703</v>
      </c>
      <c r="D18" s="25">
        <f t="shared" si="0"/>
        <v>-2.495054668403493E-2</v>
      </c>
    </row>
    <row r="19" spans="2:4" x14ac:dyDescent="0.2">
      <c r="B19" s="16">
        <v>40908</v>
      </c>
      <c r="C19" s="23">
        <v>32.123218536377003</v>
      </c>
      <c r="D19" s="25">
        <f t="shared" si="0"/>
        <v>-9.6847550604393963E-3</v>
      </c>
    </row>
    <row r="20" spans="2:4" x14ac:dyDescent="0.2">
      <c r="B20" s="16">
        <v>40939</v>
      </c>
      <c r="C20" s="23">
        <v>31.2072048187256</v>
      </c>
      <c r="D20" s="25">
        <f t="shared" si="0"/>
        <v>-2.8515626994663989E-2</v>
      </c>
    </row>
    <row r="21" spans="2:4" x14ac:dyDescent="0.2">
      <c r="B21" s="16">
        <v>40968</v>
      </c>
      <c r="C21" s="23">
        <v>33.584869384765597</v>
      </c>
      <c r="D21" s="25">
        <f t="shared" si="0"/>
        <v>7.6189603646056134E-2</v>
      </c>
    </row>
    <row r="22" spans="2:4" x14ac:dyDescent="0.2">
      <c r="B22" s="16">
        <v>40999</v>
      </c>
      <c r="C22" s="23">
        <v>34.590164184570298</v>
      </c>
      <c r="D22" s="25">
        <f t="shared" si="0"/>
        <v>2.9932967381457575E-2</v>
      </c>
    </row>
    <row r="23" spans="2:4" x14ac:dyDescent="0.2">
      <c r="B23" s="16">
        <v>41029</v>
      </c>
      <c r="C23" s="23">
        <v>35.152332305908203</v>
      </c>
      <c r="D23" s="25">
        <f t="shared" si="0"/>
        <v>1.6252253627309241E-2</v>
      </c>
    </row>
    <row r="24" spans="2:4" x14ac:dyDescent="0.2">
      <c r="B24" s="16">
        <v>41060</v>
      </c>
      <c r="C24" s="23">
        <v>34.318992614746101</v>
      </c>
      <c r="D24" s="25">
        <f t="shared" si="0"/>
        <v>-2.3706526324059566E-2</v>
      </c>
    </row>
    <row r="25" spans="2:4" x14ac:dyDescent="0.2">
      <c r="B25" s="16">
        <v>41090</v>
      </c>
      <c r="C25" s="23">
        <v>33.262783050537102</v>
      </c>
      <c r="D25" s="25">
        <f t="shared" si="0"/>
        <v>-3.0776240318754842E-2</v>
      </c>
    </row>
    <row r="26" spans="2:4" x14ac:dyDescent="0.2">
      <c r="B26" s="16">
        <v>41121</v>
      </c>
      <c r="C26" s="23">
        <v>33.578342437744098</v>
      </c>
      <c r="D26" s="25">
        <f t="shared" si="0"/>
        <v>9.4868606372340309E-3</v>
      </c>
    </row>
    <row r="27" spans="2:4" x14ac:dyDescent="0.2">
      <c r="B27" s="16">
        <v>41152</v>
      </c>
      <c r="C27" s="23">
        <v>33.625846862792997</v>
      </c>
      <c r="D27" s="25">
        <f t="shared" si="0"/>
        <v>1.4147340696454784E-3</v>
      </c>
    </row>
    <row r="28" spans="2:4" x14ac:dyDescent="0.2">
      <c r="B28" s="16">
        <v>41182</v>
      </c>
      <c r="C28" s="23">
        <v>32.512905120849602</v>
      </c>
      <c r="D28" s="25">
        <f t="shared" si="0"/>
        <v>-3.309780558047045E-2</v>
      </c>
    </row>
    <row r="29" spans="2:4" x14ac:dyDescent="0.2">
      <c r="B29" s="16">
        <v>41213</v>
      </c>
      <c r="C29" s="23">
        <v>32.183769226074197</v>
      </c>
      <c r="D29" s="25">
        <f t="shared" si="0"/>
        <v>-1.0123238558720467E-2</v>
      </c>
    </row>
    <row r="30" spans="2:4" x14ac:dyDescent="0.2">
      <c r="B30" s="16">
        <v>41243</v>
      </c>
      <c r="C30" s="23">
        <v>33.0999145507813</v>
      </c>
      <c r="D30" s="25">
        <f t="shared" si="0"/>
        <v>2.8466066801301586E-2</v>
      </c>
    </row>
    <row r="31" spans="2:4" x14ac:dyDescent="0.2">
      <c r="B31" s="16">
        <v>41274</v>
      </c>
      <c r="C31" s="23">
        <v>33.866756439208999</v>
      </c>
      <c r="D31" s="25">
        <f t="shared" si="0"/>
        <v>2.3167488461374234E-2</v>
      </c>
    </row>
    <row r="32" spans="2:4" x14ac:dyDescent="0.2">
      <c r="B32" s="16">
        <v>41305</v>
      </c>
      <c r="C32" s="23">
        <v>34.637001037597699</v>
      </c>
      <c r="D32" s="25">
        <f t="shared" si="0"/>
        <v>2.2743382578467274E-2</v>
      </c>
    </row>
    <row r="33" spans="2:4" x14ac:dyDescent="0.2">
      <c r="B33" s="16">
        <v>41333</v>
      </c>
      <c r="C33" s="23">
        <v>36.096042633056598</v>
      </c>
      <c r="D33" s="25">
        <f t="shared" si="0"/>
        <v>4.212378530910172E-2</v>
      </c>
    </row>
    <row r="34" spans="2:4" x14ac:dyDescent="0.2">
      <c r="B34" s="16">
        <v>41364</v>
      </c>
      <c r="C34" s="23">
        <v>36.835735321044901</v>
      </c>
      <c r="D34" s="25">
        <f t="shared" si="0"/>
        <v>2.0492348579810665E-2</v>
      </c>
    </row>
    <row r="35" spans="2:4" x14ac:dyDescent="0.2">
      <c r="B35" s="16">
        <v>41394</v>
      </c>
      <c r="C35" s="23">
        <v>39.367012023925803</v>
      </c>
      <c r="D35" s="25">
        <f t="shared" si="0"/>
        <v>6.8717963163198739E-2</v>
      </c>
    </row>
    <row r="36" spans="2:4" x14ac:dyDescent="0.2">
      <c r="B36" s="16">
        <v>41425</v>
      </c>
      <c r="C36" s="23">
        <v>38.505157470703097</v>
      </c>
      <c r="D36" s="25">
        <f t="shared" ref="D36:D67" si="1">(C36-C35)/C35</f>
        <v>-2.189281098344225E-2</v>
      </c>
    </row>
    <row r="37" spans="2:4" x14ac:dyDescent="0.2">
      <c r="B37" s="16">
        <v>41455</v>
      </c>
      <c r="C37" s="23">
        <v>40.132633209228501</v>
      </c>
      <c r="D37" s="25">
        <f t="shared" si="1"/>
        <v>4.2266435081162325E-2</v>
      </c>
    </row>
    <row r="38" spans="2:4" x14ac:dyDescent="0.2">
      <c r="B38" s="16">
        <v>41486</v>
      </c>
      <c r="C38" s="23">
        <v>41.343715667724602</v>
      </c>
      <c r="D38" s="25">
        <f t="shared" si="1"/>
        <v>3.0176999654675348E-2</v>
      </c>
    </row>
    <row r="39" spans="2:4" x14ac:dyDescent="0.2">
      <c r="B39" s="16">
        <v>41517</v>
      </c>
      <c r="C39" s="23">
        <v>39.213882446289098</v>
      </c>
      <c r="D39" s="25">
        <f t="shared" si="1"/>
        <v>-5.1515283206588526E-2</v>
      </c>
    </row>
    <row r="40" spans="2:4" x14ac:dyDescent="0.2">
      <c r="B40" s="16">
        <v>41547</v>
      </c>
      <c r="C40" s="23">
        <v>38.726669311523402</v>
      </c>
      <c r="D40" s="25">
        <f t="shared" si="1"/>
        <v>-1.2424506434246278E-2</v>
      </c>
    </row>
    <row r="41" spans="2:4" x14ac:dyDescent="0.2">
      <c r="B41" s="16">
        <v>41578</v>
      </c>
      <c r="C41" s="23">
        <v>38.0167236328125</v>
      </c>
      <c r="D41" s="25">
        <f t="shared" si="1"/>
        <v>-1.8332216308094753E-2</v>
      </c>
    </row>
    <row r="42" spans="2:4" x14ac:dyDescent="0.2">
      <c r="B42" s="16">
        <v>41608</v>
      </c>
      <c r="C42" s="23">
        <v>37.223255157470703</v>
      </c>
      <c r="D42" s="25">
        <f t="shared" si="1"/>
        <v>-2.0871563867669772E-2</v>
      </c>
    </row>
    <row r="43" spans="2:4" x14ac:dyDescent="0.2">
      <c r="B43" s="16">
        <v>41639</v>
      </c>
      <c r="C43" s="23">
        <v>36.415878295898402</v>
      </c>
      <c r="D43" s="25">
        <f t="shared" si="1"/>
        <v>-2.1690119742530382E-2</v>
      </c>
    </row>
    <row r="44" spans="2:4" x14ac:dyDescent="0.2">
      <c r="B44" s="16">
        <v>41670</v>
      </c>
      <c r="C44" s="23">
        <v>34.108558654785199</v>
      </c>
      <c r="D44" s="25">
        <f t="shared" si="1"/>
        <v>-6.3360263409411754E-2</v>
      </c>
    </row>
    <row r="45" spans="2:4" x14ac:dyDescent="0.2">
      <c r="B45" s="16">
        <v>41698</v>
      </c>
      <c r="C45" s="23">
        <v>35.622409820556598</v>
      </c>
      <c r="D45" s="25">
        <f t="shared" si="1"/>
        <v>4.4383322704813738E-2</v>
      </c>
    </row>
    <row r="46" spans="2:4" x14ac:dyDescent="0.2">
      <c r="B46" s="16">
        <v>41729</v>
      </c>
      <c r="C46" s="23">
        <v>35.726814270019503</v>
      </c>
      <c r="D46" s="25">
        <f t="shared" si="1"/>
        <v>2.930864306733573E-3</v>
      </c>
    </row>
    <row r="47" spans="2:4" x14ac:dyDescent="0.2">
      <c r="B47" s="16">
        <v>41759</v>
      </c>
      <c r="C47" s="23">
        <v>37.000534057617202</v>
      </c>
      <c r="D47" s="25">
        <f t="shared" si="1"/>
        <v>3.5651647470470185E-2</v>
      </c>
    </row>
    <row r="48" spans="2:4" x14ac:dyDescent="0.2">
      <c r="B48" s="16">
        <v>41790</v>
      </c>
      <c r="C48" s="23">
        <v>38.023685455322301</v>
      </c>
      <c r="D48" s="25">
        <f t="shared" si="1"/>
        <v>2.7652341344907318E-2</v>
      </c>
    </row>
    <row r="49" spans="2:4" x14ac:dyDescent="0.2">
      <c r="B49" s="16">
        <v>41820</v>
      </c>
      <c r="C49" s="23">
        <v>38.829818725585902</v>
      </c>
      <c r="D49" s="25">
        <f t="shared" si="1"/>
        <v>2.1200818926687279E-2</v>
      </c>
    </row>
    <row r="50" spans="2:4" x14ac:dyDescent="0.2">
      <c r="B50" s="16">
        <v>41851</v>
      </c>
      <c r="C50" s="23">
        <v>38.7224311828613</v>
      </c>
      <c r="D50" s="25">
        <f t="shared" si="1"/>
        <v>-2.7655947477767139E-3</v>
      </c>
    </row>
    <row r="51" spans="2:4" x14ac:dyDescent="0.2">
      <c r="B51" s="16">
        <v>41882</v>
      </c>
      <c r="C51" s="23">
        <v>38.042335510253899</v>
      </c>
      <c r="D51" s="25">
        <f t="shared" si="1"/>
        <v>-1.7563351572522482E-2</v>
      </c>
    </row>
    <row r="52" spans="2:4" x14ac:dyDescent="0.2">
      <c r="B52" s="16">
        <v>41912</v>
      </c>
      <c r="C52" s="23">
        <v>37.942115783691399</v>
      </c>
      <c r="D52" s="25">
        <f t="shared" si="1"/>
        <v>-2.6344262311520507E-3</v>
      </c>
    </row>
    <row r="53" spans="2:4" x14ac:dyDescent="0.2">
      <c r="B53" s="16">
        <v>41943</v>
      </c>
      <c r="C53" s="23">
        <v>38.815498352050803</v>
      </c>
      <c r="D53" s="25">
        <f t="shared" si="1"/>
        <v>2.3018815643770927E-2</v>
      </c>
    </row>
    <row r="54" spans="2:4" x14ac:dyDescent="0.2">
      <c r="B54" s="16">
        <v>41973</v>
      </c>
      <c r="C54" s="23">
        <v>40.626697540283203</v>
      </c>
      <c r="D54" s="25">
        <f t="shared" si="1"/>
        <v>4.666175278248634E-2</v>
      </c>
    </row>
    <row r="55" spans="2:4" x14ac:dyDescent="0.2">
      <c r="B55" s="16">
        <v>42004</v>
      </c>
      <c r="C55" s="23">
        <v>38.980148315429702</v>
      </c>
      <c r="D55" s="25">
        <f t="shared" si="1"/>
        <v>-4.0528748939558122E-2</v>
      </c>
    </row>
    <row r="56" spans="2:4" x14ac:dyDescent="0.2">
      <c r="B56" s="16">
        <v>42035</v>
      </c>
      <c r="C56" s="23">
        <v>42.645500183105497</v>
      </c>
      <c r="D56" s="25">
        <f t="shared" si="1"/>
        <v>9.4031244776585962E-2</v>
      </c>
    </row>
    <row r="57" spans="2:4" x14ac:dyDescent="0.2">
      <c r="B57" s="16">
        <v>42063</v>
      </c>
      <c r="C57" s="23">
        <v>44.6213569641113</v>
      </c>
      <c r="D57" s="25">
        <f t="shared" si="1"/>
        <v>4.6332128185204421E-2</v>
      </c>
    </row>
    <row r="58" spans="2:4" x14ac:dyDescent="0.2">
      <c r="B58" s="16">
        <v>42094</v>
      </c>
      <c r="C58" s="23">
        <v>44.8289604187012</v>
      </c>
      <c r="D58" s="25">
        <f t="shared" si="1"/>
        <v>4.6525580734103371E-3</v>
      </c>
    </row>
    <row r="59" spans="2:4" x14ac:dyDescent="0.2">
      <c r="B59" s="16">
        <v>42124</v>
      </c>
      <c r="C59" s="23">
        <v>46.181991577148402</v>
      </c>
      <c r="D59" s="25">
        <f t="shared" si="1"/>
        <v>3.0182077518861237E-2</v>
      </c>
    </row>
    <row r="60" spans="2:4" x14ac:dyDescent="0.2">
      <c r="B60" s="16">
        <v>42155</v>
      </c>
      <c r="C60" s="23">
        <v>44.764533996582003</v>
      </c>
      <c r="D60" s="25">
        <f t="shared" si="1"/>
        <v>-3.0692863866611162E-2</v>
      </c>
    </row>
    <row r="61" spans="2:4" x14ac:dyDescent="0.2">
      <c r="B61" s="16">
        <v>42185</v>
      </c>
      <c r="C61" s="23">
        <v>42.511863708496101</v>
      </c>
      <c r="D61" s="25">
        <f t="shared" si="1"/>
        <v>-5.0322656955568992E-2</v>
      </c>
    </row>
    <row r="62" spans="2:4" x14ac:dyDescent="0.2">
      <c r="B62" s="16">
        <v>42216</v>
      </c>
      <c r="C62" s="23">
        <v>45.224292755127003</v>
      </c>
      <c r="D62" s="25">
        <f t="shared" si="1"/>
        <v>6.380404927034089E-2</v>
      </c>
    </row>
    <row r="63" spans="2:4" x14ac:dyDescent="0.2">
      <c r="B63" s="16">
        <v>42247</v>
      </c>
      <c r="C63" s="23">
        <v>40.605827331542997</v>
      </c>
      <c r="D63" s="25">
        <f t="shared" si="1"/>
        <v>-0.10212355223753981</v>
      </c>
    </row>
    <row r="64" spans="2:4" x14ac:dyDescent="0.2">
      <c r="B64" s="16">
        <v>42277</v>
      </c>
      <c r="C64" s="23">
        <v>41.360912322998097</v>
      </c>
      <c r="D64" s="25">
        <f t="shared" si="1"/>
        <v>1.8595483482946845E-2</v>
      </c>
    </row>
    <row r="65" spans="2:4" x14ac:dyDescent="0.2">
      <c r="B65" s="16">
        <v>42308</v>
      </c>
      <c r="C65" s="23">
        <v>46.485206604003899</v>
      </c>
      <c r="D65" s="25">
        <f t="shared" si="1"/>
        <v>0.12389219659829694</v>
      </c>
    </row>
    <row r="66" spans="2:4" x14ac:dyDescent="0.2">
      <c r="B66" s="16">
        <v>42338</v>
      </c>
      <c r="C66" s="23">
        <v>48.625827789306598</v>
      </c>
      <c r="D66" s="25">
        <f t="shared" si="1"/>
        <v>4.6049514279631519E-2</v>
      </c>
    </row>
    <row r="67" spans="2:4" x14ac:dyDescent="0.2">
      <c r="B67" s="16">
        <v>42369</v>
      </c>
      <c r="C67" s="23">
        <v>45.656814575195298</v>
      </c>
      <c r="D67" s="25">
        <f t="shared" si="1"/>
        <v>-6.1058358265403581E-2</v>
      </c>
    </row>
    <row r="68" spans="2:4" x14ac:dyDescent="0.2">
      <c r="B68" s="16">
        <v>42400</v>
      </c>
      <c r="C68" s="23">
        <v>46.514530181884801</v>
      </c>
      <c r="D68" s="25">
        <f t="shared" ref="D68:D99" si="2">(C68-C67)/C67</f>
        <v>1.8786146485906787E-2</v>
      </c>
    </row>
    <row r="69" spans="2:4" x14ac:dyDescent="0.2">
      <c r="B69" s="16">
        <v>42429</v>
      </c>
      <c r="C69" s="23">
        <v>47.086334228515597</v>
      </c>
      <c r="D69" s="25">
        <f t="shared" si="2"/>
        <v>1.2293019931511336E-2</v>
      </c>
    </row>
    <row r="70" spans="2:4" x14ac:dyDescent="0.2">
      <c r="B70" s="16">
        <v>42460</v>
      </c>
      <c r="C70" s="23">
        <v>45.8254203796387</v>
      </c>
      <c r="D70" s="25">
        <f t="shared" si="2"/>
        <v>-2.6778764359899648E-2</v>
      </c>
    </row>
    <row r="71" spans="2:4" x14ac:dyDescent="0.2">
      <c r="B71" s="16">
        <v>42490</v>
      </c>
      <c r="C71" s="23">
        <v>44.843086242675803</v>
      </c>
      <c r="D71" s="25">
        <f t="shared" si="2"/>
        <v>-2.1436445728698031E-2</v>
      </c>
    </row>
    <row r="72" spans="2:4" x14ac:dyDescent="0.2">
      <c r="B72" s="16">
        <v>42521</v>
      </c>
      <c r="C72" s="23">
        <v>46.2432861328125</v>
      </c>
      <c r="D72" s="25">
        <f t="shared" si="2"/>
        <v>3.1224431845731655E-2</v>
      </c>
    </row>
    <row r="73" spans="2:4" x14ac:dyDescent="0.2">
      <c r="B73" s="16">
        <v>42551</v>
      </c>
      <c r="C73" s="23">
        <v>47.748176574707003</v>
      </c>
      <c r="D73" s="25">
        <f t="shared" si="2"/>
        <v>3.2542895796211356E-2</v>
      </c>
    </row>
    <row r="74" spans="2:4" x14ac:dyDescent="0.2">
      <c r="B74" s="16">
        <v>42582</v>
      </c>
      <c r="C74" s="23">
        <v>51.867122650146499</v>
      </c>
      <c r="D74" s="25">
        <f t="shared" si="2"/>
        <v>8.6263944948661547E-2</v>
      </c>
    </row>
    <row r="75" spans="2:4" x14ac:dyDescent="0.2">
      <c r="B75" s="16">
        <v>42613</v>
      </c>
      <c r="C75" s="23">
        <v>51.287307739257798</v>
      </c>
      <c r="D75" s="25">
        <f t="shared" si="2"/>
        <v>-1.117885244569399E-2</v>
      </c>
    </row>
    <row r="76" spans="2:4" x14ac:dyDescent="0.2">
      <c r="B76" s="16">
        <v>42643</v>
      </c>
      <c r="C76" s="23">
        <v>49.736118316650398</v>
      </c>
      <c r="D76" s="25">
        <f t="shared" si="2"/>
        <v>-3.0245093591061024E-2</v>
      </c>
    </row>
    <row r="77" spans="2:4" x14ac:dyDescent="0.2">
      <c r="B77" s="16">
        <v>42674</v>
      </c>
      <c r="C77" s="23">
        <v>47.499683380127003</v>
      </c>
      <c r="D77" s="25">
        <f t="shared" si="2"/>
        <v>-4.4966012873881495E-2</v>
      </c>
    </row>
    <row r="78" spans="2:4" x14ac:dyDescent="0.2">
      <c r="B78" s="16">
        <v>42704</v>
      </c>
      <c r="C78" s="23">
        <v>44.698497772216797</v>
      </c>
      <c r="D78" s="25">
        <f t="shared" si="2"/>
        <v>-5.8972721680965366E-2</v>
      </c>
    </row>
    <row r="79" spans="2:4" x14ac:dyDescent="0.2">
      <c r="B79" s="16">
        <v>42735</v>
      </c>
      <c r="C79" s="23">
        <v>45.331020355224602</v>
      </c>
      <c r="D79" s="25">
        <f t="shared" si="2"/>
        <v>1.4150868922511347E-2</v>
      </c>
    </row>
    <row r="80" spans="2:4" x14ac:dyDescent="0.2">
      <c r="B80" s="16">
        <v>42766</v>
      </c>
      <c r="C80" s="23">
        <v>43.666877746582003</v>
      </c>
      <c r="D80" s="25">
        <f t="shared" si="2"/>
        <v>-3.6710901179853976E-2</v>
      </c>
    </row>
    <row r="81" spans="2:4" x14ac:dyDescent="0.2">
      <c r="B81" s="16">
        <v>42794</v>
      </c>
      <c r="C81" s="23">
        <v>47.108123779296903</v>
      </c>
      <c r="D81" s="25">
        <f t="shared" si="2"/>
        <v>7.8806780111139549E-2</v>
      </c>
    </row>
    <row r="82" spans="2:4" x14ac:dyDescent="0.2">
      <c r="B82" s="16">
        <v>42825</v>
      </c>
      <c r="C82" s="23">
        <v>48.011726379394503</v>
      </c>
      <c r="D82" s="25">
        <f t="shared" si="2"/>
        <v>1.9181460173005552E-2</v>
      </c>
    </row>
    <row r="83" spans="2:4" x14ac:dyDescent="0.2">
      <c r="B83" s="16">
        <v>42855</v>
      </c>
      <c r="C83" s="23">
        <v>48.327987670898402</v>
      </c>
      <c r="D83" s="25">
        <f t="shared" si="2"/>
        <v>6.5871676640986403E-3</v>
      </c>
    </row>
    <row r="84" spans="2:4" x14ac:dyDescent="0.2">
      <c r="B84" s="16">
        <v>42886</v>
      </c>
      <c r="C84" s="23">
        <v>49.758708953857401</v>
      </c>
      <c r="D84" s="25">
        <f t="shared" si="2"/>
        <v>2.9604404236771773E-2</v>
      </c>
    </row>
    <row r="85" spans="2:4" x14ac:dyDescent="0.2">
      <c r="B85" s="16">
        <v>42916</v>
      </c>
      <c r="C85" s="23">
        <v>50.875827789306598</v>
      </c>
      <c r="D85" s="25">
        <f t="shared" si="2"/>
        <v>2.2450719862630118E-2</v>
      </c>
    </row>
    <row r="86" spans="2:4" x14ac:dyDescent="0.2">
      <c r="B86" s="16">
        <v>42947</v>
      </c>
      <c r="C86" s="23">
        <v>48.773078918457003</v>
      </c>
      <c r="D86" s="25">
        <f t="shared" si="2"/>
        <v>-4.1331000638609054E-2</v>
      </c>
    </row>
    <row r="87" spans="2:4" x14ac:dyDescent="0.2">
      <c r="B87" s="16">
        <v>42978</v>
      </c>
      <c r="C87" s="23">
        <v>51.138679504394503</v>
      </c>
      <c r="D87" s="25">
        <f t="shared" si="2"/>
        <v>4.8502178627937619E-2</v>
      </c>
    </row>
    <row r="88" spans="2:4" x14ac:dyDescent="0.2">
      <c r="B88" s="16">
        <v>43008</v>
      </c>
      <c r="C88" s="23">
        <v>51.308757781982401</v>
      </c>
      <c r="D88" s="25">
        <f t="shared" si="2"/>
        <v>3.3258245859336746E-3</v>
      </c>
    </row>
    <row r="89" spans="2:4" x14ac:dyDescent="0.2">
      <c r="B89" s="16">
        <v>43039</v>
      </c>
      <c r="C89" s="23">
        <v>54.223228454589801</v>
      </c>
      <c r="D89" s="25">
        <f t="shared" si="2"/>
        <v>5.6802596644248658E-2</v>
      </c>
    </row>
    <row r="90" spans="2:4" x14ac:dyDescent="0.2">
      <c r="B90" s="16">
        <v>43069</v>
      </c>
      <c r="C90" s="23">
        <v>54.826229095458999</v>
      </c>
      <c r="D90" s="25">
        <f t="shared" si="2"/>
        <v>1.1120707085418033E-2</v>
      </c>
    </row>
    <row r="91" spans="2:4" x14ac:dyDescent="0.2">
      <c r="B91" s="16">
        <v>43100</v>
      </c>
      <c r="C91" s="23">
        <v>54.076339721679702</v>
      </c>
      <c r="D91" s="25">
        <f t="shared" si="2"/>
        <v>-1.3677566123937689E-2</v>
      </c>
    </row>
    <row r="92" spans="2:4" x14ac:dyDescent="0.2">
      <c r="B92" s="16">
        <v>43131</v>
      </c>
      <c r="C92" s="23">
        <v>53.697540283203097</v>
      </c>
      <c r="D92" s="25">
        <f t="shared" si="2"/>
        <v>-7.0049015970054824E-3</v>
      </c>
    </row>
    <row r="93" spans="2:4" x14ac:dyDescent="0.2">
      <c r="B93" s="16">
        <v>43159</v>
      </c>
      <c r="C93" s="23">
        <v>50.8294486999512</v>
      </c>
      <c r="D93" s="25">
        <f t="shared" si="2"/>
        <v>-5.3411973213772175E-2</v>
      </c>
    </row>
    <row r="94" spans="2:4" x14ac:dyDescent="0.2">
      <c r="B94" s="16">
        <v>43190</v>
      </c>
      <c r="C94" s="23">
        <v>50.813991546630902</v>
      </c>
      <c r="D94" s="25">
        <f t="shared" si="2"/>
        <v>-3.0409838618440747E-4</v>
      </c>
    </row>
    <row r="95" spans="2:4" x14ac:dyDescent="0.2">
      <c r="B95" s="16">
        <v>43220</v>
      </c>
      <c r="C95" s="23">
        <v>51.865360260009801</v>
      </c>
      <c r="D95" s="25">
        <f t="shared" si="2"/>
        <v>2.0690535842162308E-2</v>
      </c>
    </row>
    <row r="96" spans="2:4" x14ac:dyDescent="0.2">
      <c r="B96" s="16">
        <v>43251</v>
      </c>
      <c r="C96" s="23">
        <v>50.551143646240199</v>
      </c>
      <c r="D96" s="25">
        <f t="shared" si="2"/>
        <v>-2.5339004822895524E-2</v>
      </c>
    </row>
    <row r="97" spans="2:4" x14ac:dyDescent="0.2">
      <c r="B97" s="16">
        <v>43281</v>
      </c>
      <c r="C97" s="23">
        <v>50.026332855224602</v>
      </c>
      <c r="D97" s="25">
        <f t="shared" si="2"/>
        <v>-1.0381778791954789E-2</v>
      </c>
    </row>
    <row r="98" spans="2:4" x14ac:dyDescent="0.2">
      <c r="B98" s="16">
        <v>43312</v>
      </c>
      <c r="C98" s="23">
        <v>53.4797172546387</v>
      </c>
      <c r="D98" s="25">
        <f t="shared" si="2"/>
        <v>6.9031332146774316E-2</v>
      </c>
    </row>
    <row r="99" spans="2:4" x14ac:dyDescent="0.2">
      <c r="B99" s="16">
        <v>43343</v>
      </c>
      <c r="C99" s="23">
        <v>53.965099334716797</v>
      </c>
      <c r="D99" s="25">
        <f t="shared" si="2"/>
        <v>9.076003109122566E-3</v>
      </c>
    </row>
    <row r="100" spans="2:4" x14ac:dyDescent="0.2">
      <c r="B100" s="16">
        <v>43373</v>
      </c>
      <c r="C100" s="23">
        <v>53.073898315429702</v>
      </c>
      <c r="D100" s="25">
        <f t="shared" ref="D100:D131" si="3">(C100-C99)/C99</f>
        <v>-1.651439597580372E-2</v>
      </c>
    </row>
    <row r="101" spans="2:4" x14ac:dyDescent="0.2">
      <c r="B101" s="16">
        <v>43404</v>
      </c>
      <c r="C101" s="23">
        <v>49.795578002929702</v>
      </c>
      <c r="D101" s="25">
        <f t="shared" si="3"/>
        <v>-6.1768975269467313E-2</v>
      </c>
    </row>
    <row r="102" spans="2:4" x14ac:dyDescent="0.2">
      <c r="B102" s="16">
        <v>43434</v>
      </c>
      <c r="C102" s="23">
        <v>52.564647674560597</v>
      </c>
      <c r="D102" s="25">
        <f t="shared" si="3"/>
        <v>5.5608746452706664E-2</v>
      </c>
    </row>
    <row r="103" spans="2:4" x14ac:dyDescent="0.2">
      <c r="B103" s="16">
        <v>43465</v>
      </c>
      <c r="C103" s="23">
        <v>48.944168090820298</v>
      </c>
      <c r="D103" s="25">
        <f t="shared" si="3"/>
        <v>-6.8876702192612257E-2</v>
      </c>
    </row>
    <row r="104" spans="2:4" x14ac:dyDescent="0.2">
      <c r="B104" s="16">
        <v>43496</v>
      </c>
      <c r="C104" s="23">
        <v>50.527629852294901</v>
      </c>
      <c r="D104" s="25">
        <f t="shared" si="3"/>
        <v>3.2352409352148899E-2</v>
      </c>
    </row>
    <row r="105" spans="2:4" x14ac:dyDescent="0.2">
      <c r="B105" s="16">
        <v>43524</v>
      </c>
      <c r="C105" s="23">
        <v>52.779487609863303</v>
      </c>
      <c r="D105" s="25">
        <f t="shared" si="3"/>
        <v>4.4566859046251614E-2</v>
      </c>
    </row>
    <row r="106" spans="2:4" x14ac:dyDescent="0.2">
      <c r="B106" s="16">
        <v>43555</v>
      </c>
      <c r="C106" s="23">
        <v>54.657375335693402</v>
      </c>
      <c r="D106" s="25">
        <f t="shared" si="3"/>
        <v>3.5579877919829681E-2</v>
      </c>
    </row>
    <row r="107" spans="2:4" x14ac:dyDescent="0.2">
      <c r="B107" s="16">
        <v>43585</v>
      </c>
      <c r="C107" s="23">
        <v>57.354827880859403</v>
      </c>
      <c r="D107" s="25">
        <f t="shared" si="3"/>
        <v>4.9352032156664123E-2</v>
      </c>
    </row>
    <row r="108" spans="2:4" x14ac:dyDescent="0.2">
      <c r="B108" s="16">
        <v>43616</v>
      </c>
      <c r="C108" s="23">
        <v>56.813755035400398</v>
      </c>
      <c r="D108" s="25">
        <f t="shared" si="3"/>
        <v>-9.4337803015110064E-3</v>
      </c>
    </row>
    <row r="109" spans="2:4" x14ac:dyDescent="0.2">
      <c r="B109" s="16">
        <v>43646</v>
      </c>
      <c r="C109" s="23">
        <v>60.911712646484403</v>
      </c>
      <c r="D109" s="25">
        <f t="shared" si="3"/>
        <v>7.2129673677273867E-2</v>
      </c>
    </row>
    <row r="110" spans="2:4" x14ac:dyDescent="0.2">
      <c r="B110" s="16">
        <v>43677</v>
      </c>
      <c r="C110" s="23">
        <v>64.100372314453097</v>
      </c>
      <c r="D110" s="25">
        <f t="shared" si="3"/>
        <v>5.2348875600901866E-2</v>
      </c>
    </row>
    <row r="111" spans="2:4" x14ac:dyDescent="0.2">
      <c r="B111" s="16">
        <v>43708</v>
      </c>
      <c r="C111" s="23">
        <v>66.602249145507798</v>
      </c>
      <c r="D111" s="25">
        <f t="shared" si="3"/>
        <v>3.9030613095059799E-2</v>
      </c>
    </row>
    <row r="112" spans="2:4" x14ac:dyDescent="0.2">
      <c r="B112" s="16">
        <v>43738</v>
      </c>
      <c r="C112" s="23">
        <v>66.078987121582003</v>
      </c>
      <c r="D112" s="25">
        <f t="shared" si="3"/>
        <v>-7.8565218237992267E-3</v>
      </c>
    </row>
    <row r="113" spans="2:4" x14ac:dyDescent="0.2">
      <c r="B113" s="16">
        <v>43769</v>
      </c>
      <c r="C113" s="23">
        <v>60.797245025634801</v>
      </c>
      <c r="D113" s="25">
        <f t="shared" si="3"/>
        <v>-7.9930736320595566E-2</v>
      </c>
    </row>
    <row r="114" spans="2:4" x14ac:dyDescent="0.2">
      <c r="B114" s="16">
        <v>43799</v>
      </c>
      <c r="C114" s="23">
        <v>61.091587066650398</v>
      </c>
      <c r="D114" s="25">
        <f t="shared" si="3"/>
        <v>4.8413713629867437E-3</v>
      </c>
    </row>
    <row r="115" spans="2:4" x14ac:dyDescent="0.2">
      <c r="B115" s="16">
        <v>43830</v>
      </c>
      <c r="C115" s="23">
        <v>60.421146392822301</v>
      </c>
      <c r="D115" s="25">
        <f t="shared" si="3"/>
        <v>-1.097435352426925E-2</v>
      </c>
    </row>
    <row r="116" spans="2:4" x14ac:dyDescent="0.2">
      <c r="B116" s="16">
        <v>43861</v>
      </c>
      <c r="C116" s="23">
        <v>59.194736480712898</v>
      </c>
      <c r="D116" s="25">
        <f t="shared" si="3"/>
        <v>-2.0297693528289199E-2</v>
      </c>
    </row>
    <row r="117" spans="2:4" x14ac:dyDescent="0.2">
      <c r="B117" s="16">
        <v>43890</v>
      </c>
      <c r="C117" s="23">
        <v>52.097911834716797</v>
      </c>
      <c r="D117" s="25">
        <f t="shared" si="3"/>
        <v>-0.11988945416301365</v>
      </c>
    </row>
    <row r="118" spans="2:4" x14ac:dyDescent="0.2">
      <c r="B118" s="16">
        <v>43921</v>
      </c>
      <c r="C118" s="23">
        <v>47.944469451904297</v>
      </c>
      <c r="D118" s="25">
        <f t="shared" si="3"/>
        <v>-7.9723778488272265E-2</v>
      </c>
    </row>
    <row r="119" spans="2:4" x14ac:dyDescent="0.2">
      <c r="B119" s="16">
        <v>43951</v>
      </c>
      <c r="C119" s="23">
        <v>51.721809387207003</v>
      </c>
      <c r="D119" s="25">
        <f t="shared" si="3"/>
        <v>7.8785728124324342E-2</v>
      </c>
    </row>
    <row r="120" spans="2:4" x14ac:dyDescent="0.2">
      <c r="B120" s="16">
        <v>43982</v>
      </c>
      <c r="C120" s="23">
        <v>50.331878662109403</v>
      </c>
      <c r="D120" s="25">
        <f t="shared" si="3"/>
        <v>-2.6873203810255489E-2</v>
      </c>
    </row>
    <row r="121" spans="2:4" x14ac:dyDescent="0.2">
      <c r="B121" s="16">
        <v>44012</v>
      </c>
      <c r="C121" s="23">
        <v>50.331878662109403</v>
      </c>
      <c r="D121" s="25">
        <f t="shared" si="3"/>
        <v>0</v>
      </c>
    </row>
    <row r="122" spans="2:4" x14ac:dyDescent="0.2">
      <c r="B122" s="16">
        <v>44043</v>
      </c>
      <c r="C122" s="23">
        <v>46.227493286132798</v>
      </c>
      <c r="D122" s="25">
        <f t="shared" si="3"/>
        <v>-8.1546437070834962E-2</v>
      </c>
    </row>
    <row r="123" spans="2:4" x14ac:dyDescent="0.2">
      <c r="B123" s="16">
        <v>44074</v>
      </c>
      <c r="C123" s="23">
        <v>46.6444282531738</v>
      </c>
      <c r="D123" s="25">
        <f t="shared" si="3"/>
        <v>9.0191991259468193E-3</v>
      </c>
    </row>
    <row r="124" spans="2:4" x14ac:dyDescent="0.2">
      <c r="B124" s="16">
        <v>44104</v>
      </c>
      <c r="C124" s="23">
        <v>46.746017456054702</v>
      </c>
      <c r="D124" s="25">
        <f t="shared" si="3"/>
        <v>2.1779493647023024E-3</v>
      </c>
    </row>
    <row r="125" spans="2:4" x14ac:dyDescent="0.2">
      <c r="B125" s="16">
        <v>44135</v>
      </c>
      <c r="C125" s="23">
        <v>40.126060485839801</v>
      </c>
      <c r="D125" s="25">
        <f t="shared" si="3"/>
        <v>-0.14161542160117133</v>
      </c>
    </row>
    <row r="126" spans="2:4" x14ac:dyDescent="0.2">
      <c r="B126" s="16">
        <v>44165</v>
      </c>
      <c r="C126" s="23">
        <v>45.594718933105497</v>
      </c>
      <c r="D126" s="25">
        <f t="shared" si="3"/>
        <v>0.13628695119959625</v>
      </c>
    </row>
    <row r="127" spans="2:4" x14ac:dyDescent="0.2">
      <c r="B127" s="16">
        <v>44196</v>
      </c>
      <c r="C127" s="23">
        <v>45.510066986083999</v>
      </c>
      <c r="D127" s="25">
        <f t="shared" si="3"/>
        <v>-1.8566173671493858E-3</v>
      </c>
    </row>
    <row r="128" spans="2:4" x14ac:dyDescent="0.2">
      <c r="B128" s="16">
        <v>44227</v>
      </c>
      <c r="C128" s="23">
        <v>46.525917053222699</v>
      </c>
      <c r="D128" s="25">
        <f t="shared" si="3"/>
        <v>2.2321436429643696E-2</v>
      </c>
    </row>
    <row r="129" spans="2:4" x14ac:dyDescent="0.2">
      <c r="B129" s="16">
        <v>44255</v>
      </c>
      <c r="C129" s="23">
        <v>47.795722961425803</v>
      </c>
      <c r="D129" s="25">
        <f t="shared" si="3"/>
        <v>2.7292442333818508E-2</v>
      </c>
    </row>
    <row r="130" spans="2:4" x14ac:dyDescent="0.2">
      <c r="B130" s="16">
        <v>44286</v>
      </c>
      <c r="C130" s="23">
        <v>49.522670745849602</v>
      </c>
      <c r="D130" s="25">
        <f t="shared" si="3"/>
        <v>3.6131847734943913E-2</v>
      </c>
    </row>
    <row r="131" spans="2:4" x14ac:dyDescent="0.2">
      <c r="B131" s="16">
        <v>44316</v>
      </c>
      <c r="C131" s="23">
        <v>49.632724761962898</v>
      </c>
      <c r="D131" s="25">
        <f t="shared" si="3"/>
        <v>2.2222956568334691E-3</v>
      </c>
    </row>
    <row r="132" spans="2:4" x14ac:dyDescent="0.2">
      <c r="B132" s="16">
        <v>44347</v>
      </c>
      <c r="C132" s="23">
        <v>49.353359222412102</v>
      </c>
      <c r="D132" s="25">
        <f t="shared" ref="D132:D163" si="4">(C132-C131)/C131</f>
        <v>-5.6286561112778811E-3</v>
      </c>
    </row>
    <row r="133" spans="2:4" x14ac:dyDescent="0.2">
      <c r="B133" s="16">
        <v>44377</v>
      </c>
      <c r="C133" s="23">
        <v>51.963161468505902</v>
      </c>
      <c r="D133" s="25">
        <f t="shared" si="4"/>
        <v>5.2879931320027537E-2</v>
      </c>
    </row>
    <row r="134" spans="2:4" x14ac:dyDescent="0.2">
      <c r="B134" s="16">
        <v>44408</v>
      </c>
      <c r="C134" s="23">
        <v>54.3175659179688</v>
      </c>
      <c r="D134" s="25">
        <f t="shared" si="4"/>
        <v>4.5309107123704687E-2</v>
      </c>
    </row>
    <row r="135" spans="2:4" x14ac:dyDescent="0.2">
      <c r="B135" s="16">
        <v>44439</v>
      </c>
      <c r="C135" s="23">
        <v>54.151268005371101</v>
      </c>
      <c r="D135" s="25">
        <f t="shared" si="4"/>
        <v>-3.0615862435523062E-3</v>
      </c>
    </row>
    <row r="136" spans="2:4" x14ac:dyDescent="0.2">
      <c r="B136" s="16">
        <v>44469</v>
      </c>
      <c r="C136" s="23">
        <v>51.6830863952637</v>
      </c>
      <c r="D136" s="25">
        <f t="shared" si="4"/>
        <v>-4.5579387168968769E-2</v>
      </c>
    </row>
    <row r="137" spans="2:4" x14ac:dyDescent="0.2">
      <c r="B137" s="16">
        <v>44500</v>
      </c>
      <c r="C137" s="23">
        <v>49.3199272155762</v>
      </c>
      <c r="D137" s="25">
        <f t="shared" si="4"/>
        <v>-4.5724033615454955E-2</v>
      </c>
    </row>
    <row r="138" spans="2:4" x14ac:dyDescent="0.2">
      <c r="B138" s="16">
        <v>44530</v>
      </c>
      <c r="C138" s="23">
        <v>45.503875732421903</v>
      </c>
      <c r="D138" s="25">
        <f t="shared" si="4"/>
        <v>-7.7373420817805114E-2</v>
      </c>
    </row>
    <row r="139" spans="2:4" x14ac:dyDescent="0.2">
      <c r="B139" s="16">
        <v>44561</v>
      </c>
      <c r="C139" s="23">
        <v>47.779502868652301</v>
      </c>
      <c r="D139" s="25">
        <f t="shared" si="4"/>
        <v>5.0009523356029074E-2</v>
      </c>
    </row>
    <row r="140" spans="2:4" x14ac:dyDescent="0.2">
      <c r="B140" s="16">
        <v>44592</v>
      </c>
      <c r="C140" s="23">
        <v>48.357162475585902</v>
      </c>
      <c r="D140" s="25">
        <f t="shared" si="4"/>
        <v>1.209011338024193E-2</v>
      </c>
    </row>
    <row r="141" spans="2:4" x14ac:dyDescent="0.2">
      <c r="B141" s="16">
        <v>44620</v>
      </c>
      <c r="C141" s="23">
        <v>47.534435272216797</v>
      </c>
      <c r="D141" s="25">
        <f t="shared" si="4"/>
        <v>-1.7013554171721214E-2</v>
      </c>
    </row>
    <row r="142" spans="2:4" x14ac:dyDescent="0.2">
      <c r="B142" s="16">
        <v>44651</v>
      </c>
      <c r="C142" s="23">
        <v>43.7883911132813</v>
      </c>
      <c r="D142" s="25">
        <f t="shared" si="4"/>
        <v>-7.8806956209386311E-2</v>
      </c>
    </row>
    <row r="143" spans="2:4" x14ac:dyDescent="0.2">
      <c r="B143" s="16">
        <v>44681</v>
      </c>
      <c r="C143" s="23">
        <v>50.4489936828613</v>
      </c>
      <c r="D143" s="25">
        <f t="shared" si="4"/>
        <v>0.15210886721891448</v>
      </c>
    </row>
    <row r="144" spans="2:4" x14ac:dyDescent="0.2">
      <c r="B144" s="16">
        <v>44712</v>
      </c>
      <c r="C144" s="23">
        <v>47.902030944824197</v>
      </c>
      <c r="D144" s="25">
        <f t="shared" si="4"/>
        <v>-5.0485897777230886E-2</v>
      </c>
    </row>
    <row r="145" spans="2:4" x14ac:dyDescent="0.2">
      <c r="B145" s="16">
        <v>44742</v>
      </c>
      <c r="C145" s="23">
        <v>48.291683197021499</v>
      </c>
      <c r="D145" s="25">
        <f t="shared" si="4"/>
        <v>8.1343576569043782E-3</v>
      </c>
    </row>
    <row r="146" spans="2:4" x14ac:dyDescent="0.2">
      <c r="B146" s="16">
        <v>44773</v>
      </c>
      <c r="C146" s="23">
        <v>48.790378570556598</v>
      </c>
      <c r="D146" s="25">
        <f t="shared" si="4"/>
        <v>1.0326734139717408E-2</v>
      </c>
    </row>
    <row r="147" spans="2:4" x14ac:dyDescent="0.2">
      <c r="B147" s="16">
        <v>44804</v>
      </c>
      <c r="C147" s="23">
        <v>47.611648559570298</v>
      </c>
      <c r="D147" s="25">
        <f t="shared" si="4"/>
        <v>-2.4159066716027182E-2</v>
      </c>
    </row>
    <row r="148" spans="2:4" x14ac:dyDescent="0.2">
      <c r="B148" s="16">
        <v>44834</v>
      </c>
      <c r="C148" s="23">
        <v>44.0391845703125</v>
      </c>
      <c r="D148" s="25">
        <f t="shared" si="4"/>
        <v>-7.5033402483176692E-2</v>
      </c>
    </row>
    <row r="149" spans="2:4" x14ac:dyDescent="0.2">
      <c r="B149" s="16">
        <v>44865</v>
      </c>
      <c r="C149" s="23">
        <v>45.644073486328097</v>
      </c>
      <c r="D149" s="25">
        <f t="shared" si="4"/>
        <v>3.6442294099547821E-2</v>
      </c>
    </row>
    <row r="150" spans="2:4" x14ac:dyDescent="0.2">
      <c r="B150" s="16">
        <v>44895</v>
      </c>
      <c r="C150" s="23">
        <v>45.408329010009801</v>
      </c>
      <c r="D150" s="25">
        <f t="shared" si="4"/>
        <v>-5.1648430631176826E-3</v>
      </c>
    </row>
    <row r="151" spans="2:4" x14ac:dyDescent="0.2">
      <c r="B151" s="16">
        <v>44926</v>
      </c>
      <c r="C151" s="23">
        <v>44.637619018554702</v>
      </c>
      <c r="D151" s="25">
        <f t="shared" si="4"/>
        <v>-1.6972877184826693E-2</v>
      </c>
    </row>
    <row r="152" spans="2:4" x14ac:dyDescent="0.2">
      <c r="B152" s="16">
        <v>44957</v>
      </c>
      <c r="C152" s="23">
        <v>45.616874694824197</v>
      </c>
      <c r="D152" s="25">
        <f t="shared" si="4"/>
        <v>2.1937901209794469E-2</v>
      </c>
    </row>
    <row r="153" spans="2:4" x14ac:dyDescent="0.2">
      <c r="B153" s="16">
        <v>44985</v>
      </c>
      <c r="C153" s="23">
        <v>48.273551940917997</v>
      </c>
      <c r="D153" s="25">
        <f t="shared" si="4"/>
        <v>5.8238914083152495E-2</v>
      </c>
    </row>
    <row r="154" spans="2:4" x14ac:dyDescent="0.2">
      <c r="B154" s="16">
        <v>45016</v>
      </c>
      <c r="C154" s="23">
        <v>51.963882446289098</v>
      </c>
      <c r="D154" s="25">
        <f t="shared" si="4"/>
        <v>7.6446218622729406E-2</v>
      </c>
    </row>
    <row r="155" spans="2:4" x14ac:dyDescent="0.2">
      <c r="B155" s="16">
        <v>45046</v>
      </c>
      <c r="C155" s="23">
        <v>54.393878936767599</v>
      </c>
      <c r="D155" s="25">
        <f t="shared" si="4"/>
        <v>4.6763181965669982E-2</v>
      </c>
    </row>
    <row r="156" spans="2:4" x14ac:dyDescent="0.2">
      <c r="B156" s="16">
        <v>45077</v>
      </c>
      <c r="C156" s="23">
        <v>50.177654266357401</v>
      </c>
      <c r="D156" s="25">
        <f t="shared" si="4"/>
        <v>-7.7512851681556347E-2</v>
      </c>
    </row>
    <row r="157" spans="2:4" x14ac:dyDescent="0.2">
      <c r="B157" s="16">
        <v>45107</v>
      </c>
      <c r="C157" s="23">
        <v>52.643894195556598</v>
      </c>
      <c r="D157" s="25">
        <f t="shared" si="4"/>
        <v>4.9150163857953337E-2</v>
      </c>
    </row>
    <row r="158" spans="2:4" x14ac:dyDescent="0.2">
      <c r="B158" s="16">
        <v>45138</v>
      </c>
      <c r="C158" s="23">
        <v>52.0718803405762</v>
      </c>
      <c r="D158" s="25">
        <f t="shared" si="4"/>
        <v>-1.0865720777713257E-2</v>
      </c>
    </row>
    <row r="159" spans="2:4" x14ac:dyDescent="0.2">
      <c r="B159" s="16">
        <v>45169</v>
      </c>
      <c r="C159" s="23">
        <v>50.477748870849602</v>
      </c>
      <c r="D159" s="25">
        <f t="shared" si="4"/>
        <v>-3.0614056171971878E-2</v>
      </c>
    </row>
    <row r="160" spans="2:4" x14ac:dyDescent="0.2">
      <c r="B160" s="16">
        <v>45199</v>
      </c>
      <c r="C160" s="23">
        <v>49.005519866943402</v>
      </c>
      <c r="D160" s="25">
        <f t="shared" si="4"/>
        <v>-2.9165900556956056E-2</v>
      </c>
    </row>
    <row r="161" spans="2:4" x14ac:dyDescent="0.2">
      <c r="B161" s="16">
        <v>45230</v>
      </c>
      <c r="C161" s="23">
        <v>52.653270721435597</v>
      </c>
      <c r="D161" s="25">
        <f t="shared" si="4"/>
        <v>7.4435509803718644E-2</v>
      </c>
    </row>
    <row r="162" spans="2:4" x14ac:dyDescent="0.2">
      <c r="B162" s="16">
        <v>45260</v>
      </c>
      <c r="C162" s="23">
        <v>55.297660827636697</v>
      </c>
      <c r="D162" s="25">
        <f t="shared" si="4"/>
        <v>5.022271304267803E-2</v>
      </c>
    </row>
    <row r="163" spans="2:4" x14ac:dyDescent="0.2">
      <c r="B163" s="16">
        <v>45291</v>
      </c>
      <c r="C163" s="23">
        <v>55.025714874267599</v>
      </c>
      <c r="D163" s="25">
        <f t="shared" si="4"/>
        <v>-4.917856366777538E-3</v>
      </c>
    </row>
    <row r="164" spans="2:4" x14ac:dyDescent="0.2">
      <c r="B164" s="16">
        <v>45322</v>
      </c>
      <c r="C164" s="23">
        <v>57.895156860351598</v>
      </c>
      <c r="D164" s="25">
        <f t="shared" ref="D164:D183" si="5">(C164-C163)/C163</f>
        <v>5.2147291364421214E-2</v>
      </c>
    </row>
    <row r="165" spans="2:4" x14ac:dyDescent="0.2">
      <c r="B165" s="16">
        <v>45351</v>
      </c>
      <c r="C165" s="23">
        <v>55.3445434570313</v>
      </c>
      <c r="D165" s="25">
        <f t="shared" si="5"/>
        <v>-4.4055730075533102E-2</v>
      </c>
    </row>
    <row r="166" spans="2:4" x14ac:dyDescent="0.2">
      <c r="B166" s="16">
        <v>45382</v>
      </c>
      <c r="C166" s="23">
        <v>56.160362243652301</v>
      </c>
      <c r="D166" s="25">
        <f t="shared" si="5"/>
        <v>1.4740726649130122E-2</v>
      </c>
    </row>
    <row r="167" spans="2:4" x14ac:dyDescent="0.2">
      <c r="B167" s="16">
        <v>45412</v>
      </c>
      <c r="C167" s="23">
        <v>55.006961822509801</v>
      </c>
      <c r="D167" s="25">
        <f t="shared" si="5"/>
        <v>-2.0537624314787367E-2</v>
      </c>
    </row>
    <row r="168" spans="2:4" x14ac:dyDescent="0.2">
      <c r="B168" s="16">
        <v>45443</v>
      </c>
      <c r="C168" s="23">
        <v>55.438316345214801</v>
      </c>
      <c r="D168" s="25">
        <f t="shared" si="5"/>
        <v>7.8418168975928106E-3</v>
      </c>
    </row>
    <row r="169" spans="2:4" x14ac:dyDescent="0.2">
      <c r="B169" s="16">
        <v>45473</v>
      </c>
      <c r="C169" s="23">
        <v>55.4849662780762</v>
      </c>
      <c r="D169" s="25">
        <f t="shared" si="5"/>
        <v>8.4147456013832932E-4</v>
      </c>
    </row>
    <row r="170" spans="2:4" x14ac:dyDescent="0.2">
      <c r="B170" s="16">
        <v>45504</v>
      </c>
      <c r="C170" s="23">
        <v>58.478897094726598</v>
      </c>
      <c r="D170" s="25">
        <f t="shared" si="5"/>
        <v>5.3959315783767378E-2</v>
      </c>
    </row>
    <row r="171" spans="2:4" x14ac:dyDescent="0.2">
      <c r="B171" s="16">
        <v>45535</v>
      </c>
      <c r="C171" s="23">
        <v>61.045124053955099</v>
      </c>
      <c r="D171" s="25">
        <f t="shared" si="5"/>
        <v>4.3882957557691595E-2</v>
      </c>
    </row>
    <row r="172" spans="2:4" x14ac:dyDescent="0.2">
      <c r="B172" s="16">
        <v>45565</v>
      </c>
      <c r="C172" s="23">
        <v>63.514144897460902</v>
      </c>
      <c r="D172" s="25">
        <f t="shared" si="5"/>
        <v>4.0445832190029521E-2</v>
      </c>
    </row>
    <row r="173" spans="2:4" x14ac:dyDescent="0.2">
      <c r="B173" s="16">
        <v>45596</v>
      </c>
      <c r="C173" s="23">
        <v>63.864086151123097</v>
      </c>
      <c r="D173" s="25">
        <f t="shared" si="5"/>
        <v>5.509658584353927E-3</v>
      </c>
    </row>
    <row r="174" spans="2:4" x14ac:dyDescent="0.2">
      <c r="B174" s="16">
        <v>45626</v>
      </c>
      <c r="C174" s="23">
        <v>62.853153228759801</v>
      </c>
      <c r="D174" s="25">
        <f t="shared" si="5"/>
        <v>-1.5829443170471445E-2</v>
      </c>
    </row>
    <row r="175" spans="2:4" x14ac:dyDescent="0.2">
      <c r="B175" s="16">
        <v>45657</v>
      </c>
      <c r="C175" s="23">
        <v>63.300300598144503</v>
      </c>
      <c r="D175" s="25">
        <f t="shared" si="5"/>
        <v>7.1141596946977014E-3</v>
      </c>
    </row>
    <row r="176" spans="2:4" x14ac:dyDescent="0.2">
      <c r="B176" s="16">
        <v>45688</v>
      </c>
      <c r="C176" s="23">
        <v>65.594352722167997</v>
      </c>
      <c r="D176" s="25">
        <f t="shared" si="5"/>
        <v>3.6240777726902915E-2</v>
      </c>
    </row>
    <row r="177" spans="2:4" x14ac:dyDescent="0.2">
      <c r="B177" s="16">
        <v>45716</v>
      </c>
      <c r="C177" s="23">
        <v>66.935783386230497</v>
      </c>
      <c r="D177" s="25">
        <f t="shared" si="5"/>
        <v>2.045039867599998E-2</v>
      </c>
    </row>
    <row r="178" spans="2:4" x14ac:dyDescent="0.2">
      <c r="B178" s="16">
        <v>45747</v>
      </c>
      <c r="C178" s="23">
        <v>68.860450744628906</v>
      </c>
      <c r="D178" s="25">
        <f t="shared" si="5"/>
        <v>2.8753937894366026E-2</v>
      </c>
    </row>
    <row r="179" spans="2:4" x14ac:dyDescent="0.2">
      <c r="B179" s="16">
        <v>45777</v>
      </c>
      <c r="C179" s="23">
        <v>73.837387084960895</v>
      </c>
      <c r="D179" s="25">
        <f t="shared" si="5"/>
        <v>7.2275686355715407E-2</v>
      </c>
    </row>
    <row r="180" spans="2:4" x14ac:dyDescent="0.2">
      <c r="B180" s="16">
        <v>45808</v>
      </c>
      <c r="C180" s="23">
        <v>73.137504577636705</v>
      </c>
      <c r="D180" s="25">
        <f t="shared" si="5"/>
        <v>-9.4787008987583955E-3</v>
      </c>
    </row>
    <row r="181" spans="2:4" x14ac:dyDescent="0.2">
      <c r="B181" s="16">
        <v>45838</v>
      </c>
      <c r="C181" s="23">
        <v>69.360000610351605</v>
      </c>
      <c r="D181" s="25">
        <f t="shared" si="5"/>
        <v>-5.1649341731029592E-2</v>
      </c>
    </row>
    <row r="182" spans="2:4" x14ac:dyDescent="0.2">
      <c r="B182" s="16">
        <v>45869</v>
      </c>
      <c r="C182" s="23">
        <v>71.879997253417997</v>
      </c>
      <c r="D182" s="25">
        <f t="shared" si="5"/>
        <v>3.6332131212384912E-2</v>
      </c>
    </row>
    <row r="183" spans="2:4" x14ac:dyDescent="0.2">
      <c r="B183" s="16">
        <v>45900</v>
      </c>
      <c r="C183" s="23">
        <v>71.180000305175795</v>
      </c>
      <c r="D183" s="25">
        <f t="shared" si="5"/>
        <v>-9.73841089300982E-3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7" tint="0.79998168889431442"/>
  </sheetPr>
  <dimension ref="B2:D183"/>
  <sheetViews>
    <sheetView showGridLines="0" workbookViewId="0">
      <selection activeCell="N31" sqref="N31"/>
    </sheetView>
  </sheetViews>
  <sheetFormatPr baseColWidth="10" defaultColWidth="10.83203125" defaultRowHeight="15" x14ac:dyDescent="0.2"/>
  <cols>
    <col min="3" max="3" width="12.6640625" bestFit="1" customWidth="1"/>
  </cols>
  <sheetData>
    <row r="2" spans="2:4" x14ac:dyDescent="0.2">
      <c r="B2" s="21" t="s">
        <v>308</v>
      </c>
      <c r="C2" t="s">
        <v>26</v>
      </c>
      <c r="D2" t="s">
        <v>310</v>
      </c>
    </row>
    <row r="3" spans="2:4" x14ac:dyDescent="0.2">
      <c r="B3" s="16" t="s">
        <v>237</v>
      </c>
      <c r="C3" s="23">
        <v>8.8256368637084996</v>
      </c>
    </row>
    <row r="4" spans="2:4" x14ac:dyDescent="0.2">
      <c r="B4" s="16">
        <v>40451</v>
      </c>
      <c r="C4" s="23">
        <v>9.4848079681396502</v>
      </c>
      <c r="D4" s="25">
        <f t="shared" ref="D4:D35" si="0">(C4-C3)/C3</f>
        <v>7.4688219627718669E-2</v>
      </c>
    </row>
    <row r="5" spans="2:4" x14ac:dyDescent="0.2">
      <c r="B5" s="16">
        <v>40482</v>
      </c>
      <c r="C5" s="23">
        <v>10.358884811401399</v>
      </c>
      <c r="D5" s="25">
        <f t="shared" si="0"/>
        <v>9.2155460205188569E-2</v>
      </c>
    </row>
    <row r="6" spans="2:4" x14ac:dyDescent="0.2">
      <c r="B6" s="16">
        <v>40512</v>
      </c>
      <c r="C6" s="23">
        <v>9.2283649444580096</v>
      </c>
      <c r="D6" s="25">
        <f t="shared" si="0"/>
        <v>-0.10913528700493846</v>
      </c>
    </row>
    <row r="7" spans="2:4" x14ac:dyDescent="0.2">
      <c r="B7" s="16">
        <v>40543</v>
      </c>
      <c r="C7" s="23">
        <v>9.9849729537963903</v>
      </c>
      <c r="D7" s="25">
        <f t="shared" si="0"/>
        <v>8.1987222426953665E-2</v>
      </c>
    </row>
    <row r="8" spans="2:4" x14ac:dyDescent="0.2">
      <c r="B8" s="16">
        <v>40574</v>
      </c>
      <c r="C8" s="23">
        <v>10.775215148925801</v>
      </c>
      <c r="D8" s="25">
        <f t="shared" si="0"/>
        <v>7.9143148287542653E-2</v>
      </c>
    </row>
    <row r="9" spans="2:4" x14ac:dyDescent="0.2">
      <c r="B9" s="16">
        <v>40602</v>
      </c>
      <c r="C9" s="23">
        <v>10.9239692687988</v>
      </c>
      <c r="D9" s="25">
        <f t="shared" si="0"/>
        <v>1.3805211108738599E-2</v>
      </c>
    </row>
    <row r="10" spans="2:4" x14ac:dyDescent="0.2">
      <c r="B10" s="16">
        <v>40633</v>
      </c>
      <c r="C10" s="23">
        <v>10.6915435791016</v>
      </c>
      <c r="D10" s="25">
        <f t="shared" si="0"/>
        <v>-2.1276670043466485E-2</v>
      </c>
    </row>
    <row r="11" spans="2:4" x14ac:dyDescent="0.2">
      <c r="B11" s="16">
        <v>40663</v>
      </c>
      <c r="C11" s="23">
        <v>10.273180961608899</v>
      </c>
      <c r="D11" s="25">
        <f t="shared" si="0"/>
        <v>-3.9130235442378966E-2</v>
      </c>
    </row>
    <row r="12" spans="2:4" x14ac:dyDescent="0.2">
      <c r="B12" s="16">
        <v>40694</v>
      </c>
      <c r="C12" s="23">
        <v>9.50524806976318</v>
      </c>
      <c r="D12" s="25">
        <f t="shared" si="0"/>
        <v>-7.4751227951254925E-2</v>
      </c>
    </row>
    <row r="13" spans="2:4" x14ac:dyDescent="0.2">
      <c r="B13" s="16">
        <v>40724</v>
      </c>
      <c r="C13" s="23">
        <v>9.6160144805908203</v>
      </c>
      <c r="D13" s="25">
        <f t="shared" si="0"/>
        <v>1.1653184642281511E-2</v>
      </c>
    </row>
    <row r="14" spans="2:4" x14ac:dyDescent="0.2">
      <c r="B14" s="16">
        <v>40755</v>
      </c>
      <c r="C14" s="23">
        <v>8.6995687484741193</v>
      </c>
      <c r="D14" s="25">
        <f t="shared" si="0"/>
        <v>-9.5304113150669195E-2</v>
      </c>
    </row>
    <row r="15" spans="2:4" x14ac:dyDescent="0.2">
      <c r="B15" s="16">
        <v>40786</v>
      </c>
      <c r="C15" s="23">
        <v>8.3718585968017596</v>
      </c>
      <c r="D15" s="25">
        <f t="shared" si="0"/>
        <v>-3.7669700780264444E-2</v>
      </c>
    </row>
    <row r="16" spans="2:4" x14ac:dyDescent="0.2">
      <c r="B16" s="16">
        <v>40816</v>
      </c>
      <c r="C16" s="23">
        <v>8.5509567260742205</v>
      </c>
      <c r="D16" s="25">
        <f t="shared" si="0"/>
        <v>2.1392875572561688E-2</v>
      </c>
    </row>
    <row r="17" spans="2:4" x14ac:dyDescent="0.2">
      <c r="B17" s="16">
        <v>40847</v>
      </c>
      <c r="C17" s="23">
        <v>7.8174171447753897</v>
      </c>
      <c r="D17" s="25">
        <f t="shared" si="0"/>
        <v>-8.5784503979778867E-2</v>
      </c>
    </row>
    <row r="18" spans="2:4" x14ac:dyDescent="0.2">
      <c r="B18" s="16">
        <v>40877</v>
      </c>
      <c r="C18" s="23">
        <v>7.9203028678893999</v>
      </c>
      <c r="D18" s="25">
        <f t="shared" si="0"/>
        <v>1.3161089041125519E-2</v>
      </c>
    </row>
    <row r="19" spans="2:4" x14ac:dyDescent="0.2">
      <c r="B19" s="16">
        <v>40908</v>
      </c>
      <c r="C19" s="23">
        <v>8.3950510025024396</v>
      </c>
      <c r="D19" s="25">
        <f t="shared" si="0"/>
        <v>5.9940654105257785E-2</v>
      </c>
    </row>
    <row r="20" spans="2:4" x14ac:dyDescent="0.2">
      <c r="B20" s="16">
        <v>40939</v>
      </c>
      <c r="C20" s="23">
        <v>8.2479782104492205</v>
      </c>
      <c r="D20" s="25">
        <f t="shared" si="0"/>
        <v>-1.7518987318764223E-2</v>
      </c>
    </row>
    <row r="21" spans="2:4" x14ac:dyDescent="0.2">
      <c r="B21" s="16">
        <v>40968</v>
      </c>
      <c r="C21" s="23">
        <v>7.7391877174377397</v>
      </c>
      <c r="D21" s="25">
        <f t="shared" si="0"/>
        <v>-6.1686692184383198E-2</v>
      </c>
    </row>
    <row r="22" spans="2:4" x14ac:dyDescent="0.2">
      <c r="B22" s="16">
        <v>40999</v>
      </c>
      <c r="C22" s="23">
        <v>7.6994385719299299</v>
      </c>
      <c r="D22" s="25">
        <f t="shared" si="0"/>
        <v>-5.1360875274091208E-3</v>
      </c>
    </row>
    <row r="23" spans="2:4" x14ac:dyDescent="0.2">
      <c r="B23" s="16">
        <v>41029</v>
      </c>
      <c r="C23" s="23">
        <v>6.9124011993408203</v>
      </c>
      <c r="D23" s="25">
        <f t="shared" si="0"/>
        <v>-0.10222009893791931</v>
      </c>
    </row>
    <row r="24" spans="2:4" x14ac:dyDescent="0.2">
      <c r="B24" s="16">
        <v>41060</v>
      </c>
      <c r="C24" s="23">
        <v>6.5918879508972203</v>
      </c>
      <c r="D24" s="25">
        <f t="shared" si="0"/>
        <v>-4.6367859619341062E-2</v>
      </c>
    </row>
    <row r="25" spans="2:4" x14ac:dyDescent="0.2">
      <c r="B25" s="16">
        <v>41090</v>
      </c>
      <c r="C25" s="23">
        <v>7.7390208244323704</v>
      </c>
      <c r="D25" s="25">
        <f t="shared" si="0"/>
        <v>0.17402190117309474</v>
      </c>
    </row>
    <row r="26" spans="2:4" x14ac:dyDescent="0.2">
      <c r="B26" s="16">
        <v>41121</v>
      </c>
      <c r="C26" s="23">
        <v>7.5038161277770996</v>
      </c>
      <c r="D26" s="25">
        <f t="shared" si="0"/>
        <v>-3.0392048553832676E-2</v>
      </c>
    </row>
    <row r="27" spans="2:4" x14ac:dyDescent="0.2">
      <c r="B27" s="16">
        <v>41152</v>
      </c>
      <c r="C27" s="23">
        <v>8.0773830413818395</v>
      </c>
      <c r="D27" s="25">
        <f t="shared" si="0"/>
        <v>7.6436696187363942E-2</v>
      </c>
    </row>
    <row r="28" spans="2:4" x14ac:dyDescent="0.2">
      <c r="B28" s="16">
        <v>41182</v>
      </c>
      <c r="C28" s="23">
        <v>7.1798958778381401</v>
      </c>
      <c r="D28" s="25">
        <f t="shared" si="0"/>
        <v>-0.11111113078898406</v>
      </c>
    </row>
    <row r="29" spans="2:4" x14ac:dyDescent="0.2">
      <c r="B29" s="16">
        <v>41213</v>
      </c>
      <c r="C29" s="23">
        <v>7.6311464309692401</v>
      </c>
      <c r="D29" s="25">
        <f t="shared" si="0"/>
        <v>6.2849177872335821E-2</v>
      </c>
    </row>
    <row r="30" spans="2:4" x14ac:dyDescent="0.2">
      <c r="B30" s="16">
        <v>41243</v>
      </c>
      <c r="C30" s="23">
        <v>7.4544324874877903</v>
      </c>
      <c r="D30" s="25">
        <f t="shared" si="0"/>
        <v>-2.3156932589354747E-2</v>
      </c>
    </row>
    <row r="31" spans="2:4" x14ac:dyDescent="0.2">
      <c r="B31" s="16">
        <v>41274</v>
      </c>
      <c r="C31" s="23">
        <v>6.7130813598632804</v>
      </c>
      <c r="D31" s="25">
        <f t="shared" si="0"/>
        <v>-9.9451048603480183E-2</v>
      </c>
    </row>
    <row r="32" spans="2:4" x14ac:dyDescent="0.2">
      <c r="B32" s="16">
        <v>41305</v>
      </c>
      <c r="C32" s="23">
        <v>6.5126605033874503</v>
      </c>
      <c r="D32" s="25">
        <f t="shared" si="0"/>
        <v>-2.9855269991828592E-2</v>
      </c>
    </row>
    <row r="33" spans="2:4" x14ac:dyDescent="0.2">
      <c r="B33" s="16">
        <v>41333</v>
      </c>
      <c r="C33" s="23">
        <v>6.2411189079284703</v>
      </c>
      <c r="D33" s="25">
        <f t="shared" si="0"/>
        <v>-4.1694418942572267E-2</v>
      </c>
    </row>
    <row r="34" spans="2:4" x14ac:dyDescent="0.2">
      <c r="B34" s="16">
        <v>41364</v>
      </c>
      <c r="C34" s="23">
        <v>6.4738678932189897</v>
      </c>
      <c r="D34" s="25">
        <f t="shared" si="0"/>
        <v>3.7292829815314725E-2</v>
      </c>
    </row>
    <row r="35" spans="2:4" x14ac:dyDescent="0.2">
      <c r="B35" s="16">
        <v>41394</v>
      </c>
      <c r="C35" s="23">
        <v>7.0255699157714799</v>
      </c>
      <c r="D35" s="25">
        <f t="shared" si="0"/>
        <v>8.5219845639786213E-2</v>
      </c>
    </row>
    <row r="36" spans="2:4" x14ac:dyDescent="0.2">
      <c r="B36" s="16">
        <v>41425</v>
      </c>
      <c r="C36" s="23">
        <v>7.0741167068481401</v>
      </c>
      <c r="D36" s="25">
        <f t="shared" ref="D36:D67" si="1">(C36-C35)/C35</f>
        <v>6.9100146548508471E-3</v>
      </c>
    </row>
    <row r="37" spans="2:4" x14ac:dyDescent="0.2">
      <c r="B37" s="16">
        <v>41455</v>
      </c>
      <c r="C37" s="23">
        <v>6.75746774673462</v>
      </c>
      <c r="D37" s="25">
        <f t="shared" si="1"/>
        <v>-4.4761625123739643E-2</v>
      </c>
    </row>
    <row r="38" spans="2:4" x14ac:dyDescent="0.2">
      <c r="B38" s="16">
        <v>41486</v>
      </c>
      <c r="C38" s="23">
        <v>7.0831017494201696</v>
      </c>
      <c r="D38" s="25">
        <f t="shared" si="1"/>
        <v>4.8188761661926413E-2</v>
      </c>
    </row>
    <row r="39" spans="2:4" x14ac:dyDescent="0.2">
      <c r="B39" s="16">
        <v>41517</v>
      </c>
      <c r="C39" s="23">
        <v>7.36606645584106</v>
      </c>
      <c r="D39" s="25">
        <f t="shared" si="1"/>
        <v>3.9949264662766458E-2</v>
      </c>
    </row>
    <row r="40" spans="2:4" x14ac:dyDescent="0.2">
      <c r="B40" s="16">
        <v>41547</v>
      </c>
      <c r="C40" s="23">
        <v>8.3407220840454102</v>
      </c>
      <c r="D40" s="25">
        <f t="shared" si="1"/>
        <v>0.13231697460881292</v>
      </c>
    </row>
    <row r="41" spans="2:4" x14ac:dyDescent="0.2">
      <c r="B41" s="16">
        <v>41578</v>
      </c>
      <c r="C41" s="23">
        <v>8.2374162673950195</v>
      </c>
      <c r="D41" s="25">
        <f t="shared" si="1"/>
        <v>-1.2385716201718272E-2</v>
      </c>
    </row>
    <row r="42" spans="2:4" x14ac:dyDescent="0.2">
      <c r="B42" s="16">
        <v>41608</v>
      </c>
      <c r="C42" s="23">
        <v>7.6669960021972701</v>
      </c>
      <c r="D42" s="25">
        <f t="shared" si="1"/>
        <v>-6.9247473562257869E-2</v>
      </c>
    </row>
    <row r="43" spans="2:4" x14ac:dyDescent="0.2">
      <c r="B43" s="16">
        <v>41639</v>
      </c>
      <c r="C43" s="23">
        <v>8.0381765365600604</v>
      </c>
      <c r="D43" s="25">
        <f t="shared" si="1"/>
        <v>4.8412772649994128E-2</v>
      </c>
    </row>
    <row r="44" spans="2:4" x14ac:dyDescent="0.2">
      <c r="B44" s="16">
        <v>41670</v>
      </c>
      <c r="C44" s="23">
        <v>7.7043309211731001</v>
      </c>
      <c r="D44" s="25">
        <f t="shared" si="1"/>
        <v>-4.1532506019061576E-2</v>
      </c>
    </row>
    <row r="45" spans="2:4" x14ac:dyDescent="0.2">
      <c r="B45" s="16">
        <v>41698</v>
      </c>
      <c r="C45" s="23">
        <v>8.7411355972290004</v>
      </c>
      <c r="D45" s="25">
        <f t="shared" si="1"/>
        <v>0.13457426565187455</v>
      </c>
    </row>
    <row r="46" spans="2:4" x14ac:dyDescent="0.2">
      <c r="B46" s="16">
        <v>41729</v>
      </c>
      <c r="C46" s="23">
        <v>9.3382959365844709</v>
      </c>
      <c r="D46" s="25">
        <f t="shared" si="1"/>
        <v>6.8316105237490474E-2</v>
      </c>
    </row>
    <row r="47" spans="2:4" x14ac:dyDescent="0.2">
      <c r="B47" s="16">
        <v>41759</v>
      </c>
      <c r="C47" s="23">
        <v>8.5459995269775408</v>
      </c>
      <c r="D47" s="25">
        <f t="shared" si="1"/>
        <v>-8.4843788951147386E-2</v>
      </c>
    </row>
    <row r="48" spans="2:4" x14ac:dyDescent="0.2">
      <c r="B48" s="16">
        <v>41790</v>
      </c>
      <c r="C48" s="23">
        <v>9.9850234985351598</v>
      </c>
      <c r="D48" s="25">
        <f t="shared" si="1"/>
        <v>0.16838568350196922</v>
      </c>
    </row>
    <row r="49" spans="2:4" x14ac:dyDescent="0.2">
      <c r="B49" s="16">
        <v>41820</v>
      </c>
      <c r="C49" s="23">
        <v>9.7997970581054705</v>
      </c>
      <c r="D49" s="25">
        <f t="shared" si="1"/>
        <v>-1.8550426091321938E-2</v>
      </c>
    </row>
    <row r="50" spans="2:4" x14ac:dyDescent="0.2">
      <c r="B50" s="16">
        <v>41851</v>
      </c>
      <c r="C50" s="23">
        <v>9.3830432891845703</v>
      </c>
      <c r="D50" s="25">
        <f t="shared" si="1"/>
        <v>-4.2526775447477322E-2</v>
      </c>
    </row>
    <row r="51" spans="2:4" x14ac:dyDescent="0.2">
      <c r="B51" s="16">
        <v>41882</v>
      </c>
      <c r="C51" s="23">
        <v>9.1368932723999006</v>
      </c>
      <c r="D51" s="25">
        <f t="shared" si="1"/>
        <v>-2.6233494741348604E-2</v>
      </c>
    </row>
    <row r="52" spans="2:4" x14ac:dyDescent="0.2">
      <c r="B52" s="16">
        <v>41912</v>
      </c>
      <c r="C52" s="23">
        <v>9.6803770065307599</v>
      </c>
      <c r="D52" s="25">
        <f t="shared" si="1"/>
        <v>5.948233364754054E-2</v>
      </c>
    </row>
    <row r="53" spans="2:4" x14ac:dyDescent="0.2">
      <c r="B53" s="16">
        <v>41943</v>
      </c>
      <c r="C53" s="23">
        <v>9.4342241287231499</v>
      </c>
      <c r="D53" s="25">
        <f t="shared" si="1"/>
        <v>-2.5428025958239616E-2</v>
      </c>
    </row>
    <row r="54" spans="2:4" x14ac:dyDescent="0.2">
      <c r="B54" s="16">
        <v>41973</v>
      </c>
      <c r="C54" s="23">
        <v>9.9266586303710902</v>
      </c>
      <c r="D54" s="25">
        <f t="shared" si="1"/>
        <v>5.2196608319775795E-2</v>
      </c>
    </row>
    <row r="55" spans="2:4" x14ac:dyDescent="0.2">
      <c r="B55" s="16">
        <v>42004</v>
      </c>
      <c r="C55" s="23">
        <v>9.7337865829467791</v>
      </c>
      <c r="D55" s="25">
        <f t="shared" si="1"/>
        <v>-1.9429704859015677E-2</v>
      </c>
    </row>
    <row r="56" spans="2:4" x14ac:dyDescent="0.2">
      <c r="B56" s="16">
        <v>42035</v>
      </c>
      <c r="C56" s="23">
        <v>9.8815717697143608</v>
      </c>
      <c r="D56" s="25">
        <f t="shared" si="1"/>
        <v>1.5182702590428237E-2</v>
      </c>
    </row>
    <row r="57" spans="2:4" x14ac:dyDescent="0.2">
      <c r="B57" s="16">
        <v>42063</v>
      </c>
      <c r="C57" s="23">
        <v>9.9567155838012695</v>
      </c>
      <c r="D57" s="25">
        <f t="shared" si="1"/>
        <v>7.6044394392007601E-3</v>
      </c>
    </row>
    <row r="58" spans="2:4" x14ac:dyDescent="0.2">
      <c r="B58" s="16">
        <v>42094</v>
      </c>
      <c r="C58" s="23">
        <v>9.2202959060668999</v>
      </c>
      <c r="D58" s="25">
        <f t="shared" si="1"/>
        <v>-7.3962108441910493E-2</v>
      </c>
    </row>
    <row r="59" spans="2:4" x14ac:dyDescent="0.2">
      <c r="B59" s="16">
        <v>42124</v>
      </c>
      <c r="C59" s="23">
        <v>9.1201019287109393</v>
      </c>
      <c r="D59" s="25">
        <f t="shared" si="1"/>
        <v>-1.08666769891879E-2</v>
      </c>
    </row>
    <row r="60" spans="2:4" x14ac:dyDescent="0.2">
      <c r="B60" s="16">
        <v>42155</v>
      </c>
      <c r="C60" s="23">
        <v>9.4576721191406303</v>
      </c>
      <c r="D60" s="25">
        <f t="shared" si="1"/>
        <v>3.701386158492246E-2</v>
      </c>
    </row>
    <row r="61" spans="2:4" x14ac:dyDescent="0.2">
      <c r="B61" s="16">
        <v>42185</v>
      </c>
      <c r="C61" s="23">
        <v>8.5646619796752894</v>
      </c>
      <c r="D61" s="25">
        <f t="shared" si="1"/>
        <v>-9.4421769777580752E-2</v>
      </c>
    </row>
    <row r="62" spans="2:4" x14ac:dyDescent="0.2">
      <c r="B62" s="16">
        <v>42216</v>
      </c>
      <c r="C62" s="23">
        <v>8.9995880126953107</v>
      </c>
      <c r="D62" s="25">
        <f t="shared" si="1"/>
        <v>5.0781459216036752E-2</v>
      </c>
    </row>
    <row r="63" spans="2:4" x14ac:dyDescent="0.2">
      <c r="B63" s="16">
        <v>42247</v>
      </c>
      <c r="C63" s="23">
        <v>8.2275314331054705</v>
      </c>
      <c r="D63" s="25">
        <f t="shared" si="1"/>
        <v>-8.5787991461468566E-2</v>
      </c>
    </row>
    <row r="64" spans="2:4" x14ac:dyDescent="0.2">
      <c r="B64" s="16">
        <v>42277</v>
      </c>
      <c r="C64" s="23">
        <v>7.4323148727417001</v>
      </c>
      <c r="D64" s="25">
        <f t="shared" si="1"/>
        <v>-9.6653117259938193E-2</v>
      </c>
    </row>
    <row r="65" spans="2:4" x14ac:dyDescent="0.2">
      <c r="B65" s="16">
        <v>42308</v>
      </c>
      <c r="C65" s="23">
        <v>8.2120904922485405</v>
      </c>
      <c r="D65" s="25">
        <f t="shared" si="1"/>
        <v>0.10491692465381107</v>
      </c>
    </row>
    <row r="66" spans="2:4" x14ac:dyDescent="0.2">
      <c r="B66" s="16">
        <v>42338</v>
      </c>
      <c r="C66" s="23">
        <v>8.7752647399902308</v>
      </c>
      <c r="D66" s="25">
        <f t="shared" si="1"/>
        <v>6.8578670470481926E-2</v>
      </c>
    </row>
    <row r="67" spans="2:4" x14ac:dyDescent="0.2">
      <c r="B67" s="16">
        <v>42369</v>
      </c>
      <c r="C67" s="23">
        <v>8.6874580383300799</v>
      </c>
      <c r="D67" s="25">
        <f t="shared" si="1"/>
        <v>-1.000615984381671E-2</v>
      </c>
    </row>
    <row r="68" spans="2:4" x14ac:dyDescent="0.2">
      <c r="B68" s="16">
        <v>42400</v>
      </c>
      <c r="C68" s="23">
        <v>7.8200435638427699</v>
      </c>
      <c r="D68" s="25">
        <f t="shared" ref="D68:D99" si="2">(C68-C67)/C67</f>
        <v>-9.98467527164075E-2</v>
      </c>
    </row>
    <row r="69" spans="2:4" x14ac:dyDescent="0.2">
      <c r="B69" s="16">
        <v>42429</v>
      </c>
      <c r="C69" s="23">
        <v>7.6018581390380904</v>
      </c>
      <c r="D69" s="25">
        <f t="shared" si="2"/>
        <v>-2.7900794033104231E-2</v>
      </c>
    </row>
    <row r="70" spans="2:4" x14ac:dyDescent="0.2">
      <c r="B70" s="16">
        <v>42460</v>
      </c>
      <c r="C70" s="23">
        <v>7.2586183547973597</v>
      </c>
      <c r="D70" s="25">
        <f t="shared" si="2"/>
        <v>-4.5152090181488559E-2</v>
      </c>
    </row>
    <row r="71" spans="2:4" x14ac:dyDescent="0.2">
      <c r="B71" s="16">
        <v>42490</v>
      </c>
      <c r="C71" s="23">
        <v>7.6630563735961896</v>
      </c>
      <c r="D71" s="25">
        <f t="shared" si="2"/>
        <v>5.5718319800011122E-2</v>
      </c>
    </row>
    <row r="72" spans="2:4" x14ac:dyDescent="0.2">
      <c r="B72" s="16">
        <v>42521</v>
      </c>
      <c r="C72" s="23">
        <v>7.3677110671997097</v>
      </c>
      <c r="D72" s="25">
        <f t="shared" si="2"/>
        <v>-3.854145030357875E-2</v>
      </c>
    </row>
    <row r="73" spans="2:4" x14ac:dyDescent="0.2">
      <c r="B73" s="16">
        <v>42551</v>
      </c>
      <c r="C73" s="23">
        <v>8.0116615295410192</v>
      </c>
      <c r="D73" s="25">
        <f t="shared" si="2"/>
        <v>8.74016986371942E-2</v>
      </c>
    </row>
    <row r="74" spans="2:4" x14ac:dyDescent="0.2">
      <c r="B74" s="16">
        <v>42582</v>
      </c>
      <c r="C74" s="23">
        <v>8.1303758621215803</v>
      </c>
      <c r="D74" s="25">
        <f t="shared" si="2"/>
        <v>1.4817691953514431E-2</v>
      </c>
    </row>
    <row r="75" spans="2:4" x14ac:dyDescent="0.2">
      <c r="B75" s="16">
        <v>42613</v>
      </c>
      <c r="C75" s="23">
        <v>7.8901906013488796</v>
      </c>
      <c r="D75" s="25">
        <f t="shared" si="2"/>
        <v>-2.9541716747892823E-2</v>
      </c>
    </row>
    <row r="76" spans="2:4" x14ac:dyDescent="0.2">
      <c r="B76" s="16">
        <v>42643</v>
      </c>
      <c r="C76" s="23">
        <v>7.6141157150268599</v>
      </c>
      <c r="D76" s="25">
        <f t="shared" si="2"/>
        <v>-3.4989634632504686E-2</v>
      </c>
    </row>
    <row r="77" spans="2:4" x14ac:dyDescent="0.2">
      <c r="B77" s="16">
        <v>42674</v>
      </c>
      <c r="C77" s="23">
        <v>7.2524600028991699</v>
      </c>
      <c r="D77" s="25">
        <f t="shared" si="2"/>
        <v>-4.749805829900159E-2</v>
      </c>
    </row>
    <row r="78" spans="2:4" x14ac:dyDescent="0.2">
      <c r="B78" s="16">
        <v>42704</v>
      </c>
      <c r="C78" s="23">
        <v>6.6846766471862802</v>
      </c>
      <c r="D78" s="25">
        <f t="shared" si="2"/>
        <v>-7.8288381526532849E-2</v>
      </c>
    </row>
    <row r="79" spans="2:4" x14ac:dyDescent="0.2">
      <c r="B79" s="16">
        <v>42735</v>
      </c>
      <c r="C79" s="23">
        <v>6.9543585777282697</v>
      </c>
      <c r="D79" s="25">
        <f t="shared" si="2"/>
        <v>4.0343302268106604E-2</v>
      </c>
    </row>
    <row r="80" spans="2:4" x14ac:dyDescent="0.2">
      <c r="B80" s="16">
        <v>42766</v>
      </c>
      <c r="C80" s="23">
        <v>6.3490085601806596</v>
      </c>
      <c r="D80" s="25">
        <f t="shared" si="2"/>
        <v>-8.7046132404831417E-2</v>
      </c>
    </row>
    <row r="81" spans="2:4" x14ac:dyDescent="0.2">
      <c r="B81" s="16">
        <v>42794</v>
      </c>
      <c r="C81" s="23">
        <v>6.62156105041504</v>
      </c>
      <c r="D81" s="25">
        <f t="shared" si="2"/>
        <v>4.2928354506207328E-2</v>
      </c>
    </row>
    <row r="82" spans="2:4" x14ac:dyDescent="0.2">
      <c r="B82" s="16">
        <v>42825</v>
      </c>
      <c r="C82" s="23">
        <v>7.6199574470520002</v>
      </c>
      <c r="D82" s="25">
        <f t="shared" si="2"/>
        <v>0.15077961058357692</v>
      </c>
    </row>
    <row r="83" spans="2:4" x14ac:dyDescent="0.2">
      <c r="B83" s="16">
        <v>42855</v>
      </c>
      <c r="C83" s="23">
        <v>7.4306063652038601</v>
      </c>
      <c r="D83" s="25">
        <f t="shared" si="2"/>
        <v>-2.4849362107841694E-2</v>
      </c>
    </row>
    <row r="84" spans="2:4" x14ac:dyDescent="0.2">
      <c r="B84" s="16">
        <v>42886</v>
      </c>
      <c r="C84" s="23">
        <v>7.7949628829956099</v>
      </c>
      <c r="D84" s="25">
        <f t="shared" si="2"/>
        <v>4.9034560557259937E-2</v>
      </c>
    </row>
    <row r="85" spans="2:4" x14ac:dyDescent="0.2">
      <c r="B85" s="16">
        <v>42916</v>
      </c>
      <c r="C85" s="23">
        <v>7.86517333984375</v>
      </c>
      <c r="D85" s="25">
        <f t="shared" si="2"/>
        <v>9.0071573017109947E-3</v>
      </c>
    </row>
    <row r="86" spans="2:4" x14ac:dyDescent="0.2">
      <c r="B86" s="16">
        <v>42947</v>
      </c>
      <c r="C86" s="23">
        <v>8.0972900390625</v>
      </c>
      <c r="D86" s="25">
        <f t="shared" si="2"/>
        <v>2.951196231656876E-2</v>
      </c>
    </row>
    <row r="87" spans="2:4" x14ac:dyDescent="0.2">
      <c r="B87" s="16">
        <v>42978</v>
      </c>
      <c r="C87" s="23">
        <v>8.3442869186401403</v>
      </c>
      <c r="D87" s="25">
        <f t="shared" si="2"/>
        <v>3.0503647317323641E-2</v>
      </c>
    </row>
    <row r="88" spans="2:4" x14ac:dyDescent="0.2">
      <c r="B88" s="16">
        <v>43008</v>
      </c>
      <c r="C88" s="23">
        <v>8.5525960922241193</v>
      </c>
      <c r="D88" s="25">
        <f t="shared" si="2"/>
        <v>2.4964287016382578E-2</v>
      </c>
    </row>
    <row r="89" spans="2:4" x14ac:dyDescent="0.2">
      <c r="B89" s="16">
        <v>43039</v>
      </c>
      <c r="C89" s="23">
        <v>8.6359195709228498</v>
      </c>
      <c r="D89" s="25">
        <f t="shared" si="2"/>
        <v>9.7424779330438412E-3</v>
      </c>
    </row>
    <row r="90" spans="2:4" x14ac:dyDescent="0.2">
      <c r="B90" s="16">
        <v>43069</v>
      </c>
      <c r="C90" s="23">
        <v>8.9699211120605504</v>
      </c>
      <c r="D90" s="25">
        <f t="shared" si="2"/>
        <v>3.8675851296981062E-2</v>
      </c>
    </row>
    <row r="91" spans="2:4" x14ac:dyDescent="0.2">
      <c r="B91" s="16">
        <v>43100</v>
      </c>
      <c r="C91" s="23">
        <v>8.7442255020141602</v>
      </c>
      <c r="D91" s="25">
        <f t="shared" si="2"/>
        <v>-2.5161381825636143E-2</v>
      </c>
    </row>
    <row r="92" spans="2:4" x14ac:dyDescent="0.2">
      <c r="B92" s="16">
        <v>43131</v>
      </c>
      <c r="C92" s="23">
        <v>8.5276775360107404</v>
      </c>
      <c r="D92" s="25">
        <f t="shared" si="2"/>
        <v>-2.4764682241273366E-2</v>
      </c>
    </row>
    <row r="93" spans="2:4" x14ac:dyDescent="0.2">
      <c r="B93" s="16">
        <v>43159</v>
      </c>
      <c r="C93" s="23">
        <v>7.85363721847534</v>
      </c>
      <c r="D93" s="25">
        <f t="shared" si="2"/>
        <v>-7.9041487519791634E-2</v>
      </c>
    </row>
    <row r="94" spans="2:4" x14ac:dyDescent="0.2">
      <c r="B94" s="16">
        <v>43190</v>
      </c>
      <c r="C94" s="23">
        <v>8.26843166351318</v>
      </c>
      <c r="D94" s="25">
        <f t="shared" si="2"/>
        <v>5.281558512303753E-2</v>
      </c>
    </row>
    <row r="95" spans="2:4" x14ac:dyDescent="0.2">
      <c r="B95" s="16">
        <v>43220</v>
      </c>
      <c r="C95" s="23">
        <v>8.8753738403320295</v>
      </c>
      <c r="D95" s="25">
        <f t="shared" si="2"/>
        <v>7.3404752136630141E-2</v>
      </c>
    </row>
    <row r="96" spans="2:4" x14ac:dyDescent="0.2">
      <c r="B96" s="16">
        <v>43251</v>
      </c>
      <c r="C96" s="23">
        <v>8.2562313079834002</v>
      </c>
      <c r="D96" s="25">
        <f t="shared" si="2"/>
        <v>-6.975960038269971E-2</v>
      </c>
    </row>
    <row r="97" spans="2:4" x14ac:dyDescent="0.2">
      <c r="B97" s="16">
        <v>43281</v>
      </c>
      <c r="C97" s="23">
        <v>8.2059020996093803</v>
      </c>
      <c r="D97" s="25">
        <f t="shared" si="2"/>
        <v>-6.0959058069695584E-3</v>
      </c>
    </row>
    <row r="98" spans="2:4" x14ac:dyDescent="0.2">
      <c r="B98" s="16">
        <v>43312</v>
      </c>
      <c r="C98" s="23">
        <v>8.6340103149414098</v>
      </c>
      <c r="D98" s="25">
        <f t="shared" si="2"/>
        <v>5.2170768080746222E-2</v>
      </c>
    </row>
    <row r="99" spans="2:4" x14ac:dyDescent="0.2">
      <c r="B99" s="16">
        <v>43343</v>
      </c>
      <c r="C99" s="23">
        <v>7.8934159278869602</v>
      </c>
      <c r="D99" s="25">
        <f t="shared" si="2"/>
        <v>-8.5776407490830667E-2</v>
      </c>
    </row>
    <row r="100" spans="2:4" x14ac:dyDescent="0.2">
      <c r="B100" s="16">
        <v>43373</v>
      </c>
      <c r="C100" s="23">
        <v>7.9152908325195304</v>
      </c>
      <c r="D100" s="25">
        <f t="shared" ref="D100:D131" si="3">(C100-C99)/C99</f>
        <v>2.7712849332172428E-3</v>
      </c>
    </row>
    <row r="101" spans="2:4" x14ac:dyDescent="0.2">
      <c r="B101" s="16">
        <v>43404</v>
      </c>
      <c r="C101" s="23">
        <v>7.3590631484985396</v>
      </c>
      <c r="D101" s="25">
        <f t="shared" si="3"/>
        <v>-7.0272551671223552E-2</v>
      </c>
    </row>
    <row r="102" spans="2:4" x14ac:dyDescent="0.2">
      <c r="B102" s="16">
        <v>43434</v>
      </c>
      <c r="C102" s="23">
        <v>7.9930400848388699</v>
      </c>
      <c r="D102" s="25">
        <f t="shared" si="3"/>
        <v>8.6149136588083194E-2</v>
      </c>
    </row>
    <row r="103" spans="2:4" x14ac:dyDescent="0.2">
      <c r="B103" s="16">
        <v>43465</v>
      </c>
      <c r="C103" s="23">
        <v>8.0606145858764702</v>
      </c>
      <c r="D103" s="25">
        <f t="shared" si="3"/>
        <v>8.4541676659141314E-3</v>
      </c>
    </row>
    <row r="104" spans="2:4" x14ac:dyDescent="0.2">
      <c r="B104" s="16">
        <v>43496</v>
      </c>
      <c r="C104" s="23">
        <v>9.0002136230468803</v>
      </c>
      <c r="D104" s="25">
        <f t="shared" si="3"/>
        <v>0.11656667455813395</v>
      </c>
    </row>
    <row r="105" spans="2:4" x14ac:dyDescent="0.2">
      <c r="B105" s="16">
        <v>43524</v>
      </c>
      <c r="C105" s="23">
        <v>8.5271968841552699</v>
      </c>
      <c r="D105" s="25">
        <f t="shared" si="3"/>
        <v>-5.2556167964764165E-2</v>
      </c>
    </row>
    <row r="106" spans="2:4" x14ac:dyDescent="0.2">
      <c r="B106" s="16">
        <v>43555</v>
      </c>
      <c r="C106" s="23">
        <v>8.5465030670165998</v>
      </c>
      <c r="D106" s="25">
        <f t="shared" si="3"/>
        <v>2.2640714321025589E-3</v>
      </c>
    </row>
    <row r="107" spans="2:4" x14ac:dyDescent="0.2">
      <c r="B107" s="16">
        <v>43585</v>
      </c>
      <c r="C107" s="23">
        <v>8.4982357025146502</v>
      </c>
      <c r="D107" s="25">
        <f t="shared" si="3"/>
        <v>-5.6476156532637468E-3</v>
      </c>
    </row>
    <row r="108" spans="2:4" x14ac:dyDescent="0.2">
      <c r="B108" s="16">
        <v>43616</v>
      </c>
      <c r="C108" s="23">
        <v>8.0123462677002006</v>
      </c>
      <c r="D108" s="25">
        <f t="shared" si="3"/>
        <v>-5.7175330483087636E-2</v>
      </c>
    </row>
    <row r="109" spans="2:4" x14ac:dyDescent="0.2">
      <c r="B109" s="16">
        <v>43646</v>
      </c>
      <c r="C109" s="23">
        <v>9.0879545211791992</v>
      </c>
      <c r="D109" s="25">
        <f t="shared" si="3"/>
        <v>0.13424385536294758</v>
      </c>
    </row>
    <row r="110" spans="2:4" x14ac:dyDescent="0.2">
      <c r="B110" s="16">
        <v>43677</v>
      </c>
      <c r="C110" s="23">
        <v>9.4830837249755895</v>
      </c>
      <c r="D110" s="25">
        <f t="shared" si="3"/>
        <v>4.3478342995176063E-2</v>
      </c>
    </row>
    <row r="111" spans="2:4" x14ac:dyDescent="0.2">
      <c r="B111" s="16">
        <v>43708</v>
      </c>
      <c r="C111" s="23">
        <v>9.4183645248413104</v>
      </c>
      <c r="D111" s="25">
        <f t="shared" si="3"/>
        <v>-6.8246998562111411E-3</v>
      </c>
    </row>
    <row r="112" spans="2:4" x14ac:dyDescent="0.2">
      <c r="B112" s="16">
        <v>43738</v>
      </c>
      <c r="C112" s="23">
        <v>10.2052145004272</v>
      </c>
      <c r="D112" s="25">
        <f t="shared" si="3"/>
        <v>8.3544226124455209E-2</v>
      </c>
    </row>
    <row r="113" spans="2:4" x14ac:dyDescent="0.2">
      <c r="B113" s="16">
        <v>43769</v>
      </c>
      <c r="C113" s="23">
        <v>10.2154340744019</v>
      </c>
      <c r="D113" s="25">
        <f t="shared" si="3"/>
        <v>1.0014070722641026E-3</v>
      </c>
    </row>
    <row r="114" spans="2:4" x14ac:dyDescent="0.2">
      <c r="B114" s="16">
        <v>43799</v>
      </c>
      <c r="C114" s="23">
        <v>9.78283596038818</v>
      </c>
      <c r="D114" s="25">
        <f t="shared" si="3"/>
        <v>-4.2347501913573643E-2</v>
      </c>
    </row>
    <row r="115" spans="2:4" x14ac:dyDescent="0.2">
      <c r="B115" s="16">
        <v>43830</v>
      </c>
      <c r="C115" s="23">
        <v>9.8100852966308594</v>
      </c>
      <c r="D115" s="25">
        <f t="shared" si="3"/>
        <v>2.7854229952352272E-3</v>
      </c>
    </row>
    <row r="116" spans="2:4" x14ac:dyDescent="0.2">
      <c r="B116" s="16">
        <v>43861</v>
      </c>
      <c r="C116" s="23">
        <v>10.600344657898001</v>
      </c>
      <c r="D116" s="25">
        <f t="shared" si="3"/>
        <v>8.0555809391233857E-2</v>
      </c>
    </row>
    <row r="117" spans="2:4" x14ac:dyDescent="0.2">
      <c r="B117" s="16">
        <v>43890</v>
      </c>
      <c r="C117" s="23">
        <v>10.2392768859863</v>
      </c>
      <c r="D117" s="25">
        <f t="shared" si="3"/>
        <v>-3.4061889831353755E-2</v>
      </c>
    </row>
    <row r="118" spans="2:4" x14ac:dyDescent="0.2">
      <c r="B118" s="16">
        <v>43921</v>
      </c>
      <c r="C118" s="23">
        <v>6.4119806289672896</v>
      </c>
      <c r="D118" s="25">
        <f t="shared" si="3"/>
        <v>-0.37378579558260916</v>
      </c>
    </row>
    <row r="119" spans="2:4" x14ac:dyDescent="0.2">
      <c r="B119" s="16">
        <v>43951</v>
      </c>
      <c r="C119" s="23">
        <v>6.7471599578857404</v>
      </c>
      <c r="D119" s="25">
        <f t="shared" si="3"/>
        <v>5.227391477201556E-2</v>
      </c>
    </row>
    <row r="120" spans="2:4" x14ac:dyDescent="0.2">
      <c r="B120" s="16">
        <v>43982</v>
      </c>
      <c r="C120" s="23">
        <v>7.2451577186584499</v>
      </c>
      <c r="D120" s="25">
        <f t="shared" si="3"/>
        <v>7.3808500744179759E-2</v>
      </c>
    </row>
    <row r="121" spans="2:4" x14ac:dyDescent="0.2">
      <c r="B121" s="16">
        <v>44012</v>
      </c>
      <c r="C121" s="23">
        <v>7.4938158988952601</v>
      </c>
      <c r="D121" s="25">
        <f t="shared" si="3"/>
        <v>3.4320602793289225E-2</v>
      </c>
    </row>
    <row r="122" spans="2:4" x14ac:dyDescent="0.2">
      <c r="B122" s="16">
        <v>44043</v>
      </c>
      <c r="C122" s="23">
        <v>7.6913795471191397</v>
      </c>
      <c r="D122" s="25">
        <f t="shared" si="3"/>
        <v>2.6363557750732104E-2</v>
      </c>
    </row>
    <row r="123" spans="2:4" x14ac:dyDescent="0.2">
      <c r="B123" s="16">
        <v>44074</v>
      </c>
      <c r="C123" s="23">
        <v>7.9400377273559597</v>
      </c>
      <c r="D123" s="25">
        <f t="shared" si="3"/>
        <v>3.2329464267558686E-2</v>
      </c>
    </row>
    <row r="124" spans="2:4" x14ac:dyDescent="0.2">
      <c r="B124" s="16">
        <v>44104</v>
      </c>
      <c r="C124" s="23">
        <v>7.7799434661865199</v>
      </c>
      <c r="D124" s="25">
        <f t="shared" si="3"/>
        <v>-2.0162909379871592E-2</v>
      </c>
    </row>
    <row r="125" spans="2:4" x14ac:dyDescent="0.2">
      <c r="B125" s="16">
        <v>44135</v>
      </c>
      <c r="C125" s="23">
        <v>7.0748438835143999</v>
      </c>
      <c r="D125" s="25">
        <f t="shared" si="3"/>
        <v>-9.0630424981447494E-2</v>
      </c>
    </row>
    <row r="126" spans="2:4" x14ac:dyDescent="0.2">
      <c r="B126" s="16">
        <v>44165</v>
      </c>
      <c r="C126" s="23">
        <v>8.4271373748779297</v>
      </c>
      <c r="D126" s="25">
        <f t="shared" si="3"/>
        <v>0.1911411069457809</v>
      </c>
    </row>
    <row r="127" spans="2:4" x14ac:dyDescent="0.2">
      <c r="B127" s="16">
        <v>44196</v>
      </c>
      <c r="C127" s="23">
        <v>8.5293254852294904</v>
      </c>
      <c r="D127" s="25">
        <f t="shared" si="3"/>
        <v>1.2126076246981907E-2</v>
      </c>
    </row>
    <row r="128" spans="2:4" x14ac:dyDescent="0.2">
      <c r="B128" s="16">
        <v>44227</v>
      </c>
      <c r="C128" s="23">
        <v>8.7337017059326207</v>
      </c>
      <c r="D128" s="25">
        <f t="shared" si="3"/>
        <v>2.3961592397553036E-2</v>
      </c>
    </row>
    <row r="129" spans="2:4" x14ac:dyDescent="0.2">
      <c r="B129" s="16">
        <v>44255</v>
      </c>
      <c r="C129" s="23">
        <v>8.2329778671264702</v>
      </c>
      <c r="D129" s="25">
        <f t="shared" si="3"/>
        <v>-5.7332372419591493E-2</v>
      </c>
    </row>
    <row r="130" spans="2:4" x14ac:dyDescent="0.2">
      <c r="B130" s="16">
        <v>44286</v>
      </c>
      <c r="C130" s="23">
        <v>8.2466030120849592</v>
      </c>
      <c r="D130" s="25">
        <f t="shared" si="3"/>
        <v>1.6549473566415075E-3</v>
      </c>
    </row>
    <row r="131" spans="2:4" x14ac:dyDescent="0.2">
      <c r="B131" s="16">
        <v>44316</v>
      </c>
      <c r="C131" s="23">
        <v>8.4271373748779297</v>
      </c>
      <c r="D131" s="25">
        <f t="shared" si="3"/>
        <v>2.189196721709618E-2</v>
      </c>
    </row>
    <row r="132" spans="2:4" x14ac:dyDescent="0.2">
      <c r="B132" s="16">
        <v>44347</v>
      </c>
      <c r="C132" s="23">
        <v>8.2772598266601598</v>
      </c>
      <c r="D132" s="25">
        <f t="shared" ref="D132:D163" si="4">(C132-C131)/C131</f>
        <v>-1.778510798513486E-2</v>
      </c>
    </row>
    <row r="133" spans="2:4" x14ac:dyDescent="0.2">
      <c r="B133" s="16">
        <v>44377</v>
      </c>
      <c r="C133" s="23">
        <v>8.2019567489624006</v>
      </c>
      <c r="D133" s="25">
        <f t="shared" si="4"/>
        <v>-9.0975853452390319E-3</v>
      </c>
    </row>
    <row r="134" spans="2:4" x14ac:dyDescent="0.2">
      <c r="B134" s="16">
        <v>44408</v>
      </c>
      <c r="C134" s="23">
        <v>7.9875721931457502</v>
      </c>
      <c r="D134" s="25">
        <f t="shared" si="4"/>
        <v>-2.6138220717119898E-2</v>
      </c>
    </row>
    <row r="135" spans="2:4" x14ac:dyDescent="0.2">
      <c r="B135" s="16">
        <v>44439</v>
      </c>
      <c r="C135" s="23">
        <v>8.6122665405273402</v>
      </c>
      <c r="D135" s="25">
        <f t="shared" si="4"/>
        <v>7.8208288110077948E-2</v>
      </c>
    </row>
    <row r="136" spans="2:4" x14ac:dyDescent="0.2">
      <c r="B136" s="16">
        <v>44469</v>
      </c>
      <c r="C136" s="23">
        <v>8.0514602661132795</v>
      </c>
      <c r="D136" s="25">
        <f t="shared" si="4"/>
        <v>-6.5117152584053886E-2</v>
      </c>
    </row>
    <row r="137" spans="2:4" x14ac:dyDescent="0.2">
      <c r="B137" s="16">
        <v>44500</v>
      </c>
      <c r="C137" s="23">
        <v>8.7286872863769496</v>
      </c>
      <c r="D137" s="25">
        <f t="shared" si="4"/>
        <v>8.4112322222337832E-2</v>
      </c>
    </row>
    <row r="138" spans="2:4" x14ac:dyDescent="0.2">
      <c r="B138" s="16">
        <v>44530</v>
      </c>
      <c r="C138" s="23">
        <v>9.09356594085693</v>
      </c>
      <c r="D138" s="25">
        <f t="shared" si="4"/>
        <v>4.1802236981207296E-2</v>
      </c>
    </row>
    <row r="139" spans="2:4" x14ac:dyDescent="0.2">
      <c r="B139" s="16">
        <v>44561</v>
      </c>
      <c r="C139" s="23">
        <v>9.2383804321289098</v>
      </c>
      <c r="D139" s="25">
        <f t="shared" si="4"/>
        <v>1.5924939920580066E-2</v>
      </c>
    </row>
    <row r="140" spans="2:4" x14ac:dyDescent="0.2">
      <c r="B140" s="16">
        <v>44592</v>
      </c>
      <c r="C140" s="23">
        <v>9.6217164993286097</v>
      </c>
      <c r="D140" s="25">
        <f t="shared" si="4"/>
        <v>4.1493860316311228E-2</v>
      </c>
    </row>
    <row r="141" spans="2:4" x14ac:dyDescent="0.2">
      <c r="B141" s="16">
        <v>44620</v>
      </c>
      <c r="C141" s="23">
        <v>10.1285705566406</v>
      </c>
      <c r="D141" s="25">
        <f t="shared" si="4"/>
        <v>5.2678132570977122E-2</v>
      </c>
    </row>
    <row r="142" spans="2:4" x14ac:dyDescent="0.2">
      <c r="B142" s="16">
        <v>44651</v>
      </c>
      <c r="C142" s="23">
        <v>8.4717102050781303</v>
      </c>
      <c r="D142" s="25">
        <f t="shared" si="4"/>
        <v>-0.16358284145793717</v>
      </c>
    </row>
    <row r="143" spans="2:4" x14ac:dyDescent="0.2">
      <c r="B143" s="16">
        <v>44681</v>
      </c>
      <c r="C143" s="23">
        <v>8.0372629165649396</v>
      </c>
      <c r="D143" s="25">
        <f t="shared" si="4"/>
        <v>-5.128212344336016E-2</v>
      </c>
    </row>
    <row r="144" spans="2:4" x14ac:dyDescent="0.2">
      <c r="B144" s="16">
        <v>44712</v>
      </c>
      <c r="C144" s="23">
        <v>9.5422048568725604</v>
      </c>
      <c r="D144" s="25">
        <f t="shared" si="4"/>
        <v>0.18724557799470626</v>
      </c>
    </row>
    <row r="145" spans="2:4" x14ac:dyDescent="0.2">
      <c r="B145" s="16">
        <v>44742</v>
      </c>
      <c r="C145" s="23">
        <v>8.3738641738891602</v>
      </c>
      <c r="D145" s="25">
        <f t="shared" si="4"/>
        <v>-0.12243927902490261</v>
      </c>
    </row>
    <row r="146" spans="2:4" x14ac:dyDescent="0.2">
      <c r="B146" s="16">
        <v>44773</v>
      </c>
      <c r="C146" s="23">
        <v>9.2092666625976598</v>
      </c>
      <c r="D146" s="25">
        <f t="shared" si="4"/>
        <v>9.9763080862166051E-2</v>
      </c>
    </row>
    <row r="147" spans="2:4" x14ac:dyDescent="0.2">
      <c r="B147" s="16">
        <v>44804</v>
      </c>
      <c r="C147" s="23">
        <v>9.0626506805419904</v>
      </c>
      <c r="D147" s="25">
        <f t="shared" si="4"/>
        <v>-1.5920483945929455E-2</v>
      </c>
    </row>
    <row r="148" spans="2:4" x14ac:dyDescent="0.2">
      <c r="B148" s="16">
        <v>44834</v>
      </c>
      <c r="C148" s="23">
        <v>9.0427961349487305</v>
      </c>
      <c r="D148" s="25">
        <f t="shared" si="4"/>
        <v>-2.19080998409094E-3</v>
      </c>
    </row>
    <row r="149" spans="2:4" x14ac:dyDescent="0.2">
      <c r="B149" s="16">
        <v>44865</v>
      </c>
      <c r="C149" s="23">
        <v>10.0446672439575</v>
      </c>
      <c r="D149" s="25">
        <f t="shared" si="4"/>
        <v>0.11079218131842246</v>
      </c>
    </row>
    <row r="150" spans="2:4" x14ac:dyDescent="0.2">
      <c r="B150" s="16">
        <v>44895</v>
      </c>
      <c r="C150" s="23">
        <v>11.0877742767334</v>
      </c>
      <c r="D150" s="25">
        <f t="shared" si="4"/>
        <v>0.10384684802808125</v>
      </c>
    </row>
    <row r="151" spans="2:4" x14ac:dyDescent="0.2">
      <c r="B151" s="16">
        <v>44926</v>
      </c>
      <c r="C151" s="23">
        <v>10.2233533859253</v>
      </c>
      <c r="D151" s="25">
        <f t="shared" si="4"/>
        <v>-7.7961624148680769E-2</v>
      </c>
    </row>
    <row r="152" spans="2:4" x14ac:dyDescent="0.2">
      <c r="B152" s="16">
        <v>44957</v>
      </c>
      <c r="C152" s="23">
        <v>9.9423418045043999</v>
      </c>
      <c r="D152" s="25">
        <f t="shared" si="4"/>
        <v>-2.7487221737612495E-2</v>
      </c>
    </row>
    <row r="153" spans="2:4" x14ac:dyDescent="0.2">
      <c r="B153" s="16">
        <v>44985</v>
      </c>
      <c r="C153" s="23">
        <v>10.5654563903809</v>
      </c>
      <c r="D153" s="25">
        <f t="shared" si="4"/>
        <v>6.2672818751231915E-2</v>
      </c>
    </row>
    <row r="154" spans="2:4" x14ac:dyDescent="0.2">
      <c r="B154" s="16">
        <v>45016</v>
      </c>
      <c r="C154" s="23">
        <v>11.1290092468262</v>
      </c>
      <c r="D154" s="25">
        <f t="shared" si="4"/>
        <v>5.3339187217541786E-2</v>
      </c>
    </row>
    <row r="155" spans="2:4" x14ac:dyDescent="0.2">
      <c r="B155" s="16">
        <v>45046</v>
      </c>
      <c r="C155" s="23">
        <v>11.0847177505493</v>
      </c>
      <c r="D155" s="25">
        <f t="shared" si="4"/>
        <v>-3.9798238364777208E-3</v>
      </c>
    </row>
    <row r="156" spans="2:4" x14ac:dyDescent="0.2">
      <c r="B156" s="16">
        <v>45077</v>
      </c>
      <c r="C156" s="23">
        <v>11.794426918029799</v>
      </c>
      <c r="D156" s="25">
        <f t="shared" si="4"/>
        <v>6.402591238241763E-2</v>
      </c>
    </row>
    <row r="157" spans="2:4" x14ac:dyDescent="0.2">
      <c r="B157" s="16">
        <v>45107</v>
      </c>
      <c r="C157" s="23">
        <v>12.7905941009521</v>
      </c>
      <c r="D157" s="25">
        <f t="shared" si="4"/>
        <v>8.4460838143775266E-2</v>
      </c>
    </row>
    <row r="158" spans="2:4" x14ac:dyDescent="0.2">
      <c r="B158" s="16">
        <v>45138</v>
      </c>
      <c r="C158" s="23">
        <v>12.5251731872559</v>
      </c>
      <c r="D158" s="25">
        <f t="shared" si="4"/>
        <v>-2.0751257650842268E-2</v>
      </c>
    </row>
    <row r="159" spans="2:4" x14ac:dyDescent="0.2">
      <c r="B159" s="16">
        <v>45169</v>
      </c>
      <c r="C159" s="23">
        <v>12.5066947937012</v>
      </c>
      <c r="D159" s="25">
        <f t="shared" si="4"/>
        <v>-1.4753004432307021E-3</v>
      </c>
    </row>
    <row r="160" spans="2:4" x14ac:dyDescent="0.2">
      <c r="B160" s="16">
        <v>45199</v>
      </c>
      <c r="C160" s="23">
        <v>12.2043161392212</v>
      </c>
      <c r="D160" s="25">
        <f t="shared" si="4"/>
        <v>-2.4177343372310346E-2</v>
      </c>
    </row>
    <row r="161" spans="2:4" x14ac:dyDescent="0.2">
      <c r="B161" s="16">
        <v>45230</v>
      </c>
      <c r="C161" s="23">
        <v>12.602448463439901</v>
      </c>
      <c r="D161" s="25">
        <f t="shared" si="4"/>
        <v>3.262225590332065E-2</v>
      </c>
    </row>
    <row r="162" spans="2:4" x14ac:dyDescent="0.2">
      <c r="B162" s="16">
        <v>45260</v>
      </c>
      <c r="C162" s="23">
        <v>13.3701524734497</v>
      </c>
      <c r="D162" s="25">
        <f t="shared" si="4"/>
        <v>6.0917052129745491E-2</v>
      </c>
    </row>
    <row r="163" spans="2:4" x14ac:dyDescent="0.2">
      <c r="B163" s="16">
        <v>45291</v>
      </c>
      <c r="C163" s="23">
        <v>13.3701524734497</v>
      </c>
      <c r="D163" s="25">
        <f t="shared" si="4"/>
        <v>0</v>
      </c>
    </row>
    <row r="164" spans="2:4" x14ac:dyDescent="0.2">
      <c r="B164" s="16">
        <v>45322</v>
      </c>
      <c r="C164" s="23">
        <v>12.4394998550415</v>
      </c>
      <c r="D164" s="25">
        <f t="shared" ref="D164:D183" si="5">(C164-C163)/C163</f>
        <v>-6.9606731879556294E-2</v>
      </c>
    </row>
    <row r="165" spans="2:4" x14ac:dyDescent="0.2">
      <c r="B165" s="16">
        <v>45351</v>
      </c>
      <c r="C165" s="23">
        <v>12.4613389968872</v>
      </c>
      <c r="D165" s="25">
        <f t="shared" si="5"/>
        <v>1.7556286104902015E-3</v>
      </c>
    </row>
    <row r="166" spans="2:4" x14ac:dyDescent="0.2">
      <c r="B166" s="16">
        <v>45382</v>
      </c>
      <c r="C166" s="23">
        <v>13.0274572372437</v>
      </c>
      <c r="D166" s="25">
        <f t="shared" si="5"/>
        <v>4.5429968681368414E-2</v>
      </c>
    </row>
    <row r="167" spans="2:4" x14ac:dyDescent="0.2">
      <c r="B167" s="16">
        <v>45412</v>
      </c>
      <c r="C167" s="23">
        <v>13.665810585021999</v>
      </c>
      <c r="D167" s="25">
        <f t="shared" si="5"/>
        <v>4.9000609724001623E-2</v>
      </c>
    </row>
    <row r="168" spans="2:4" x14ac:dyDescent="0.2">
      <c r="B168" s="16">
        <v>45443</v>
      </c>
      <c r="C168" s="23">
        <v>13.048455238342299</v>
      </c>
      <c r="D168" s="25">
        <f t="shared" si="5"/>
        <v>-4.5175172218202241E-2</v>
      </c>
    </row>
    <row r="169" spans="2:4" x14ac:dyDescent="0.2">
      <c r="B169" s="16">
        <v>45473</v>
      </c>
      <c r="C169" s="23">
        <v>12.2798910140991</v>
      </c>
      <c r="D169" s="25">
        <f t="shared" si="5"/>
        <v>-5.8900782522118646E-2</v>
      </c>
    </row>
    <row r="170" spans="2:4" x14ac:dyDescent="0.2">
      <c r="B170" s="16">
        <v>45504</v>
      </c>
      <c r="C170" s="23">
        <v>13.3895473480225</v>
      </c>
      <c r="D170" s="25">
        <f t="shared" si="5"/>
        <v>9.036369562639876E-2</v>
      </c>
    </row>
    <row r="171" spans="2:4" x14ac:dyDescent="0.2">
      <c r="B171" s="16">
        <v>45535</v>
      </c>
      <c r="C171" s="23">
        <v>14.6695671081543</v>
      </c>
      <c r="D171" s="25">
        <f t="shared" si="5"/>
        <v>9.5598434126366955E-2</v>
      </c>
    </row>
    <row r="172" spans="2:4" x14ac:dyDescent="0.2">
      <c r="B172" s="16">
        <v>45565</v>
      </c>
      <c r="C172" s="23">
        <v>14.287403106689499</v>
      </c>
      <c r="D172" s="25">
        <f t="shared" si="5"/>
        <v>-2.6051484590323696E-2</v>
      </c>
    </row>
    <row r="173" spans="2:4" x14ac:dyDescent="0.2">
      <c r="B173" s="16">
        <v>45596</v>
      </c>
      <c r="C173" s="23">
        <v>14.195315361023001</v>
      </c>
      <c r="D173" s="25">
        <f t="shared" si="5"/>
        <v>-6.4453802401209081E-3</v>
      </c>
    </row>
    <row r="174" spans="2:4" x14ac:dyDescent="0.2">
      <c r="B174" s="16">
        <v>45626</v>
      </c>
      <c r="C174" s="23">
        <v>13.891426086425801</v>
      </c>
      <c r="D174" s="25">
        <f t="shared" si="5"/>
        <v>-2.140771563494873E-2</v>
      </c>
    </row>
    <row r="175" spans="2:4" x14ac:dyDescent="0.2">
      <c r="B175" s="16">
        <v>45657</v>
      </c>
      <c r="C175" s="23">
        <v>14.0986232757568</v>
      </c>
      <c r="D175" s="25">
        <f t="shared" si="5"/>
        <v>1.4915472899752548E-2</v>
      </c>
    </row>
    <row r="176" spans="2:4" x14ac:dyDescent="0.2">
      <c r="B176" s="16">
        <v>45688</v>
      </c>
      <c r="C176" s="23">
        <v>14.6557531356812</v>
      </c>
      <c r="D176" s="25">
        <f t="shared" si="5"/>
        <v>3.951661442592122E-2</v>
      </c>
    </row>
    <row r="177" spans="2:4" x14ac:dyDescent="0.2">
      <c r="B177" s="16">
        <v>45716</v>
      </c>
      <c r="C177" s="23">
        <v>15.8759145736694</v>
      </c>
      <c r="D177" s="25">
        <f t="shared" si="5"/>
        <v>8.325477556097538E-2</v>
      </c>
    </row>
    <row r="178" spans="2:4" x14ac:dyDescent="0.2">
      <c r="B178" s="16">
        <v>45747</v>
      </c>
      <c r="C178" s="23">
        <v>16.6080112457275</v>
      </c>
      <c r="D178" s="25">
        <f t="shared" si="5"/>
        <v>4.6113669147118036E-2</v>
      </c>
    </row>
    <row r="179" spans="2:4" x14ac:dyDescent="0.2">
      <c r="B179" s="16">
        <v>45777</v>
      </c>
      <c r="C179" s="23">
        <v>16.746143341064499</v>
      </c>
      <c r="D179" s="25">
        <f t="shared" si="5"/>
        <v>8.3171966404186146E-3</v>
      </c>
    </row>
    <row r="180" spans="2:4" x14ac:dyDescent="0.2">
      <c r="B180" s="16">
        <v>45808</v>
      </c>
      <c r="C180" s="23">
        <v>18.985000610351602</v>
      </c>
      <c r="D180" s="25">
        <f t="shared" si="5"/>
        <v>0.13369390334770567</v>
      </c>
    </row>
    <row r="181" spans="2:4" x14ac:dyDescent="0.2">
      <c r="B181" s="16">
        <v>45838</v>
      </c>
      <c r="C181" s="23">
        <v>19.924999237060501</v>
      </c>
      <c r="D181" s="25">
        <f t="shared" si="5"/>
        <v>4.9512699314655982E-2</v>
      </c>
    </row>
    <row r="182" spans="2:4" x14ac:dyDescent="0.2">
      <c r="B182" s="16">
        <v>45869</v>
      </c>
      <c r="C182" s="23">
        <v>19.620000839233398</v>
      </c>
      <c r="D182" s="25">
        <f t="shared" si="5"/>
        <v>-1.5307322936294282E-2</v>
      </c>
    </row>
    <row r="183" spans="2:4" x14ac:dyDescent="0.2">
      <c r="B183" s="16">
        <v>45900</v>
      </c>
      <c r="C183" s="23">
        <v>17.690000534057599</v>
      </c>
      <c r="D183" s="25">
        <f t="shared" si="5"/>
        <v>-9.8369022559695721E-2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7" tint="0.79998168889431442"/>
  </sheetPr>
  <dimension ref="B2:D183"/>
  <sheetViews>
    <sheetView showGridLines="0" topLeftCell="A24" workbookViewId="0">
      <selection activeCell="D57" sqref="D57"/>
    </sheetView>
  </sheetViews>
  <sheetFormatPr baseColWidth="10" defaultColWidth="10.83203125" defaultRowHeight="15" x14ac:dyDescent="0.2"/>
  <cols>
    <col min="3" max="3" width="12.6640625" bestFit="1" customWidth="1"/>
  </cols>
  <sheetData>
    <row r="2" spans="2:4" x14ac:dyDescent="0.2">
      <c r="B2" s="21" t="s">
        <v>308</v>
      </c>
      <c r="C2" t="s">
        <v>27</v>
      </c>
      <c r="D2" t="s">
        <v>310</v>
      </c>
    </row>
    <row r="3" spans="2:4" x14ac:dyDescent="0.2">
      <c r="B3" s="16" t="s">
        <v>237</v>
      </c>
      <c r="C3" s="23">
        <v>120.80625152587901</v>
      </c>
    </row>
    <row r="4" spans="2:4" x14ac:dyDescent="0.2">
      <c r="B4" s="16">
        <v>40451</v>
      </c>
      <c r="C4" s="23">
        <v>141.50376892089801</v>
      </c>
      <c r="D4" s="25">
        <f t="shared" ref="D4:D35" si="0">(C4-C3)/C3</f>
        <v>0.17132819811551889</v>
      </c>
    </row>
    <row r="5" spans="2:4" x14ac:dyDescent="0.2">
      <c r="B5" s="16">
        <v>40482</v>
      </c>
      <c r="C5" s="23">
        <v>128.78961181640599</v>
      </c>
      <c r="D5" s="25">
        <f t="shared" si="0"/>
        <v>-8.9850307178739208E-2</v>
      </c>
    </row>
    <row r="6" spans="2:4" x14ac:dyDescent="0.2">
      <c r="B6" s="16">
        <v>40512</v>
      </c>
      <c r="C6" s="23">
        <v>123.34059143066401</v>
      </c>
      <c r="D6" s="25">
        <f t="shared" si="0"/>
        <v>-4.2309471306659061E-2</v>
      </c>
    </row>
    <row r="7" spans="2:4" x14ac:dyDescent="0.2">
      <c r="B7" s="16">
        <v>40543</v>
      </c>
      <c r="C7" s="23">
        <v>132.42224121093801</v>
      </c>
      <c r="D7" s="25">
        <f t="shared" si="0"/>
        <v>7.3630665095190992E-2</v>
      </c>
    </row>
    <row r="8" spans="2:4" x14ac:dyDescent="0.2">
      <c r="B8" s="16">
        <v>40574</v>
      </c>
      <c r="C8" s="23">
        <v>124.523323059082</v>
      </c>
      <c r="D8" s="25">
        <f t="shared" si="0"/>
        <v>-5.9649482440594447E-2</v>
      </c>
    </row>
    <row r="9" spans="2:4" x14ac:dyDescent="0.2">
      <c r="B9" s="16">
        <v>40602</v>
      </c>
      <c r="C9" s="23">
        <v>133.26699829101599</v>
      </c>
      <c r="D9" s="25">
        <f t="shared" si="0"/>
        <v>7.0217169098397897E-2</v>
      </c>
    </row>
    <row r="10" spans="2:4" x14ac:dyDescent="0.2">
      <c r="B10" s="16">
        <v>40633</v>
      </c>
      <c r="C10" s="23">
        <v>131.56747436523401</v>
      </c>
      <c r="D10" s="25">
        <f t="shared" si="0"/>
        <v>-1.275277411194276E-2</v>
      </c>
    </row>
    <row r="11" spans="2:4" x14ac:dyDescent="0.2">
      <c r="B11" s="16">
        <v>40663</v>
      </c>
      <c r="C11" s="23">
        <v>134.54412841796901</v>
      </c>
      <c r="D11" s="25">
        <f t="shared" si="0"/>
        <v>2.2624543543883404E-2</v>
      </c>
    </row>
    <row r="12" spans="2:4" x14ac:dyDescent="0.2">
      <c r="B12" s="16">
        <v>40694</v>
      </c>
      <c r="C12" s="23">
        <v>152.14883422851599</v>
      </c>
      <c r="D12" s="25">
        <f t="shared" si="0"/>
        <v>0.13084707610470347</v>
      </c>
    </row>
    <row r="13" spans="2:4" x14ac:dyDescent="0.2">
      <c r="B13" s="16">
        <v>40724</v>
      </c>
      <c r="C13" s="23">
        <v>173.410568237305</v>
      </c>
      <c r="D13" s="25">
        <f t="shared" si="0"/>
        <v>0.139742996498123</v>
      </c>
    </row>
    <row r="14" spans="2:4" x14ac:dyDescent="0.2">
      <c r="B14" s="16">
        <v>40755</v>
      </c>
      <c r="C14" s="23">
        <v>205.35891723632801</v>
      </c>
      <c r="D14" s="25">
        <f t="shared" si="0"/>
        <v>0.18423530540135855</v>
      </c>
    </row>
    <row r="15" spans="2:4" x14ac:dyDescent="0.2">
      <c r="B15" s="16">
        <v>40786</v>
      </c>
      <c r="C15" s="23">
        <v>230.38917541503901</v>
      </c>
      <c r="D15" s="25">
        <f t="shared" si="0"/>
        <v>0.12188542146385616</v>
      </c>
    </row>
    <row r="16" spans="2:4" x14ac:dyDescent="0.2">
      <c r="B16" s="16">
        <v>40816</v>
      </c>
      <c r="C16" s="23">
        <v>192.60926818847699</v>
      </c>
      <c r="D16" s="25">
        <f t="shared" si="0"/>
        <v>-0.16398299598278729</v>
      </c>
    </row>
    <row r="17" spans="2:4" x14ac:dyDescent="0.2">
      <c r="B17" s="16">
        <v>40847</v>
      </c>
      <c r="C17" s="23">
        <v>209.66561889648401</v>
      </c>
      <c r="D17" s="25">
        <f t="shared" si="0"/>
        <v>8.8554153538014574E-2</v>
      </c>
    </row>
    <row r="18" spans="2:4" x14ac:dyDescent="0.2">
      <c r="B18" s="16">
        <v>40877</v>
      </c>
      <c r="C18" s="23">
        <v>201.26535034179699</v>
      </c>
      <c r="D18" s="25">
        <f t="shared" si="0"/>
        <v>-4.0065074087489723E-2</v>
      </c>
    </row>
    <row r="19" spans="2:4" x14ac:dyDescent="0.2">
      <c r="B19" s="16">
        <v>40908</v>
      </c>
      <c r="C19" s="23">
        <v>196.44697570800801</v>
      </c>
      <c r="D19" s="25">
        <f t="shared" si="0"/>
        <v>-2.3940408150763249E-2</v>
      </c>
    </row>
    <row r="20" spans="2:4" x14ac:dyDescent="0.2">
      <c r="B20" s="16">
        <v>40939</v>
      </c>
      <c r="C20" s="23">
        <v>226.59413146972699</v>
      </c>
      <c r="D20" s="25">
        <f t="shared" si="0"/>
        <v>0.15346205078019967</v>
      </c>
    </row>
    <row r="21" spans="2:4" x14ac:dyDescent="0.2">
      <c r="B21" s="16">
        <v>40968</v>
      </c>
      <c r="C21" s="23">
        <v>238.83207702636699</v>
      </c>
      <c r="D21" s="25">
        <f t="shared" si="0"/>
        <v>5.4008219353531631E-2</v>
      </c>
    </row>
    <row r="22" spans="2:4" x14ac:dyDescent="0.2">
      <c r="B22" s="16">
        <v>40999</v>
      </c>
      <c r="C22" s="23">
        <v>216.62113952636699</v>
      </c>
      <c r="D22" s="25">
        <f t="shared" si="0"/>
        <v>-9.2998133988291362E-2</v>
      </c>
    </row>
    <row r="23" spans="2:4" x14ac:dyDescent="0.2">
      <c r="B23" s="16">
        <v>41029</v>
      </c>
      <c r="C23" s="23">
        <v>229.13916015625</v>
      </c>
      <c r="D23" s="25">
        <f t="shared" si="0"/>
        <v>5.7787622469594319E-2</v>
      </c>
    </row>
    <row r="24" spans="2:4" x14ac:dyDescent="0.2">
      <c r="B24" s="16">
        <v>41060</v>
      </c>
      <c r="C24" s="23">
        <v>224.29486083984401</v>
      </c>
      <c r="D24" s="25">
        <f t="shared" si="0"/>
        <v>-2.1141298209798213E-2</v>
      </c>
    </row>
    <row r="25" spans="2:4" x14ac:dyDescent="0.2">
      <c r="B25" s="16">
        <v>41090</v>
      </c>
      <c r="C25" s="23">
        <v>212.039627075195</v>
      </c>
      <c r="D25" s="25">
        <f t="shared" si="0"/>
        <v>-5.4638941430761361E-2</v>
      </c>
    </row>
    <row r="26" spans="2:4" x14ac:dyDescent="0.2">
      <c r="B26" s="16">
        <v>41121</v>
      </c>
      <c r="C26" s="23">
        <v>194.00857543945301</v>
      </c>
      <c r="D26" s="25">
        <f t="shared" si="0"/>
        <v>-8.5036235370040944E-2</v>
      </c>
    </row>
    <row r="27" spans="2:4" x14ac:dyDescent="0.2">
      <c r="B27" s="16">
        <v>41152</v>
      </c>
      <c r="C27" s="23">
        <v>200.39823913574199</v>
      </c>
      <c r="D27" s="25">
        <f t="shared" si="0"/>
        <v>3.2934954972044982E-2</v>
      </c>
    </row>
    <row r="28" spans="2:4" x14ac:dyDescent="0.2">
      <c r="B28" s="16">
        <v>41182</v>
      </c>
      <c r="C28" s="23">
        <v>182.93615722656301</v>
      </c>
      <c r="D28" s="25">
        <f t="shared" si="0"/>
        <v>-8.7136902921341741E-2</v>
      </c>
    </row>
    <row r="29" spans="2:4" x14ac:dyDescent="0.2">
      <c r="B29" s="16">
        <v>41213</v>
      </c>
      <c r="C29" s="23">
        <v>184.33663940429699</v>
      </c>
      <c r="D29" s="25">
        <f t="shared" si="0"/>
        <v>7.655578858582375E-3</v>
      </c>
    </row>
    <row r="30" spans="2:4" x14ac:dyDescent="0.2">
      <c r="B30" s="16">
        <v>41243</v>
      </c>
      <c r="C30" s="23">
        <v>207.96951293945301</v>
      </c>
      <c r="D30" s="25">
        <f t="shared" si="0"/>
        <v>0.12820497114153817</v>
      </c>
    </row>
    <row r="31" spans="2:4" x14ac:dyDescent="0.2">
      <c r="B31" s="16">
        <v>41274</v>
      </c>
      <c r="C31" s="23">
        <v>198.078689575195</v>
      </c>
      <c r="D31" s="25">
        <f t="shared" si="0"/>
        <v>-4.7559006243081244E-2</v>
      </c>
    </row>
    <row r="32" spans="2:4" x14ac:dyDescent="0.2">
      <c r="B32" s="16">
        <v>41305</v>
      </c>
      <c r="C32" s="23">
        <v>209.58877563476599</v>
      </c>
      <c r="D32" s="25">
        <f t="shared" si="0"/>
        <v>5.8108654112443099E-2</v>
      </c>
    </row>
    <row r="33" spans="2:4" x14ac:dyDescent="0.2">
      <c r="B33" s="16">
        <v>41333</v>
      </c>
      <c r="C33" s="23">
        <v>223.37467956543</v>
      </c>
      <c r="D33" s="25">
        <f t="shared" si="0"/>
        <v>6.5775964809716841E-2</v>
      </c>
    </row>
    <row r="34" spans="2:4" x14ac:dyDescent="0.2">
      <c r="B34" s="16">
        <v>41364</v>
      </c>
      <c r="C34" s="23">
        <v>238.47331237793</v>
      </c>
      <c r="D34" s="25">
        <f t="shared" si="0"/>
        <v>6.7593304853862682E-2</v>
      </c>
    </row>
    <row r="35" spans="2:4" x14ac:dyDescent="0.2">
      <c r="B35" s="16">
        <v>41394</v>
      </c>
      <c r="C35" s="23">
        <v>225.48649597168</v>
      </c>
      <c r="D35" s="25">
        <f t="shared" si="0"/>
        <v>-5.4458154150467911E-2</v>
      </c>
    </row>
    <row r="36" spans="2:4" x14ac:dyDescent="0.2">
      <c r="B36" s="16">
        <v>41425</v>
      </c>
      <c r="C36" s="23">
        <v>242.30335998535199</v>
      </c>
      <c r="D36" s="25">
        <f t="shared" ref="D36:D67" si="1">(C36-C35)/C35</f>
        <v>7.4580359862366677E-2</v>
      </c>
    </row>
    <row r="37" spans="2:4" x14ac:dyDescent="0.2">
      <c r="B37" s="16">
        <v>41455</v>
      </c>
      <c r="C37" s="23">
        <v>218.354736328125</v>
      </c>
      <c r="D37" s="25">
        <f t="shared" si="1"/>
        <v>-9.8837356851653888E-2</v>
      </c>
    </row>
    <row r="38" spans="2:4" x14ac:dyDescent="0.2">
      <c r="B38" s="16">
        <v>41486</v>
      </c>
      <c r="C38" s="23">
        <v>225.72975158691401</v>
      </c>
      <c r="D38" s="25">
        <f t="shared" si="1"/>
        <v>3.3775384875125665E-2</v>
      </c>
    </row>
    <row r="39" spans="2:4" x14ac:dyDescent="0.2">
      <c r="B39" s="16">
        <v>41517</v>
      </c>
      <c r="C39" s="23">
        <v>224.22723388671901</v>
      </c>
      <c r="D39" s="25">
        <f t="shared" si="1"/>
        <v>-6.6562679028000305E-3</v>
      </c>
    </row>
    <row r="40" spans="2:4" x14ac:dyDescent="0.2">
      <c r="B40" s="16">
        <v>41547</v>
      </c>
      <c r="C40" s="23">
        <v>235.18670654296901</v>
      </c>
      <c r="D40" s="25">
        <f t="shared" si="1"/>
        <v>4.8876634948753786E-2</v>
      </c>
    </row>
    <row r="41" spans="2:4" x14ac:dyDescent="0.2">
      <c r="B41" s="16">
        <v>41578</v>
      </c>
      <c r="C41" s="23">
        <v>221.75254821777301</v>
      </c>
      <c r="D41" s="25">
        <f t="shared" si="1"/>
        <v>-5.7121248571681285E-2</v>
      </c>
    </row>
    <row r="42" spans="2:4" x14ac:dyDescent="0.2">
      <c r="B42" s="16">
        <v>41608</v>
      </c>
      <c r="C42" s="23">
        <v>227.14387512207</v>
      </c>
      <c r="D42" s="25">
        <f t="shared" si="1"/>
        <v>2.4312356036614351E-2</v>
      </c>
    </row>
    <row r="43" spans="2:4" x14ac:dyDescent="0.2">
      <c r="B43" s="16">
        <v>41639</v>
      </c>
      <c r="C43" s="23">
        <v>232.88877868652301</v>
      </c>
      <c r="D43" s="25">
        <f t="shared" si="1"/>
        <v>2.529191492117332E-2</v>
      </c>
    </row>
    <row r="44" spans="2:4" x14ac:dyDescent="0.2">
      <c r="B44" s="16">
        <v>41670</v>
      </c>
      <c r="C44" s="23">
        <v>208.80445861816401</v>
      </c>
      <c r="D44" s="25">
        <f t="shared" si="1"/>
        <v>-0.103415545412677</v>
      </c>
    </row>
    <row r="45" spans="2:4" x14ac:dyDescent="0.2">
      <c r="B45" s="16">
        <v>41698</v>
      </c>
      <c r="C45" s="23">
        <v>206.37391662597699</v>
      </c>
      <c r="D45" s="25">
        <f t="shared" si="1"/>
        <v>-1.1640278221413338E-2</v>
      </c>
    </row>
    <row r="46" spans="2:4" x14ac:dyDescent="0.2">
      <c r="B46" s="16">
        <v>41729</v>
      </c>
      <c r="C46" s="23">
        <v>214.87591552734401</v>
      </c>
      <c r="D46" s="25">
        <f t="shared" si="1"/>
        <v>4.1197061335884154E-2</v>
      </c>
    </row>
    <row r="47" spans="2:4" x14ac:dyDescent="0.2">
      <c r="B47" s="16">
        <v>41759</v>
      </c>
      <c r="C47" s="23">
        <v>225.148361206055</v>
      </c>
      <c r="D47" s="25">
        <f t="shared" si="1"/>
        <v>4.7806407961081036E-2</v>
      </c>
    </row>
    <row r="48" spans="2:4" x14ac:dyDescent="0.2">
      <c r="B48" s="16">
        <v>41790</v>
      </c>
      <c r="C48" s="23">
        <v>231.24058532714801</v>
      </c>
      <c r="D48" s="25">
        <f t="shared" si="1"/>
        <v>2.7058709592460362E-2</v>
      </c>
    </row>
    <row r="49" spans="2:4" x14ac:dyDescent="0.2">
      <c r="B49" s="16">
        <v>41820</v>
      </c>
      <c r="C49" s="23">
        <v>239.68977355957</v>
      </c>
      <c r="D49" s="25">
        <f t="shared" si="1"/>
        <v>3.6538517754002763E-2</v>
      </c>
    </row>
    <row r="50" spans="2:4" x14ac:dyDescent="0.2">
      <c r="B50" s="16">
        <v>41851</v>
      </c>
      <c r="C50" s="23">
        <v>230.57044982910199</v>
      </c>
      <c r="D50" s="25">
        <f t="shared" si="1"/>
        <v>-3.8046361323803367E-2</v>
      </c>
    </row>
    <row r="51" spans="2:4" x14ac:dyDescent="0.2">
      <c r="B51" s="16">
        <v>41882</v>
      </c>
      <c r="C51" s="23">
        <v>233.96583557128901</v>
      </c>
      <c r="D51" s="25">
        <f t="shared" si="1"/>
        <v>1.4726022977808582E-2</v>
      </c>
    </row>
    <row r="52" spans="2:4" x14ac:dyDescent="0.2">
      <c r="B52" s="16">
        <v>41912</v>
      </c>
      <c r="C52" s="23">
        <v>211.53869628906301</v>
      </c>
      <c r="D52" s="25">
        <f t="shared" si="1"/>
        <v>-9.5856470785421491E-2</v>
      </c>
    </row>
    <row r="53" spans="2:4" x14ac:dyDescent="0.2">
      <c r="B53" s="16">
        <v>41943</v>
      </c>
      <c r="C53" s="23">
        <v>220.78651428222699</v>
      </c>
      <c r="D53" s="25">
        <f t="shared" si="1"/>
        <v>4.3716909271895275E-2</v>
      </c>
    </row>
    <row r="54" spans="2:4" x14ac:dyDescent="0.2">
      <c r="B54" s="16">
        <v>41973</v>
      </c>
      <c r="C54" s="23">
        <v>240.57780456543</v>
      </c>
      <c r="D54" s="25">
        <f t="shared" si="1"/>
        <v>8.9639941767023876E-2</v>
      </c>
    </row>
    <row r="55" spans="2:4" x14ac:dyDescent="0.2">
      <c r="B55" s="16">
        <v>42004</v>
      </c>
      <c r="C55" s="23">
        <v>263.40695190429699</v>
      </c>
      <c r="D55" s="25">
        <f t="shared" si="1"/>
        <v>9.4892990565379198E-2</v>
      </c>
    </row>
    <row r="56" spans="2:4" x14ac:dyDescent="0.2">
      <c r="B56" s="16">
        <v>42035</v>
      </c>
      <c r="C56" s="23">
        <v>268.455322265625</v>
      </c>
      <c r="D56" s="25">
        <f t="shared" si="1"/>
        <v>1.9165668653886643E-2</v>
      </c>
    </row>
    <row r="57" spans="2:4" x14ac:dyDescent="0.2">
      <c r="B57" s="16">
        <v>42063</v>
      </c>
      <c r="C57" s="23">
        <v>257.64392089843801</v>
      </c>
      <c r="D57" s="25">
        <f t="shared" si="1"/>
        <v>-4.0272628145139072E-2</v>
      </c>
    </row>
    <row r="58" spans="2:4" x14ac:dyDescent="0.2">
      <c r="B58" s="16">
        <v>42094</v>
      </c>
      <c r="C58" s="23">
        <v>293.42904663085898</v>
      </c>
      <c r="D58" s="25">
        <f t="shared" si="1"/>
        <v>0.13889373212313164</v>
      </c>
    </row>
    <row r="59" spans="2:4" x14ac:dyDescent="0.2">
      <c r="B59" s="16">
        <v>42124</v>
      </c>
      <c r="C59" s="23">
        <v>302.73760986328102</v>
      </c>
      <c r="D59" s="25">
        <f t="shared" si="1"/>
        <v>3.1723387099207155E-2</v>
      </c>
    </row>
    <row r="60" spans="2:4" x14ac:dyDescent="0.2">
      <c r="B60" s="16">
        <v>42155</v>
      </c>
      <c r="C60" s="23">
        <v>319.44412231445301</v>
      </c>
      <c r="D60" s="25">
        <f t="shared" si="1"/>
        <v>5.518479338829687E-2</v>
      </c>
    </row>
    <row r="61" spans="2:4" x14ac:dyDescent="0.2">
      <c r="B61" s="16">
        <v>42185</v>
      </c>
      <c r="C61" s="23">
        <v>300.53704833984398</v>
      </c>
      <c r="D61" s="25">
        <f t="shared" si="1"/>
        <v>-5.9187421692477947E-2</v>
      </c>
    </row>
    <row r="62" spans="2:4" x14ac:dyDescent="0.2">
      <c r="B62" s="16">
        <v>42216</v>
      </c>
      <c r="C62" s="23">
        <v>324.136962890625</v>
      </c>
      <c r="D62" s="25">
        <f t="shared" si="1"/>
        <v>7.8525807986556451E-2</v>
      </c>
    </row>
    <row r="63" spans="2:4" x14ac:dyDescent="0.2">
      <c r="B63" s="16">
        <v>42247</v>
      </c>
      <c r="C63" s="23">
        <v>289.569580078125</v>
      </c>
      <c r="D63" s="25">
        <f t="shared" si="1"/>
        <v>-0.10664437188598028</v>
      </c>
    </row>
    <row r="64" spans="2:4" x14ac:dyDescent="0.2">
      <c r="B64" s="16">
        <v>42277</v>
      </c>
      <c r="C64" s="23">
        <v>297.20544433593801</v>
      </c>
      <c r="D64" s="25">
        <f t="shared" si="1"/>
        <v>2.6369704496421478E-2</v>
      </c>
    </row>
    <row r="65" spans="2:4" x14ac:dyDescent="0.2">
      <c r="B65" s="16">
        <v>42308</v>
      </c>
      <c r="C65" s="23">
        <v>320.38748168945301</v>
      </c>
      <c r="D65" s="25">
        <f t="shared" si="1"/>
        <v>7.8000042715609952E-2</v>
      </c>
    </row>
    <row r="66" spans="2:4" x14ac:dyDescent="0.2">
      <c r="B66" s="16">
        <v>42338</v>
      </c>
      <c r="C66" s="23">
        <v>304.74987792968801</v>
      </c>
      <c r="D66" s="25">
        <f t="shared" si="1"/>
        <v>-4.8808410607385416E-2</v>
      </c>
    </row>
    <row r="67" spans="2:4" x14ac:dyDescent="0.2">
      <c r="B67" s="16">
        <v>42369</v>
      </c>
      <c r="C67" s="23">
        <v>285.08865356445301</v>
      </c>
      <c r="D67" s="25">
        <f t="shared" si="1"/>
        <v>-6.4515938443693965E-2</v>
      </c>
    </row>
    <row r="68" spans="2:4" x14ac:dyDescent="0.2">
      <c r="B68" s="16">
        <v>42400</v>
      </c>
      <c r="C68" s="23">
        <v>286.73471069335898</v>
      </c>
      <c r="D68" s="25">
        <f t="shared" ref="D68:D99" si="2">(C68-C67)/C67</f>
        <v>5.7738430075184467E-3</v>
      </c>
    </row>
    <row r="69" spans="2:4" x14ac:dyDescent="0.2">
      <c r="B69" s="16">
        <v>42429</v>
      </c>
      <c r="C69" s="23">
        <v>287.60348510742199</v>
      </c>
      <c r="D69" s="25">
        <f t="shared" si="2"/>
        <v>3.0298892379029057E-3</v>
      </c>
    </row>
    <row r="70" spans="2:4" x14ac:dyDescent="0.2">
      <c r="B70" s="16">
        <v>42460</v>
      </c>
      <c r="C70" s="23">
        <v>284.31707763671898</v>
      </c>
      <c r="D70" s="25">
        <f t="shared" si="2"/>
        <v>-1.1426869425714763E-2</v>
      </c>
    </row>
    <row r="71" spans="2:4" x14ac:dyDescent="0.2">
      <c r="B71" s="16">
        <v>42490</v>
      </c>
      <c r="C71" s="23">
        <v>285.74118041992199</v>
      </c>
      <c r="D71" s="25">
        <f t="shared" si="2"/>
        <v>5.0088541815368299E-3</v>
      </c>
    </row>
    <row r="72" spans="2:4" x14ac:dyDescent="0.2">
      <c r="B72" s="16">
        <v>42521</v>
      </c>
      <c r="C72" s="23">
        <v>298.55819702148398</v>
      </c>
      <c r="D72" s="25">
        <f t="shared" si="2"/>
        <v>4.4855335806782373E-2</v>
      </c>
    </row>
    <row r="73" spans="2:4" x14ac:dyDescent="0.2">
      <c r="B73" s="16">
        <v>42551</v>
      </c>
      <c r="C73" s="23">
        <v>309.58349609375</v>
      </c>
      <c r="D73" s="25">
        <f t="shared" si="2"/>
        <v>3.6928475527579142E-2</v>
      </c>
    </row>
    <row r="74" spans="2:4" x14ac:dyDescent="0.2">
      <c r="B74" s="16">
        <v>42582</v>
      </c>
      <c r="C74" s="23">
        <v>355.576904296875</v>
      </c>
      <c r="D74" s="25">
        <f t="shared" si="2"/>
        <v>0.14856543964216035</v>
      </c>
    </row>
    <row r="75" spans="2:4" x14ac:dyDescent="0.2">
      <c r="B75" s="16">
        <v>42613</v>
      </c>
      <c r="C75" s="23">
        <v>349.84777832031301</v>
      </c>
      <c r="D75" s="25">
        <f t="shared" si="2"/>
        <v>-1.6112199378896328E-2</v>
      </c>
    </row>
    <row r="76" spans="2:4" x14ac:dyDescent="0.2">
      <c r="B76" s="16">
        <v>42643</v>
      </c>
      <c r="C76" s="23">
        <v>334.73941040039102</v>
      </c>
      <c r="D76" s="25">
        <f t="shared" si="2"/>
        <v>-4.318554770437643E-2</v>
      </c>
    </row>
    <row r="77" spans="2:4" x14ac:dyDescent="0.2">
      <c r="B77" s="16">
        <v>42674</v>
      </c>
      <c r="C77" s="23">
        <v>341.06924438476602</v>
      </c>
      <c r="D77" s="25">
        <f t="shared" si="2"/>
        <v>1.8909736313401853E-2</v>
      </c>
    </row>
    <row r="78" spans="2:4" x14ac:dyDescent="0.2">
      <c r="B78" s="16">
        <v>42704</v>
      </c>
      <c r="C78" s="23">
        <v>359.82754516601602</v>
      </c>
      <c r="D78" s="25">
        <f t="shared" si="2"/>
        <v>5.4998511563500697E-2</v>
      </c>
    </row>
    <row r="79" spans="2:4" x14ac:dyDescent="0.2">
      <c r="B79" s="16">
        <v>42735</v>
      </c>
      <c r="C79" s="23">
        <v>360.38195800781301</v>
      </c>
      <c r="D79" s="25">
        <f t="shared" si="2"/>
        <v>1.5407737657804812E-3</v>
      </c>
    </row>
    <row r="80" spans="2:4" x14ac:dyDescent="0.2">
      <c r="B80" s="16">
        <v>42766</v>
      </c>
      <c r="C80" s="23">
        <v>371.88653564453102</v>
      </c>
      <c r="D80" s="25">
        <f t="shared" si="2"/>
        <v>3.1923289668315175E-2</v>
      </c>
    </row>
    <row r="81" spans="2:4" x14ac:dyDescent="0.2">
      <c r="B81" s="16">
        <v>42794</v>
      </c>
      <c r="C81" s="23">
        <v>380.61883544921898</v>
      </c>
      <c r="D81" s="25">
        <f t="shared" si="2"/>
        <v>2.3481086212367615E-2</v>
      </c>
    </row>
    <row r="82" spans="2:4" x14ac:dyDescent="0.2">
      <c r="B82" s="16">
        <v>42825</v>
      </c>
      <c r="C82" s="23">
        <v>411.88739013671898</v>
      </c>
      <c r="D82" s="25">
        <f t="shared" si="2"/>
        <v>8.215188470795412E-2</v>
      </c>
    </row>
    <row r="83" spans="2:4" x14ac:dyDescent="0.2">
      <c r="B83" s="16">
        <v>42855</v>
      </c>
      <c r="C83" s="23">
        <v>407.34280395507801</v>
      </c>
      <c r="D83" s="25">
        <f t="shared" si="2"/>
        <v>-1.1033564732662654E-2</v>
      </c>
    </row>
    <row r="84" spans="2:4" x14ac:dyDescent="0.2">
      <c r="B84" s="16">
        <v>42886</v>
      </c>
      <c r="C84" s="23">
        <v>408.03839111328102</v>
      </c>
      <c r="D84" s="25">
        <f t="shared" si="2"/>
        <v>1.7076210784853366E-3</v>
      </c>
    </row>
    <row r="85" spans="2:4" x14ac:dyDescent="0.2">
      <c r="B85" s="16">
        <v>42916</v>
      </c>
      <c r="C85" s="23">
        <v>401.26791381835898</v>
      </c>
      <c r="D85" s="25">
        <f t="shared" si="2"/>
        <v>-1.659274578661497E-2</v>
      </c>
    </row>
    <row r="86" spans="2:4" x14ac:dyDescent="0.2">
      <c r="B86" s="16">
        <v>42947</v>
      </c>
      <c r="C86" s="23">
        <v>398.96432495117199</v>
      </c>
      <c r="D86" s="25">
        <f t="shared" si="2"/>
        <v>-5.7407751476230631E-3</v>
      </c>
    </row>
    <row r="87" spans="2:4" x14ac:dyDescent="0.2">
      <c r="B87" s="16">
        <v>42978</v>
      </c>
      <c r="C87" s="23">
        <v>414.15859985351602</v>
      </c>
      <c r="D87" s="25">
        <f t="shared" si="2"/>
        <v>3.80842946401376E-2</v>
      </c>
    </row>
    <row r="88" spans="2:4" x14ac:dyDescent="0.2">
      <c r="B88" s="16">
        <v>43008</v>
      </c>
      <c r="C88" s="23">
        <v>397.61264038085898</v>
      </c>
      <c r="D88" s="25">
        <f t="shared" si="2"/>
        <v>-3.995078088082487E-2</v>
      </c>
    </row>
    <row r="89" spans="2:4" x14ac:dyDescent="0.2">
      <c r="B89" s="16">
        <v>43039</v>
      </c>
      <c r="C89" s="23">
        <v>415.32373046875</v>
      </c>
      <c r="D89" s="25">
        <f t="shared" si="2"/>
        <v>4.4543579074664733E-2</v>
      </c>
    </row>
    <row r="90" spans="2:4" x14ac:dyDescent="0.2">
      <c r="B90" s="16">
        <v>43069</v>
      </c>
      <c r="C90" s="23">
        <v>412.80685424804699</v>
      </c>
      <c r="D90" s="25">
        <f t="shared" si="2"/>
        <v>-6.060034705607527E-3</v>
      </c>
    </row>
    <row r="91" spans="2:4" x14ac:dyDescent="0.2">
      <c r="B91" s="16">
        <v>43100</v>
      </c>
      <c r="C91" s="23">
        <v>415.97625732421898</v>
      </c>
      <c r="D91" s="25">
        <f t="shared" si="2"/>
        <v>7.6776900469476238E-3</v>
      </c>
    </row>
    <row r="92" spans="2:4" x14ac:dyDescent="0.2">
      <c r="B92" s="16">
        <v>43131</v>
      </c>
      <c r="C92" s="23">
        <v>414.99746704101602</v>
      </c>
      <c r="D92" s="25">
        <f t="shared" si="2"/>
        <v>-2.3529955519554298E-3</v>
      </c>
    </row>
    <row r="93" spans="2:4" x14ac:dyDescent="0.2">
      <c r="B93" s="16">
        <v>43159</v>
      </c>
      <c r="C93" s="23">
        <v>412.10778808593801</v>
      </c>
      <c r="D93" s="25">
        <f t="shared" si="2"/>
        <v>-6.9631243190031609E-3</v>
      </c>
    </row>
    <row r="94" spans="2:4" x14ac:dyDescent="0.2">
      <c r="B94" s="16">
        <v>43190</v>
      </c>
      <c r="C94" s="23">
        <v>450.36465454101602</v>
      </c>
      <c r="D94" s="25">
        <f t="shared" si="2"/>
        <v>9.2832185076541673E-2</v>
      </c>
    </row>
    <row r="95" spans="2:4" x14ac:dyDescent="0.2">
      <c r="B95" s="16">
        <v>43220</v>
      </c>
      <c r="C95" s="23">
        <v>501.15338134765602</v>
      </c>
      <c r="D95" s="25">
        <f t="shared" si="2"/>
        <v>0.11277245293239264</v>
      </c>
    </row>
    <row r="96" spans="2:4" x14ac:dyDescent="0.2">
      <c r="B96" s="16">
        <v>43251</v>
      </c>
      <c r="C96" s="23">
        <v>569.43298339843795</v>
      </c>
      <c r="D96" s="25">
        <f t="shared" si="2"/>
        <v>0.13624491940405678</v>
      </c>
    </row>
    <row r="97" spans="2:4" x14ac:dyDescent="0.2">
      <c r="B97" s="16">
        <v>43281</v>
      </c>
      <c r="C97" s="23">
        <v>489.92929077148398</v>
      </c>
      <c r="D97" s="25">
        <f t="shared" si="2"/>
        <v>-0.13961905078358353</v>
      </c>
    </row>
    <row r="98" spans="2:4" x14ac:dyDescent="0.2">
      <c r="B98" s="16">
        <v>43312</v>
      </c>
      <c r="C98" s="23">
        <v>513.11920166015602</v>
      </c>
      <c r="D98" s="25">
        <f t="shared" si="2"/>
        <v>4.7333179145413525E-2</v>
      </c>
    </row>
    <row r="99" spans="2:4" x14ac:dyDescent="0.2">
      <c r="B99" s="16">
        <v>43343</v>
      </c>
      <c r="C99" s="23">
        <v>530.74127197265602</v>
      </c>
      <c r="D99" s="25">
        <f t="shared" si="2"/>
        <v>3.4343034241332629E-2</v>
      </c>
    </row>
    <row r="100" spans="2:4" x14ac:dyDescent="0.2">
      <c r="B100" s="16">
        <v>43373</v>
      </c>
      <c r="C100" s="23">
        <v>540.59436035156295</v>
      </c>
      <c r="D100" s="25">
        <f t="shared" ref="D100:D131" si="3">(C100-C99)/C99</f>
        <v>1.8564767616969059E-2</v>
      </c>
    </row>
    <row r="101" spans="2:4" x14ac:dyDescent="0.2">
      <c r="B101" s="16">
        <v>43404</v>
      </c>
      <c r="C101" s="23">
        <v>478.44393920898398</v>
      </c>
      <c r="D101" s="25">
        <f t="shared" si="3"/>
        <v>-0.11496683225137772</v>
      </c>
    </row>
    <row r="102" spans="2:4" x14ac:dyDescent="0.2">
      <c r="B102" s="16">
        <v>43434</v>
      </c>
      <c r="C102" s="23">
        <v>452.57962036132801</v>
      </c>
      <c r="D102" s="25">
        <f t="shared" si="3"/>
        <v>-5.4059246503190522E-2</v>
      </c>
    </row>
    <row r="103" spans="2:4" x14ac:dyDescent="0.2">
      <c r="B103" s="16">
        <v>43465</v>
      </c>
      <c r="C103" s="23">
        <v>459.30612182617199</v>
      </c>
      <c r="D103" s="25">
        <f t="shared" si="3"/>
        <v>1.4862581438098583E-2</v>
      </c>
    </row>
    <row r="104" spans="2:4" x14ac:dyDescent="0.2">
      <c r="B104" s="16">
        <v>43496</v>
      </c>
      <c r="C104" s="23">
        <v>496.82379150390602</v>
      </c>
      <c r="D104" s="25">
        <f t="shared" si="3"/>
        <v>8.1683365178252268E-2</v>
      </c>
    </row>
    <row r="105" spans="2:4" x14ac:dyDescent="0.2">
      <c r="B105" s="16">
        <v>43524</v>
      </c>
      <c r="C105" s="23">
        <v>527.51989746093795</v>
      </c>
      <c r="D105" s="25">
        <f t="shared" si="3"/>
        <v>6.1784694054432376E-2</v>
      </c>
    </row>
    <row r="106" spans="2:4" x14ac:dyDescent="0.2">
      <c r="B106" s="16">
        <v>43555</v>
      </c>
      <c r="C106" s="23">
        <v>558.8056640625</v>
      </c>
      <c r="D106" s="25">
        <f t="shared" si="3"/>
        <v>5.930727305670723E-2</v>
      </c>
    </row>
    <row r="107" spans="2:4" x14ac:dyDescent="0.2">
      <c r="B107" s="16">
        <v>43585</v>
      </c>
      <c r="C107" s="23">
        <v>595.85681152343795</v>
      </c>
      <c r="D107" s="25">
        <f t="shared" si="3"/>
        <v>6.6304173067211328E-2</v>
      </c>
    </row>
    <row r="108" spans="2:4" x14ac:dyDescent="0.2">
      <c r="B108" s="16">
        <v>43616</v>
      </c>
      <c r="C108" s="23">
        <v>565.07580566406295</v>
      </c>
      <c r="D108" s="25">
        <f t="shared" si="3"/>
        <v>-5.1658393869286549E-2</v>
      </c>
    </row>
    <row r="109" spans="2:4" x14ac:dyDescent="0.2">
      <c r="B109" s="16">
        <v>43646</v>
      </c>
      <c r="C109" s="23">
        <v>602.5068359375</v>
      </c>
      <c r="D109" s="25">
        <f t="shared" si="3"/>
        <v>6.6240723630786202E-2</v>
      </c>
    </row>
    <row r="110" spans="2:4" x14ac:dyDescent="0.2">
      <c r="B110" s="16">
        <v>43677</v>
      </c>
      <c r="C110" s="23">
        <v>607.84027099609398</v>
      </c>
      <c r="D110" s="25">
        <f t="shared" si="3"/>
        <v>8.8520739358834959E-3</v>
      </c>
    </row>
    <row r="111" spans="2:4" x14ac:dyDescent="0.2">
      <c r="B111" s="16">
        <v>43708</v>
      </c>
      <c r="C111" s="23">
        <v>592.94494628906295</v>
      </c>
      <c r="D111" s="25">
        <f t="shared" si="3"/>
        <v>-2.4505327168634967E-2</v>
      </c>
    </row>
    <row r="112" spans="2:4" x14ac:dyDescent="0.2">
      <c r="B112" s="16">
        <v>43738</v>
      </c>
      <c r="C112" s="23">
        <v>605.357666015625</v>
      </c>
      <c r="D112" s="25">
        <f t="shared" si="3"/>
        <v>2.0934017237598305E-2</v>
      </c>
    </row>
    <row r="113" spans="2:4" x14ac:dyDescent="0.2">
      <c r="B113" s="16">
        <v>43769</v>
      </c>
      <c r="C113" s="23">
        <v>615.86065673828102</v>
      </c>
      <c r="D113" s="25">
        <f t="shared" si="3"/>
        <v>1.7350058175995622E-2</v>
      </c>
    </row>
    <row r="114" spans="2:4" x14ac:dyDescent="0.2">
      <c r="B114" s="16">
        <v>43799</v>
      </c>
      <c r="C114" s="23">
        <v>649.27935791015602</v>
      </c>
      <c r="D114" s="25">
        <f t="shared" si="3"/>
        <v>5.426341300784987E-2</v>
      </c>
    </row>
    <row r="115" spans="2:4" x14ac:dyDescent="0.2">
      <c r="B115" s="16">
        <v>43830</v>
      </c>
      <c r="C115" s="23">
        <v>636.10290527343795</v>
      </c>
      <c r="D115" s="25">
        <f t="shared" si="3"/>
        <v>-2.0293965110995193E-2</v>
      </c>
    </row>
    <row r="116" spans="2:4" x14ac:dyDescent="0.2">
      <c r="B116" s="16">
        <v>43861</v>
      </c>
      <c r="C116" s="23">
        <v>646.03308105468795</v>
      </c>
      <c r="D116" s="25">
        <f t="shared" si="3"/>
        <v>1.5610958068146807E-2</v>
      </c>
    </row>
    <row r="117" spans="2:4" x14ac:dyDescent="0.2">
      <c r="B117" s="16">
        <v>43890</v>
      </c>
      <c r="C117" s="23">
        <v>601.538330078125</v>
      </c>
      <c r="D117" s="25">
        <f t="shared" si="3"/>
        <v>-6.8873796530546996E-2</v>
      </c>
    </row>
    <row r="118" spans="2:4" x14ac:dyDescent="0.2">
      <c r="B118" s="16">
        <v>43921</v>
      </c>
      <c r="C118" s="23">
        <v>600.39251708984398</v>
      </c>
      <c r="D118" s="25">
        <f t="shared" si="3"/>
        <v>-1.9048046167435577E-3</v>
      </c>
    </row>
    <row r="119" spans="2:4" x14ac:dyDescent="0.2">
      <c r="B119" s="16">
        <v>43951</v>
      </c>
      <c r="C119" s="23">
        <v>639.14080810546898</v>
      </c>
      <c r="D119" s="25">
        <f t="shared" si="3"/>
        <v>6.4538264406494308E-2</v>
      </c>
    </row>
    <row r="120" spans="2:4" x14ac:dyDescent="0.2">
      <c r="B120" s="16">
        <v>43982</v>
      </c>
      <c r="C120" s="23">
        <v>718.90576171875</v>
      </c>
      <c r="D120" s="25">
        <f t="shared" si="3"/>
        <v>0.12480028281986724</v>
      </c>
    </row>
    <row r="121" spans="2:4" x14ac:dyDescent="0.2">
      <c r="B121" s="16">
        <v>44012</v>
      </c>
      <c r="C121" s="23">
        <v>715.060302734375</v>
      </c>
      <c r="D121" s="25">
        <f t="shared" si="3"/>
        <v>-5.3490446024265122E-3</v>
      </c>
    </row>
    <row r="122" spans="2:4" x14ac:dyDescent="0.2">
      <c r="B122" s="16">
        <v>44043</v>
      </c>
      <c r="C122" s="23">
        <v>659.68597412109398</v>
      </c>
      <c r="D122" s="25">
        <f t="shared" si="3"/>
        <v>-7.7440082188216575E-2</v>
      </c>
    </row>
    <row r="123" spans="2:4" x14ac:dyDescent="0.2">
      <c r="B123" s="16">
        <v>44074</v>
      </c>
      <c r="C123" s="23">
        <v>691.60321044921898</v>
      </c>
      <c r="D123" s="25">
        <f t="shared" si="3"/>
        <v>4.8382469205364938E-2</v>
      </c>
    </row>
    <row r="124" spans="2:4" x14ac:dyDescent="0.2">
      <c r="B124" s="16">
        <v>44104</v>
      </c>
      <c r="C124" s="23">
        <v>707.75402832031295</v>
      </c>
      <c r="D124" s="25">
        <f t="shared" si="3"/>
        <v>2.3352722525107266E-2</v>
      </c>
    </row>
    <row r="125" spans="2:4" x14ac:dyDescent="0.2">
      <c r="B125" s="16">
        <v>44135</v>
      </c>
      <c r="C125" s="23">
        <v>768.12756347656295</v>
      </c>
      <c r="D125" s="25">
        <f t="shared" si="3"/>
        <v>8.530299050297506E-2</v>
      </c>
    </row>
    <row r="126" spans="2:4" x14ac:dyDescent="0.2">
      <c r="B126" s="16">
        <v>44165</v>
      </c>
      <c r="C126" s="23">
        <v>785.81652832031295</v>
      </c>
      <c r="D126" s="25">
        <f t="shared" si="3"/>
        <v>2.3028681282688698E-2</v>
      </c>
    </row>
    <row r="127" spans="2:4" x14ac:dyDescent="0.2">
      <c r="B127" s="16">
        <v>44196</v>
      </c>
      <c r="C127" s="23">
        <v>845.61315917968795</v>
      </c>
      <c r="D127" s="25">
        <f t="shared" si="3"/>
        <v>7.609490091432744E-2</v>
      </c>
    </row>
    <row r="128" spans="2:4" x14ac:dyDescent="0.2">
      <c r="B128" s="16">
        <v>44227</v>
      </c>
      <c r="C128" s="23">
        <v>810.04284667968795</v>
      </c>
      <c r="D128" s="25">
        <f t="shared" si="3"/>
        <v>-4.2064521009235516E-2</v>
      </c>
    </row>
    <row r="129" spans="2:4" x14ac:dyDescent="0.2">
      <c r="B129" s="16">
        <v>44255</v>
      </c>
      <c r="C129" s="23">
        <v>887.52850341796898</v>
      </c>
      <c r="D129" s="25">
        <f t="shared" si="3"/>
        <v>9.565624467383374E-2</v>
      </c>
    </row>
    <row r="130" spans="2:4" x14ac:dyDescent="0.2">
      <c r="B130" s="16">
        <v>44286</v>
      </c>
      <c r="C130" s="23">
        <v>907.52484130859398</v>
      </c>
      <c r="D130" s="25">
        <f t="shared" si="3"/>
        <v>2.2530361350217964E-2</v>
      </c>
    </row>
    <row r="131" spans="2:4" x14ac:dyDescent="0.2">
      <c r="B131" s="16">
        <v>44316</v>
      </c>
      <c r="C131" s="23">
        <v>1005.28448486328</v>
      </c>
      <c r="D131" s="25">
        <f t="shared" si="3"/>
        <v>0.10772117644044073</v>
      </c>
    </row>
    <row r="132" spans="2:4" x14ac:dyDescent="0.2">
      <c r="B132" s="16">
        <v>44347</v>
      </c>
      <c r="C132" s="23">
        <v>1109.76086425781</v>
      </c>
      <c r="D132" s="25">
        <f t="shared" ref="D132:D163" si="4">(C132-C131)/C131</f>
        <v>0.10392717779658056</v>
      </c>
    </row>
    <row r="133" spans="2:4" x14ac:dyDescent="0.2">
      <c r="B133" s="16">
        <v>44377</v>
      </c>
      <c r="C133" s="23">
        <v>1186.3193359375</v>
      </c>
      <c r="D133" s="25">
        <f t="shared" si="4"/>
        <v>6.8986458385240548E-2</v>
      </c>
    </row>
    <row r="134" spans="2:4" x14ac:dyDescent="0.2">
      <c r="B134" s="16">
        <v>44408</v>
      </c>
      <c r="C134" s="23">
        <v>1244.74206542969</v>
      </c>
      <c r="D134" s="25">
        <f t="shared" si="4"/>
        <v>4.9247051550433414E-2</v>
      </c>
    </row>
    <row r="135" spans="2:4" x14ac:dyDescent="0.2">
      <c r="B135" s="16">
        <v>44439</v>
      </c>
      <c r="C135" s="23">
        <v>1201.76977539063</v>
      </c>
      <c r="D135" s="25">
        <f t="shared" si="4"/>
        <v>-3.4523047973176506E-2</v>
      </c>
    </row>
    <row r="136" spans="2:4" x14ac:dyDescent="0.2">
      <c r="B136" s="16">
        <v>44469</v>
      </c>
      <c r="C136" s="23">
        <v>1155.41796875</v>
      </c>
      <c r="D136" s="25">
        <f t="shared" si="4"/>
        <v>-3.8569622559831436E-2</v>
      </c>
    </row>
    <row r="137" spans="2:4" x14ac:dyDescent="0.2">
      <c r="B137" s="16">
        <v>44500</v>
      </c>
      <c r="C137" s="23">
        <v>1323.44372558594</v>
      </c>
      <c r="D137" s="25">
        <f t="shared" si="4"/>
        <v>0.14542421996233992</v>
      </c>
    </row>
    <row r="138" spans="2:4" x14ac:dyDescent="0.2">
      <c r="B138" s="16">
        <v>44530</v>
      </c>
      <c r="C138" s="23">
        <v>1596.244140625</v>
      </c>
      <c r="D138" s="25">
        <f t="shared" si="4"/>
        <v>0.20612921408371984</v>
      </c>
    </row>
    <row r="139" spans="2:4" x14ac:dyDescent="0.2">
      <c r="B139" s="16">
        <v>44561</v>
      </c>
      <c r="C139" s="23">
        <v>1483.26123046875</v>
      </c>
      <c r="D139" s="25">
        <f t="shared" si="4"/>
        <v>-7.0780469779523958E-2</v>
      </c>
    </row>
    <row r="140" spans="2:4" x14ac:dyDescent="0.2">
      <c r="B140" s="16">
        <v>44592</v>
      </c>
      <c r="C140" s="23">
        <v>1273.22912597656</v>
      </c>
      <c r="D140" s="25">
        <f t="shared" si="4"/>
        <v>-0.14160156024964954</v>
      </c>
    </row>
    <row r="141" spans="2:4" x14ac:dyDescent="0.2">
      <c r="B141" s="16">
        <v>44620</v>
      </c>
      <c r="C141" s="23">
        <v>1199.35583496094</v>
      </c>
      <c r="D141" s="25">
        <f t="shared" si="4"/>
        <v>-5.8020421861587228E-2</v>
      </c>
    </row>
    <row r="142" spans="2:4" x14ac:dyDescent="0.2">
      <c r="B142" s="16">
        <v>44651</v>
      </c>
      <c r="C142" s="23">
        <v>1249.75341796875</v>
      </c>
      <c r="D142" s="25">
        <f t="shared" si="4"/>
        <v>4.2020542643586109E-2</v>
      </c>
    </row>
    <row r="143" spans="2:4" x14ac:dyDescent="0.2">
      <c r="B143" s="16">
        <v>44681</v>
      </c>
      <c r="C143" s="23">
        <v>1148.1474609375</v>
      </c>
      <c r="D143" s="25">
        <f t="shared" si="4"/>
        <v>-8.1300803478811245E-2</v>
      </c>
    </row>
    <row r="144" spans="2:4" x14ac:dyDescent="0.2">
      <c r="B144" s="16">
        <v>44712</v>
      </c>
      <c r="C144" s="23">
        <v>1078.93505859375</v>
      </c>
      <c r="D144" s="25">
        <f t="shared" si="4"/>
        <v>-6.0281805864236121E-2</v>
      </c>
    </row>
    <row r="145" spans="2:4" x14ac:dyDescent="0.2">
      <c r="B145" s="16">
        <v>44742</v>
      </c>
      <c r="C145" s="23">
        <v>1037.13818359375</v>
      </c>
      <c r="D145" s="25">
        <f t="shared" si="4"/>
        <v>-3.8739009050717782E-2</v>
      </c>
    </row>
    <row r="146" spans="2:4" x14ac:dyDescent="0.2">
      <c r="B146" s="16">
        <v>44773</v>
      </c>
      <c r="C146" s="23">
        <v>1296.66577148438</v>
      </c>
      <c r="D146" s="25">
        <f t="shared" si="4"/>
        <v>0.25023433906497428</v>
      </c>
    </row>
    <row r="147" spans="2:4" x14ac:dyDescent="0.2">
      <c r="B147" s="16">
        <v>44804</v>
      </c>
      <c r="C147" s="23">
        <v>1246.60729980469</v>
      </c>
      <c r="D147" s="25">
        <f t="shared" si="4"/>
        <v>-3.8605531803607894E-2</v>
      </c>
    </row>
    <row r="148" spans="2:4" x14ac:dyDescent="0.2">
      <c r="B148" s="16">
        <v>44834</v>
      </c>
      <c r="C148" s="23">
        <v>1182.94030761719</v>
      </c>
      <c r="D148" s="25">
        <f t="shared" si="4"/>
        <v>-5.1072211912664811E-2</v>
      </c>
    </row>
    <row r="149" spans="2:4" x14ac:dyDescent="0.2">
      <c r="B149" s="16">
        <v>44865</v>
      </c>
      <c r="C149" s="23">
        <v>1273.82360839844</v>
      </c>
      <c r="D149" s="25">
        <f t="shared" si="4"/>
        <v>7.6828306716775305E-2</v>
      </c>
    </row>
    <row r="150" spans="2:4" x14ac:dyDescent="0.2">
      <c r="B150" s="16">
        <v>44895</v>
      </c>
      <c r="C150" s="23">
        <v>1499.33093261719</v>
      </c>
      <c r="D150" s="25">
        <f t="shared" si="4"/>
        <v>0.17703182978550469</v>
      </c>
    </row>
    <row r="151" spans="2:4" x14ac:dyDescent="0.2">
      <c r="B151" s="16">
        <v>44926</v>
      </c>
      <c r="C151" s="23">
        <v>1404.55932617188</v>
      </c>
      <c r="D151" s="25">
        <f t="shared" si="4"/>
        <v>-6.3209265135268936E-2</v>
      </c>
    </row>
    <row r="152" spans="2:4" x14ac:dyDescent="0.2">
      <c r="B152" s="16">
        <v>44957</v>
      </c>
      <c r="C152" s="23">
        <v>1666.51696777344</v>
      </c>
      <c r="D152" s="25">
        <f t="shared" si="4"/>
        <v>0.18650521677537421</v>
      </c>
    </row>
    <row r="153" spans="2:4" x14ac:dyDescent="0.2">
      <c r="B153" s="16">
        <v>44985</v>
      </c>
      <c r="C153" s="23">
        <v>1667.48901367188</v>
      </c>
      <c r="D153" s="25">
        <f t="shared" si="4"/>
        <v>5.8327992887987744E-4</v>
      </c>
    </row>
    <row r="154" spans="2:4" x14ac:dyDescent="0.2">
      <c r="B154" s="16">
        <v>45016</v>
      </c>
      <c r="C154" s="23">
        <v>1815.47021484375</v>
      </c>
      <c r="D154" s="25">
        <f t="shared" si="4"/>
        <v>8.8744933225082701E-2</v>
      </c>
    </row>
    <row r="155" spans="2:4" x14ac:dyDescent="0.2">
      <c r="B155" s="16">
        <v>45046</v>
      </c>
      <c r="C155" s="23">
        <v>1915.59399414063</v>
      </c>
      <c r="D155" s="25">
        <f t="shared" si="4"/>
        <v>5.5150328811920078E-2</v>
      </c>
    </row>
    <row r="156" spans="2:4" x14ac:dyDescent="0.2">
      <c r="B156" s="16">
        <v>45077</v>
      </c>
      <c r="C156" s="23">
        <v>1861.06481933594</v>
      </c>
      <c r="D156" s="25">
        <f t="shared" si="4"/>
        <v>-2.8465935355551569E-2</v>
      </c>
    </row>
    <row r="157" spans="2:4" x14ac:dyDescent="0.2">
      <c r="B157" s="16">
        <v>45107</v>
      </c>
      <c r="C157" s="23">
        <v>1947.37561035156</v>
      </c>
      <c r="D157" s="25">
        <f t="shared" si="4"/>
        <v>4.6377100957943625E-2</v>
      </c>
    </row>
    <row r="158" spans="2:4" x14ac:dyDescent="0.2">
      <c r="B158" s="16">
        <v>45138</v>
      </c>
      <c r="C158" s="23">
        <v>1973.30786132813</v>
      </c>
      <c r="D158" s="25">
        <f t="shared" si="4"/>
        <v>1.3316512150364486E-2</v>
      </c>
    </row>
    <row r="159" spans="2:4" x14ac:dyDescent="0.2">
      <c r="B159" s="16">
        <v>45169</v>
      </c>
      <c r="C159" s="23">
        <v>1860.08630371094</v>
      </c>
      <c r="D159" s="25">
        <f t="shared" si="4"/>
        <v>-5.73765299556383E-2</v>
      </c>
    </row>
    <row r="160" spans="2:4" x14ac:dyDescent="0.2">
      <c r="B160" s="16">
        <v>45199</v>
      </c>
      <c r="C160" s="23">
        <v>1692.7490234375</v>
      </c>
      <c r="D160" s="25">
        <f t="shared" si="4"/>
        <v>-8.9962105489189412E-2</v>
      </c>
    </row>
    <row r="161" spans="2:4" x14ac:dyDescent="0.2">
      <c r="B161" s="16">
        <v>45230</v>
      </c>
      <c r="C161" s="23">
        <v>1721.91064453125</v>
      </c>
      <c r="D161" s="25">
        <f t="shared" si="4"/>
        <v>1.7227374341962934E-2</v>
      </c>
    </row>
    <row r="162" spans="2:4" x14ac:dyDescent="0.2">
      <c r="B162" s="16">
        <v>45260</v>
      </c>
      <c r="C162" s="23">
        <v>1863.41333007813</v>
      </c>
      <c r="D162" s="25">
        <f t="shared" si="4"/>
        <v>8.2177716942681889E-2</v>
      </c>
    </row>
    <row r="163" spans="2:4" x14ac:dyDescent="0.2">
      <c r="B163" s="16">
        <v>45291</v>
      </c>
      <c r="C163" s="23">
        <v>1877.70068359375</v>
      </c>
      <c r="D163" s="25">
        <f t="shared" si="4"/>
        <v>7.667302409509409E-3</v>
      </c>
    </row>
    <row r="164" spans="2:4" x14ac:dyDescent="0.2">
      <c r="B164" s="16">
        <v>45322</v>
      </c>
      <c r="C164" s="23">
        <v>1915.86535644531</v>
      </c>
      <c r="D164" s="25">
        <f t="shared" ref="D164:D183" si="5">(C164-C163)/C163</f>
        <v>2.03252164655531E-2</v>
      </c>
    </row>
    <row r="165" spans="2:4" x14ac:dyDescent="0.2">
      <c r="B165" s="16">
        <v>45351</v>
      </c>
      <c r="C165" s="23">
        <v>2263.45727539063</v>
      </c>
      <c r="D165" s="25">
        <f t="shared" si="5"/>
        <v>0.18142815609456026</v>
      </c>
    </row>
    <row r="166" spans="2:4" x14ac:dyDescent="0.2">
      <c r="B166" s="16">
        <v>45382</v>
      </c>
      <c r="C166" s="23">
        <v>2319.03564453125</v>
      </c>
      <c r="D166" s="25">
        <f t="shared" si="5"/>
        <v>2.4554635841769191E-2</v>
      </c>
    </row>
    <row r="167" spans="2:4" x14ac:dyDescent="0.2">
      <c r="B167" s="16">
        <v>45412</v>
      </c>
      <c r="C167" s="23">
        <v>2206.318359375</v>
      </c>
      <c r="D167" s="25">
        <f t="shared" si="5"/>
        <v>-4.8605240467976381E-2</v>
      </c>
    </row>
    <row r="168" spans="2:4" x14ac:dyDescent="0.2">
      <c r="B168" s="16">
        <v>45443</v>
      </c>
      <c r="C168" s="23">
        <v>2132.80712890625</v>
      </c>
      <c r="D168" s="25">
        <f t="shared" si="5"/>
        <v>-3.3318505534973689E-2</v>
      </c>
    </row>
    <row r="169" spans="2:4" x14ac:dyDescent="0.2">
      <c r="B169" s="16">
        <v>45473</v>
      </c>
      <c r="C169" s="23">
        <v>2117.7490234375</v>
      </c>
      <c r="D169" s="25">
        <f t="shared" si="5"/>
        <v>-7.0602284025898417E-3</v>
      </c>
    </row>
    <row r="170" spans="2:4" x14ac:dyDescent="0.2">
      <c r="B170" s="16">
        <v>45504</v>
      </c>
      <c r="C170" s="23">
        <v>2001.96545410156</v>
      </c>
      <c r="D170" s="25">
        <f t="shared" si="5"/>
        <v>-5.467294190885838E-2</v>
      </c>
    </row>
    <row r="171" spans="2:4" x14ac:dyDescent="0.2">
      <c r="B171" s="16">
        <v>45535</v>
      </c>
      <c r="C171" s="23">
        <v>2146.44750976563</v>
      </c>
      <c r="D171" s="25">
        <f t="shared" si="5"/>
        <v>7.2170104318263831E-2</v>
      </c>
    </row>
    <row r="172" spans="2:4" x14ac:dyDescent="0.2">
      <c r="B172" s="16">
        <v>45565</v>
      </c>
      <c r="C172" s="23">
        <v>2183.06274414063</v>
      </c>
      <c r="D172" s="25">
        <f t="shared" si="5"/>
        <v>1.7058527734040888E-2</v>
      </c>
    </row>
    <row r="173" spans="2:4" x14ac:dyDescent="0.2">
      <c r="B173" s="16">
        <v>45596</v>
      </c>
      <c r="C173" s="23">
        <v>2052.43505859375</v>
      </c>
      <c r="D173" s="25">
        <f t="shared" si="5"/>
        <v>-5.9836890120307573E-2</v>
      </c>
    </row>
    <row r="174" spans="2:4" x14ac:dyDescent="0.2">
      <c r="B174" s="16">
        <v>45626</v>
      </c>
      <c r="C174" s="23">
        <v>2043.52880859375</v>
      </c>
      <c r="D174" s="25">
        <f t="shared" si="5"/>
        <v>-4.3393577607772019E-3</v>
      </c>
    </row>
    <row r="175" spans="2:4" x14ac:dyDescent="0.2">
      <c r="B175" s="16">
        <v>45657</v>
      </c>
      <c r="C175" s="23">
        <v>2297.85668945313</v>
      </c>
      <c r="D175" s="25">
        <f t="shared" si="5"/>
        <v>0.12445524613592074</v>
      </c>
    </row>
    <row r="176" spans="2:4" x14ac:dyDescent="0.2">
      <c r="B176" s="16">
        <v>45688</v>
      </c>
      <c r="C176" s="23">
        <v>2695.6767578125</v>
      </c>
      <c r="D176" s="25">
        <f t="shared" si="5"/>
        <v>0.17312657929683498</v>
      </c>
    </row>
    <row r="177" spans="2:4" x14ac:dyDescent="0.2">
      <c r="B177" s="16">
        <v>45716</v>
      </c>
      <c r="C177" s="23">
        <v>2708.54150390625</v>
      </c>
      <c r="D177" s="25">
        <f t="shared" si="5"/>
        <v>4.772362285821518E-3</v>
      </c>
    </row>
    <row r="178" spans="2:4" x14ac:dyDescent="0.2">
      <c r="B178" s="16">
        <v>45747</v>
      </c>
      <c r="C178" s="23">
        <v>2388.87622070313</v>
      </c>
      <c r="D178" s="25">
        <f t="shared" si="5"/>
        <v>-0.11802118695323655</v>
      </c>
    </row>
    <row r="179" spans="2:4" x14ac:dyDescent="0.2">
      <c r="B179" s="16">
        <v>45777</v>
      </c>
      <c r="C179" s="23">
        <v>2369.05981445313</v>
      </c>
      <c r="D179" s="25">
        <f t="shared" si="5"/>
        <v>-8.2952838151519361E-3</v>
      </c>
    </row>
    <row r="180" spans="2:4" x14ac:dyDescent="0.2">
      <c r="B180" s="16">
        <v>45808</v>
      </c>
      <c r="C180" s="23">
        <v>2405.72021484375</v>
      </c>
      <c r="D180" s="25">
        <f t="shared" si="5"/>
        <v>1.5474662212816534E-2</v>
      </c>
    </row>
    <row r="181" spans="2:4" x14ac:dyDescent="0.2">
      <c r="B181" s="16">
        <v>45838</v>
      </c>
      <c r="C181" s="23">
        <v>2299</v>
      </c>
      <c r="D181" s="25">
        <f t="shared" si="5"/>
        <v>-4.4361025103944351E-2</v>
      </c>
    </row>
    <row r="182" spans="2:4" x14ac:dyDescent="0.2">
      <c r="B182" s="16">
        <v>45869</v>
      </c>
      <c r="C182" s="23">
        <v>2151</v>
      </c>
      <c r="D182" s="25">
        <f t="shared" si="5"/>
        <v>-6.4375815571987821E-2</v>
      </c>
    </row>
    <row r="183" spans="2:4" x14ac:dyDescent="0.2">
      <c r="B183" s="16">
        <v>45900</v>
      </c>
      <c r="C183" s="23">
        <v>2091</v>
      </c>
      <c r="D183" s="25">
        <f t="shared" si="5"/>
        <v>-2.7894002789400279E-2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7" tint="0.79998168889431442"/>
  </sheetPr>
  <dimension ref="B2:D183"/>
  <sheetViews>
    <sheetView showGridLines="0" workbookViewId="0">
      <selection activeCell="N31" sqref="N31"/>
    </sheetView>
  </sheetViews>
  <sheetFormatPr baseColWidth="10" defaultColWidth="10.83203125" defaultRowHeight="15" x14ac:dyDescent="0.2"/>
  <cols>
    <col min="3" max="3" width="12.6640625" bestFit="1" customWidth="1"/>
  </cols>
  <sheetData>
    <row r="2" spans="2:4" x14ac:dyDescent="0.2">
      <c r="B2" s="21" t="s">
        <v>308</v>
      </c>
      <c r="C2" t="s">
        <v>28</v>
      </c>
      <c r="D2" t="s">
        <v>310</v>
      </c>
    </row>
    <row r="3" spans="2:4" x14ac:dyDescent="0.2">
      <c r="B3" s="16" t="s">
        <v>237</v>
      </c>
      <c r="C3" s="23">
        <v>44.549373626708999</v>
      </c>
    </row>
    <row r="4" spans="2:4" x14ac:dyDescent="0.2">
      <c r="B4" s="16">
        <v>40451</v>
      </c>
      <c r="C4" s="23">
        <v>44.231639862060597</v>
      </c>
      <c r="D4" s="25">
        <f t="shared" ref="D4:D35" si="0">(C4-C3)/C3</f>
        <v>-7.1321713142540981E-3</v>
      </c>
    </row>
    <row r="5" spans="2:4" x14ac:dyDescent="0.2">
      <c r="B5" s="16">
        <v>40482</v>
      </c>
      <c r="C5" s="23">
        <v>46.008110046386697</v>
      </c>
      <c r="D5" s="25">
        <f t="shared" si="0"/>
        <v>4.0162883172908462E-2</v>
      </c>
    </row>
    <row r="6" spans="2:4" x14ac:dyDescent="0.2">
      <c r="B6" s="16">
        <v>40512</v>
      </c>
      <c r="C6" s="23">
        <v>45.343746185302699</v>
      </c>
      <c r="D6" s="25">
        <f t="shared" si="0"/>
        <v>-1.4440146757042789E-2</v>
      </c>
    </row>
    <row r="7" spans="2:4" x14ac:dyDescent="0.2">
      <c r="B7" s="16">
        <v>40543</v>
      </c>
      <c r="C7" s="23">
        <v>51.404064178466797</v>
      </c>
      <c r="D7" s="25">
        <f t="shared" si="0"/>
        <v>0.13365278573141876</v>
      </c>
    </row>
    <row r="8" spans="2:4" x14ac:dyDescent="0.2">
      <c r="B8" s="16">
        <v>40574</v>
      </c>
      <c r="C8" s="23">
        <v>50.870738983154297</v>
      </c>
      <c r="D8" s="25">
        <f t="shared" si="0"/>
        <v>-1.0375156202841844E-2</v>
      </c>
    </row>
    <row r="9" spans="2:4" x14ac:dyDescent="0.2">
      <c r="B9" s="16">
        <v>40602</v>
      </c>
      <c r="C9" s="23">
        <v>48.810474395752003</v>
      </c>
      <c r="D9" s="25">
        <f t="shared" si="0"/>
        <v>-4.0499993288568993E-2</v>
      </c>
    </row>
    <row r="10" spans="2:4" x14ac:dyDescent="0.2">
      <c r="B10" s="16">
        <v>40633</v>
      </c>
      <c r="C10" s="23">
        <v>48.1456489562988</v>
      </c>
      <c r="D10" s="25">
        <f t="shared" si="0"/>
        <v>-1.362054861550502E-2</v>
      </c>
    </row>
    <row r="11" spans="2:4" x14ac:dyDescent="0.2">
      <c r="B11" s="16">
        <v>40663</v>
      </c>
      <c r="C11" s="23">
        <v>49.577610015869098</v>
      </c>
      <c r="D11" s="25">
        <f t="shared" si="0"/>
        <v>2.9742273509908889E-2</v>
      </c>
    </row>
    <row r="12" spans="2:4" x14ac:dyDescent="0.2">
      <c r="B12" s="16">
        <v>40694</v>
      </c>
      <c r="C12" s="23">
        <v>51.250652313232401</v>
      </c>
      <c r="D12" s="25">
        <f t="shared" si="0"/>
        <v>3.3745924759741044E-2</v>
      </c>
    </row>
    <row r="13" spans="2:4" x14ac:dyDescent="0.2">
      <c r="B13" s="16">
        <v>40724</v>
      </c>
      <c r="C13" s="23">
        <v>49.657970428466797</v>
      </c>
      <c r="D13" s="25">
        <f t="shared" si="0"/>
        <v>-3.1076324161329539E-2</v>
      </c>
    </row>
    <row r="14" spans="2:4" x14ac:dyDescent="0.2">
      <c r="B14" s="16">
        <v>40755</v>
      </c>
      <c r="C14" s="23">
        <v>50.498119354248097</v>
      </c>
      <c r="D14" s="25">
        <f t="shared" si="0"/>
        <v>1.6918712515477236E-2</v>
      </c>
    </row>
    <row r="15" spans="2:4" x14ac:dyDescent="0.2">
      <c r="B15" s="16">
        <v>40786</v>
      </c>
      <c r="C15" s="23">
        <v>46.116249084472699</v>
      </c>
      <c r="D15" s="25">
        <f t="shared" si="0"/>
        <v>-8.6772939780910427E-2</v>
      </c>
    </row>
    <row r="16" spans="2:4" x14ac:dyDescent="0.2">
      <c r="B16" s="16">
        <v>40816</v>
      </c>
      <c r="C16" s="23">
        <v>43.408294677734403</v>
      </c>
      <c r="D16" s="25">
        <f t="shared" si="0"/>
        <v>-5.87201791233724E-2</v>
      </c>
    </row>
    <row r="17" spans="2:4" x14ac:dyDescent="0.2">
      <c r="B17" s="16">
        <v>40847</v>
      </c>
      <c r="C17" s="23">
        <v>49.805538177490199</v>
      </c>
      <c r="D17" s="25">
        <f t="shared" si="0"/>
        <v>0.14737375764814736</v>
      </c>
    </row>
    <row r="18" spans="2:4" x14ac:dyDescent="0.2">
      <c r="B18" s="16">
        <v>40877</v>
      </c>
      <c r="C18" s="23">
        <v>51.6797065734863</v>
      </c>
      <c r="D18" s="25">
        <f t="shared" si="0"/>
        <v>3.7629718793865743E-2</v>
      </c>
    </row>
    <row r="19" spans="2:4" x14ac:dyDescent="0.2">
      <c r="B19" s="16">
        <v>40908</v>
      </c>
      <c r="C19" s="23">
        <v>53.486446380615199</v>
      </c>
      <c r="D19" s="25">
        <f t="shared" si="0"/>
        <v>3.4960334083162674E-2</v>
      </c>
    </row>
    <row r="20" spans="2:4" x14ac:dyDescent="0.2">
      <c r="B20" s="16">
        <v>40939</v>
      </c>
      <c r="C20" s="23">
        <v>54.777694702148402</v>
      </c>
      <c r="D20" s="25">
        <f t="shared" si="0"/>
        <v>2.4141598646216723E-2</v>
      </c>
    </row>
    <row r="21" spans="2:4" x14ac:dyDescent="0.2">
      <c r="B21" s="16">
        <v>40968</v>
      </c>
      <c r="C21" s="23">
        <v>57.964813232421903</v>
      </c>
      <c r="D21" s="25">
        <f t="shared" si="0"/>
        <v>5.8182779461664738E-2</v>
      </c>
    </row>
    <row r="22" spans="2:4" x14ac:dyDescent="0.2">
      <c r="B22" s="16">
        <v>40999</v>
      </c>
      <c r="C22" s="23">
        <v>58.517120361328097</v>
      </c>
      <c r="D22" s="25">
        <f t="shared" si="0"/>
        <v>9.5283172343125395E-3</v>
      </c>
    </row>
    <row r="23" spans="2:4" x14ac:dyDescent="0.2">
      <c r="B23" s="16">
        <v>41029</v>
      </c>
      <c r="C23" s="23">
        <v>58.524593353271499</v>
      </c>
      <c r="D23" s="25">
        <f t="shared" si="0"/>
        <v>1.2770607810600067E-4</v>
      </c>
    </row>
    <row r="24" spans="2:4" x14ac:dyDescent="0.2">
      <c r="B24" s="16">
        <v>41060</v>
      </c>
      <c r="C24" s="23">
        <v>58.964950561523402</v>
      </c>
      <c r="D24" s="25">
        <f t="shared" si="0"/>
        <v>7.5243104312366421E-3</v>
      </c>
    </row>
    <row r="25" spans="2:4" x14ac:dyDescent="0.2">
      <c r="B25" s="16">
        <v>41090</v>
      </c>
      <c r="C25" s="23">
        <v>62.890987396240199</v>
      </c>
      <c r="D25" s="25">
        <f t="shared" si="0"/>
        <v>6.6582551114333796E-2</v>
      </c>
    </row>
    <row r="26" spans="2:4" x14ac:dyDescent="0.2">
      <c r="B26" s="16">
        <v>41121</v>
      </c>
      <c r="C26" s="23">
        <v>65.316741943359403</v>
      </c>
      <c r="D26" s="25">
        <f t="shared" si="0"/>
        <v>3.857078172164654E-2</v>
      </c>
    </row>
    <row r="27" spans="2:4" x14ac:dyDescent="0.2">
      <c r="B27" s="16">
        <v>41152</v>
      </c>
      <c r="C27" s="23">
        <v>64.494499206542997</v>
      </c>
      <c r="D27" s="25">
        <f t="shared" si="0"/>
        <v>-1.2588544871534298E-2</v>
      </c>
    </row>
    <row r="28" spans="2:4" x14ac:dyDescent="0.2">
      <c r="B28" s="16">
        <v>41182</v>
      </c>
      <c r="C28" s="23">
        <v>65.729133605957003</v>
      </c>
      <c r="D28" s="25">
        <f t="shared" si="0"/>
        <v>1.9143251201317203E-2</v>
      </c>
    </row>
    <row r="29" spans="2:4" x14ac:dyDescent="0.2">
      <c r="B29" s="16">
        <v>41213</v>
      </c>
      <c r="C29" s="23">
        <v>62.507049560546903</v>
      </c>
      <c r="D29" s="25">
        <f t="shared" si="0"/>
        <v>-4.9020637708787375E-2</v>
      </c>
    </row>
    <row r="30" spans="2:4" x14ac:dyDescent="0.2">
      <c r="B30" s="16">
        <v>41243</v>
      </c>
      <c r="C30" s="23">
        <v>65.540931701660199</v>
      </c>
      <c r="D30" s="25">
        <f t="shared" si="0"/>
        <v>4.8536639666131615E-2</v>
      </c>
    </row>
    <row r="31" spans="2:4" x14ac:dyDescent="0.2">
      <c r="B31" s="16">
        <v>41274</v>
      </c>
      <c r="C31" s="23">
        <v>66.506927490234403</v>
      </c>
      <c r="D31" s="25">
        <f t="shared" si="0"/>
        <v>1.4738816850687755E-2</v>
      </c>
    </row>
    <row r="32" spans="2:4" x14ac:dyDescent="0.2">
      <c r="B32" s="16">
        <v>41305</v>
      </c>
      <c r="C32" s="23">
        <v>70.127372741699205</v>
      </c>
      <c r="D32" s="25">
        <f t="shared" si="0"/>
        <v>5.4437114870423263E-2</v>
      </c>
    </row>
    <row r="33" spans="2:4" x14ac:dyDescent="0.2">
      <c r="B33" s="16">
        <v>41333</v>
      </c>
      <c r="C33" s="23">
        <v>75.596092224121094</v>
      </c>
      <c r="D33" s="25">
        <f t="shared" si="0"/>
        <v>7.7982665949355809E-2</v>
      </c>
    </row>
    <row r="34" spans="2:4" x14ac:dyDescent="0.2">
      <c r="B34" s="16">
        <v>41364</v>
      </c>
      <c r="C34" s="23">
        <v>73.937995910644503</v>
      </c>
      <c r="D34" s="25">
        <f t="shared" si="0"/>
        <v>-2.1933624671508192E-2</v>
      </c>
    </row>
    <row r="35" spans="2:4" x14ac:dyDescent="0.2">
      <c r="B35" s="16">
        <v>41394</v>
      </c>
      <c r="C35" s="23">
        <v>71.496482849121094</v>
      </c>
      <c r="D35" s="25">
        <f t="shared" si="0"/>
        <v>-3.3021087891995676E-2</v>
      </c>
    </row>
    <row r="36" spans="2:4" x14ac:dyDescent="0.2">
      <c r="B36" s="16">
        <v>41425</v>
      </c>
      <c r="C36" s="23">
        <v>70.500091552734403</v>
      </c>
      <c r="D36" s="25">
        <f t="shared" ref="D36:D67" si="1">(C36-C35)/C35</f>
        <v>-1.3936228142709806E-2</v>
      </c>
    </row>
    <row r="37" spans="2:4" x14ac:dyDescent="0.2">
      <c r="B37" s="16">
        <v>41455</v>
      </c>
      <c r="C37" s="23">
        <v>64.795578002929702</v>
      </c>
      <c r="D37" s="25">
        <f t="shared" si="1"/>
        <v>-8.0914980734992356E-2</v>
      </c>
    </row>
    <row r="38" spans="2:4" x14ac:dyDescent="0.2">
      <c r="B38" s="16">
        <v>41486</v>
      </c>
      <c r="C38" s="23">
        <v>68.073799133300795</v>
      </c>
      <c r="D38" s="25">
        <f t="shared" si="1"/>
        <v>5.0593284779755658E-2</v>
      </c>
    </row>
    <row r="39" spans="2:4" x14ac:dyDescent="0.2">
      <c r="B39" s="16">
        <v>41517</v>
      </c>
      <c r="C39" s="23">
        <v>67.417076110839801</v>
      </c>
      <c r="D39" s="25">
        <f t="shared" si="1"/>
        <v>-9.6472215569313544E-3</v>
      </c>
    </row>
    <row r="40" spans="2:4" x14ac:dyDescent="0.2">
      <c r="B40" s="16">
        <v>41547</v>
      </c>
      <c r="C40" s="23">
        <v>70.448707580566406</v>
      </c>
      <c r="D40" s="25">
        <f t="shared" si="1"/>
        <v>4.496830246304849E-2</v>
      </c>
    </row>
    <row r="41" spans="2:4" x14ac:dyDescent="0.2">
      <c r="B41" s="16">
        <v>41578</v>
      </c>
      <c r="C41" s="23">
        <v>67.923629760742202</v>
      </c>
      <c r="D41" s="25">
        <f t="shared" si="1"/>
        <v>-3.5842784155216474E-2</v>
      </c>
    </row>
    <row r="42" spans="2:4" x14ac:dyDescent="0.2">
      <c r="B42" s="16">
        <v>41608</v>
      </c>
      <c r="C42" s="23">
        <v>64.032417297363295</v>
      </c>
      <c r="D42" s="25">
        <f t="shared" si="1"/>
        <v>-5.728805243603028E-2</v>
      </c>
    </row>
    <row r="43" spans="2:4" x14ac:dyDescent="0.2">
      <c r="B43" s="16">
        <v>41639</v>
      </c>
      <c r="C43" s="23">
        <v>64.168029785156307</v>
      </c>
      <c r="D43" s="25">
        <f t="shared" si="1"/>
        <v>2.1178723764750888E-3</v>
      </c>
    </row>
    <row r="44" spans="2:4" x14ac:dyDescent="0.2">
      <c r="B44" s="16">
        <v>41670</v>
      </c>
      <c r="C44" s="23">
        <v>61.711666107177699</v>
      </c>
      <c r="D44" s="25">
        <f t="shared" si="1"/>
        <v>-3.8280179182731078E-2</v>
      </c>
    </row>
    <row r="45" spans="2:4" x14ac:dyDescent="0.2">
      <c r="B45" s="16">
        <v>41698</v>
      </c>
      <c r="C45" s="23">
        <v>66.089752197265597</v>
      </c>
      <c r="D45" s="25">
        <f t="shared" si="1"/>
        <v>7.0944221186384104E-2</v>
      </c>
    </row>
    <row r="46" spans="2:4" x14ac:dyDescent="0.2">
      <c r="B46" s="16">
        <v>41729</v>
      </c>
      <c r="C46" s="23">
        <v>65.477577209472699</v>
      </c>
      <c r="D46" s="25">
        <f t="shared" si="1"/>
        <v>-9.2627823140517974E-3</v>
      </c>
    </row>
    <row r="47" spans="2:4" x14ac:dyDescent="0.2">
      <c r="B47" s="16">
        <v>41759</v>
      </c>
      <c r="C47" s="23">
        <v>67.035095214843807</v>
      </c>
      <c r="D47" s="25">
        <f t="shared" si="1"/>
        <v>2.3787043927852913E-2</v>
      </c>
    </row>
    <row r="48" spans="2:4" x14ac:dyDescent="0.2">
      <c r="B48" s="16">
        <v>41790</v>
      </c>
      <c r="C48" s="23">
        <v>69.70068359375</v>
      </c>
      <c r="D48" s="25">
        <f t="shared" si="1"/>
        <v>3.9764072391679742E-2</v>
      </c>
    </row>
    <row r="49" spans="2:4" x14ac:dyDescent="0.2">
      <c r="B49" s="16">
        <v>41820</v>
      </c>
      <c r="C49" s="23">
        <v>67.957183837890597</v>
      </c>
      <c r="D49" s="25">
        <f t="shared" si="1"/>
        <v>-2.5014098369843557E-2</v>
      </c>
    </row>
    <row r="50" spans="2:4" x14ac:dyDescent="0.2">
      <c r="B50" s="16">
        <v>41851</v>
      </c>
      <c r="C50" s="23">
        <v>64.857673645019503</v>
      </c>
      <c r="D50" s="25">
        <f t="shared" si="1"/>
        <v>-4.5609750402030538E-2</v>
      </c>
    </row>
    <row r="51" spans="2:4" x14ac:dyDescent="0.2">
      <c r="B51" s="16">
        <v>41882</v>
      </c>
      <c r="C51" s="23">
        <v>70.189193725585895</v>
      </c>
      <c r="D51" s="25">
        <f t="shared" si="1"/>
        <v>8.2203381356953834E-2</v>
      </c>
    </row>
    <row r="52" spans="2:4" x14ac:dyDescent="0.2">
      <c r="B52" s="16">
        <v>41912</v>
      </c>
      <c r="C52" s="23">
        <v>70.110977172851605</v>
      </c>
      <c r="D52" s="25">
        <f t="shared" si="1"/>
        <v>-1.1143674486429902E-3</v>
      </c>
    </row>
    <row r="53" spans="2:4" x14ac:dyDescent="0.2">
      <c r="B53" s="16">
        <v>41943</v>
      </c>
      <c r="C53" s="23">
        <v>71.041709899902301</v>
      </c>
      <c r="D53" s="25">
        <f t="shared" si="1"/>
        <v>1.3275135571938579E-2</v>
      </c>
    </row>
    <row r="54" spans="2:4" x14ac:dyDescent="0.2">
      <c r="B54" s="16">
        <v>41973</v>
      </c>
      <c r="C54" s="23">
        <v>74.545730590820298</v>
      </c>
      <c r="D54" s="25">
        <f t="shared" si="1"/>
        <v>4.9323428389535649E-2</v>
      </c>
    </row>
    <row r="55" spans="2:4" x14ac:dyDescent="0.2">
      <c r="B55" s="16">
        <v>42004</v>
      </c>
      <c r="C55" s="23">
        <v>72.812141418457003</v>
      </c>
      <c r="D55" s="25">
        <f t="shared" si="1"/>
        <v>-2.3255378391539606E-2</v>
      </c>
    </row>
    <row r="56" spans="2:4" x14ac:dyDescent="0.2">
      <c r="B56" s="16">
        <v>42035</v>
      </c>
      <c r="C56" s="23">
        <v>84.129348754882798</v>
      </c>
      <c r="D56" s="25">
        <f t="shared" si="1"/>
        <v>0.1554302224320657</v>
      </c>
    </row>
    <row r="57" spans="2:4" x14ac:dyDescent="0.2">
      <c r="B57" s="16">
        <v>42063</v>
      </c>
      <c r="C57" s="23">
        <v>83.616371154785199</v>
      </c>
      <c r="D57" s="25">
        <f t="shared" si="1"/>
        <v>-6.0974868781190532E-3</v>
      </c>
    </row>
    <row r="58" spans="2:4" x14ac:dyDescent="0.2">
      <c r="B58" s="16">
        <v>42094</v>
      </c>
      <c r="C58" s="23">
        <v>86.9310302734375</v>
      </c>
      <c r="D58" s="25">
        <f t="shared" si="1"/>
        <v>3.9641269680508129E-2</v>
      </c>
    </row>
    <row r="59" spans="2:4" x14ac:dyDescent="0.2">
      <c r="B59" s="16">
        <v>42124</v>
      </c>
      <c r="C59" s="23">
        <v>87.601860046386705</v>
      </c>
      <c r="D59" s="25">
        <f t="shared" si="1"/>
        <v>7.7168045844980878E-3</v>
      </c>
    </row>
    <row r="60" spans="2:4" x14ac:dyDescent="0.2">
      <c r="B60" s="16">
        <v>42155</v>
      </c>
      <c r="C60" s="23">
        <v>88.825134277343807</v>
      </c>
      <c r="D60" s="25">
        <f t="shared" si="1"/>
        <v>1.3964021201254829E-2</v>
      </c>
    </row>
    <row r="61" spans="2:4" x14ac:dyDescent="0.2">
      <c r="B61" s="16">
        <v>42185</v>
      </c>
      <c r="C61" s="23">
        <v>81.76171875</v>
      </c>
      <c r="D61" s="25">
        <f t="shared" si="1"/>
        <v>-7.9520459887955808E-2</v>
      </c>
    </row>
    <row r="62" spans="2:4" x14ac:dyDescent="0.2">
      <c r="B62" s="16">
        <v>42216</v>
      </c>
      <c r="C62" s="23">
        <v>86.062904357910199</v>
      </c>
      <c r="D62" s="25">
        <f t="shared" si="1"/>
        <v>5.2606350180355019E-2</v>
      </c>
    </row>
    <row r="63" spans="2:4" x14ac:dyDescent="0.2">
      <c r="B63" s="16">
        <v>42247</v>
      </c>
      <c r="C63" s="23">
        <v>74.393104553222699</v>
      </c>
      <c r="D63" s="25">
        <f t="shared" si="1"/>
        <v>-0.13559616529040491</v>
      </c>
    </row>
    <row r="64" spans="2:4" x14ac:dyDescent="0.2">
      <c r="B64" s="16">
        <v>42277</v>
      </c>
      <c r="C64" s="23">
        <v>71.736190795898395</v>
      </c>
      <c r="D64" s="25">
        <f t="shared" si="1"/>
        <v>-3.5714516463330029E-2</v>
      </c>
    </row>
    <row r="65" spans="2:4" x14ac:dyDescent="0.2">
      <c r="B65" s="16">
        <v>42308</v>
      </c>
      <c r="C65" s="23">
        <v>85.275245666503906</v>
      </c>
      <c r="D65" s="25">
        <f t="shared" si="1"/>
        <v>0.18873395311895519</v>
      </c>
    </row>
    <row r="66" spans="2:4" x14ac:dyDescent="0.2">
      <c r="B66" s="16">
        <v>42338</v>
      </c>
      <c r="C66" s="23">
        <v>85.6729736328125</v>
      </c>
      <c r="D66" s="25">
        <f t="shared" si="1"/>
        <v>4.6640494929095369E-3</v>
      </c>
    </row>
    <row r="67" spans="2:4" x14ac:dyDescent="0.2">
      <c r="B67" s="16">
        <v>42369</v>
      </c>
      <c r="C67" s="23">
        <v>84.465545654296903</v>
      </c>
      <c r="D67" s="25">
        <f t="shared" si="1"/>
        <v>-1.4093452430991086E-2</v>
      </c>
    </row>
    <row r="68" spans="2:4" x14ac:dyDescent="0.2">
      <c r="B68" s="16">
        <v>42400</v>
      </c>
      <c r="C68" s="23">
        <v>86.673530578613295</v>
      </c>
      <c r="D68" s="25">
        <f t="shared" ref="D68:D99" si="2">(C68-C67)/C67</f>
        <v>2.6140657793809779E-2</v>
      </c>
    </row>
    <row r="69" spans="2:4" x14ac:dyDescent="0.2">
      <c r="B69" s="16">
        <v>42429</v>
      </c>
      <c r="C69" s="23">
        <v>78.772964477539105</v>
      </c>
      <c r="D69" s="25">
        <f t="shared" si="2"/>
        <v>-9.115315885174817E-2</v>
      </c>
    </row>
    <row r="70" spans="2:4" x14ac:dyDescent="0.2">
      <c r="B70" s="16">
        <v>42460</v>
      </c>
      <c r="C70" s="23">
        <v>78.684631347656307</v>
      </c>
      <c r="D70" s="25">
        <f t="shared" si="2"/>
        <v>-1.1213635346678506E-3</v>
      </c>
    </row>
    <row r="71" spans="2:4" x14ac:dyDescent="0.2">
      <c r="B71" s="16">
        <v>42490</v>
      </c>
      <c r="C71" s="23">
        <v>75.697845458984403</v>
      </c>
      <c r="D71" s="25">
        <f t="shared" si="2"/>
        <v>-3.7958948749155799E-2</v>
      </c>
    </row>
    <row r="72" spans="2:4" x14ac:dyDescent="0.2">
      <c r="B72" s="16">
        <v>42521</v>
      </c>
      <c r="C72" s="23">
        <v>78.612388610839801</v>
      </c>
      <c r="D72" s="25">
        <f t="shared" si="2"/>
        <v>3.8502326376443484E-2</v>
      </c>
    </row>
    <row r="73" spans="2:4" x14ac:dyDescent="0.2">
      <c r="B73" s="16">
        <v>42551</v>
      </c>
      <c r="C73" s="23">
        <v>80.370742797851605</v>
      </c>
      <c r="D73" s="25">
        <f t="shared" si="2"/>
        <v>2.2367392952735519E-2</v>
      </c>
    </row>
    <row r="74" spans="2:4" x14ac:dyDescent="0.2">
      <c r="B74" s="16">
        <v>42582</v>
      </c>
      <c r="C74" s="23">
        <v>82.056854248046903</v>
      </c>
      <c r="D74" s="25">
        <f t="shared" si="2"/>
        <v>2.0979169676659623E-2</v>
      </c>
    </row>
    <row r="75" spans="2:4" x14ac:dyDescent="0.2">
      <c r="B75" s="16">
        <v>42613</v>
      </c>
      <c r="C75" s="23">
        <v>83.371627807617202</v>
      </c>
      <c r="D75" s="25">
        <f t="shared" si="2"/>
        <v>1.6022714636316833E-2</v>
      </c>
    </row>
    <row r="76" spans="2:4" x14ac:dyDescent="0.2">
      <c r="B76" s="16">
        <v>42643</v>
      </c>
      <c r="C76" s="23">
        <v>85.356658935546903</v>
      </c>
      <c r="D76" s="25">
        <f t="shared" si="2"/>
        <v>2.3809432298841842E-2</v>
      </c>
    </row>
    <row r="77" spans="2:4" x14ac:dyDescent="0.2">
      <c r="B77" s="16">
        <v>42674</v>
      </c>
      <c r="C77" s="23">
        <v>87.787330627441406</v>
      </c>
      <c r="D77" s="25">
        <f t="shared" si="2"/>
        <v>2.8476649885393373E-2</v>
      </c>
    </row>
    <row r="78" spans="2:4" x14ac:dyDescent="0.2">
      <c r="B78" s="16">
        <v>42704</v>
      </c>
      <c r="C78" s="23">
        <v>80.211769104003906</v>
      </c>
      <c r="D78" s="25">
        <f t="shared" si="2"/>
        <v>-8.6294474035066043E-2</v>
      </c>
    </row>
    <row r="79" spans="2:4" x14ac:dyDescent="0.2">
      <c r="B79" s="16">
        <v>42735</v>
      </c>
      <c r="C79" s="23">
        <v>84.247108459472699</v>
      </c>
      <c r="D79" s="25">
        <f t="shared" si="2"/>
        <v>5.0308569434947943E-2</v>
      </c>
    </row>
    <row r="80" spans="2:4" x14ac:dyDescent="0.2">
      <c r="B80" s="16">
        <v>42766</v>
      </c>
      <c r="C80" s="23">
        <v>88.666099548339801</v>
      </c>
      <c r="D80" s="25">
        <f t="shared" si="2"/>
        <v>5.2452733033476986E-2</v>
      </c>
    </row>
    <row r="81" spans="2:4" x14ac:dyDescent="0.2">
      <c r="B81" s="16">
        <v>42794</v>
      </c>
      <c r="C81" s="23">
        <v>88.297843933105497</v>
      </c>
      <c r="D81" s="25">
        <f t="shared" si="2"/>
        <v>-4.1532853831416699E-3</v>
      </c>
    </row>
    <row r="82" spans="2:4" x14ac:dyDescent="0.2">
      <c r="B82" s="16">
        <v>42825</v>
      </c>
      <c r="C82" s="23">
        <v>90.752838134765597</v>
      </c>
      <c r="D82" s="25">
        <f t="shared" si="2"/>
        <v>2.7803557734886533E-2</v>
      </c>
    </row>
    <row r="83" spans="2:4" x14ac:dyDescent="0.2">
      <c r="B83" s="16">
        <v>42855</v>
      </c>
      <c r="C83" s="23">
        <v>93.985244750976605</v>
      </c>
      <c r="D83" s="25">
        <f t="shared" si="2"/>
        <v>3.5617691773021674E-2</v>
      </c>
    </row>
    <row r="84" spans="2:4" x14ac:dyDescent="0.2">
      <c r="B84" s="16">
        <v>42886</v>
      </c>
      <c r="C84" s="23">
        <v>98.936149597167997</v>
      </c>
      <c r="D84" s="25">
        <f t="shared" si="2"/>
        <v>5.2677469312436373E-2</v>
      </c>
    </row>
    <row r="85" spans="2:4" x14ac:dyDescent="0.2">
      <c r="B85" s="16">
        <v>42916</v>
      </c>
      <c r="C85" s="23">
        <v>95.949234008789105</v>
      </c>
      <c r="D85" s="25">
        <f t="shared" si="2"/>
        <v>-3.0190335893811569E-2</v>
      </c>
    </row>
    <row r="86" spans="2:4" x14ac:dyDescent="0.2">
      <c r="B86" s="16">
        <v>42947</v>
      </c>
      <c r="C86" s="23">
        <v>95.949234008789105</v>
      </c>
      <c r="D86" s="25">
        <f t="shared" si="2"/>
        <v>0</v>
      </c>
    </row>
    <row r="87" spans="2:4" x14ac:dyDescent="0.2">
      <c r="B87" s="16">
        <v>42978</v>
      </c>
      <c r="C87" s="23">
        <v>94.699356079101605</v>
      </c>
      <c r="D87" s="25">
        <f t="shared" si="2"/>
        <v>-1.3026450316143318E-2</v>
      </c>
    </row>
    <row r="88" spans="2:4" x14ac:dyDescent="0.2">
      <c r="B88" s="16">
        <v>43008</v>
      </c>
      <c r="C88" s="23">
        <v>96.555397033691406</v>
      </c>
      <c r="D88" s="25">
        <f t="shared" si="2"/>
        <v>1.9599298574316231E-2</v>
      </c>
    </row>
    <row r="89" spans="2:4" x14ac:dyDescent="0.2">
      <c r="B89" s="16">
        <v>43039</v>
      </c>
      <c r="C89" s="23">
        <v>106.20680999755901</v>
      </c>
      <c r="D89" s="25">
        <f t="shared" si="2"/>
        <v>9.9957260395293068E-2</v>
      </c>
    </row>
    <row r="90" spans="2:4" x14ac:dyDescent="0.2">
      <c r="B90" s="16">
        <v>43069</v>
      </c>
      <c r="C90" s="23">
        <v>108.104110717773</v>
      </c>
      <c r="D90" s="25">
        <f t="shared" si="2"/>
        <v>1.7864209651505373E-2</v>
      </c>
    </row>
    <row r="91" spans="2:4" x14ac:dyDescent="0.2">
      <c r="B91" s="16">
        <v>43100</v>
      </c>
      <c r="C91" s="23">
        <v>109.771621704102</v>
      </c>
      <c r="D91" s="25">
        <f t="shared" si="2"/>
        <v>1.5425046977930108E-2</v>
      </c>
    </row>
    <row r="92" spans="2:4" x14ac:dyDescent="0.2">
      <c r="B92" s="16">
        <v>43131</v>
      </c>
      <c r="C92" s="23">
        <v>106.73513031005901</v>
      </c>
      <c r="D92" s="25">
        <f t="shared" si="2"/>
        <v>-2.7661897919556089E-2</v>
      </c>
    </row>
    <row r="93" spans="2:4" x14ac:dyDescent="0.2">
      <c r="B93" s="16">
        <v>43159</v>
      </c>
      <c r="C93" s="23">
        <v>112.30898284912099</v>
      </c>
      <c r="D93" s="25">
        <f t="shared" si="2"/>
        <v>5.2221349455144603E-2</v>
      </c>
    </row>
    <row r="94" spans="2:4" x14ac:dyDescent="0.2">
      <c r="B94" s="16">
        <v>43190</v>
      </c>
      <c r="C94" s="23">
        <v>112.516960144043</v>
      </c>
      <c r="D94" s="25">
        <f t="shared" si="2"/>
        <v>1.8518313463973346E-3</v>
      </c>
    </row>
    <row r="95" spans="2:4" x14ac:dyDescent="0.2">
      <c r="B95" s="16">
        <v>43220</v>
      </c>
      <c r="C95" s="23">
        <v>114.430389404297</v>
      </c>
      <c r="D95" s="25">
        <f t="shared" si="2"/>
        <v>1.7005696366169637E-2</v>
      </c>
    </row>
    <row r="96" spans="2:4" x14ac:dyDescent="0.2">
      <c r="B96" s="16">
        <v>43251</v>
      </c>
      <c r="C96" s="23">
        <v>119.546684265137</v>
      </c>
      <c r="D96" s="25">
        <f t="shared" si="2"/>
        <v>4.471098007683505E-2</v>
      </c>
    </row>
    <row r="97" spans="2:4" x14ac:dyDescent="0.2">
      <c r="B97" s="16">
        <v>43281</v>
      </c>
      <c r="C97" s="23">
        <v>116.385368347168</v>
      </c>
      <c r="D97" s="25">
        <f t="shared" si="2"/>
        <v>-2.6444195733255731E-2</v>
      </c>
    </row>
    <row r="98" spans="2:4" x14ac:dyDescent="0.2">
      <c r="B98" s="16">
        <v>43312</v>
      </c>
      <c r="C98" s="23">
        <v>114.76312255859401</v>
      </c>
      <c r="D98" s="25">
        <f t="shared" si="2"/>
        <v>-1.3938571588612112E-2</v>
      </c>
    </row>
    <row r="99" spans="2:4" x14ac:dyDescent="0.2">
      <c r="B99" s="16">
        <v>43343</v>
      </c>
      <c r="C99" s="23">
        <v>113.97202301025401</v>
      </c>
      <c r="D99" s="25">
        <f t="shared" si="2"/>
        <v>-6.8933254054332005E-3</v>
      </c>
    </row>
    <row r="100" spans="2:4" x14ac:dyDescent="0.2">
      <c r="B100" s="16">
        <v>43373</v>
      </c>
      <c r="C100" s="23">
        <v>118.41358947753901</v>
      </c>
      <c r="D100" s="25">
        <f t="shared" ref="D100:D131" si="3">(C100-C99)/C99</f>
        <v>3.8970673240444231E-2</v>
      </c>
    </row>
    <row r="101" spans="2:4" x14ac:dyDescent="0.2">
      <c r="B101" s="16">
        <v>43404</v>
      </c>
      <c r="C101" s="23">
        <v>112.96639251709</v>
      </c>
      <c r="D101" s="25">
        <f t="shared" si="3"/>
        <v>-4.6001451222642348E-2</v>
      </c>
    </row>
    <row r="102" spans="2:4" x14ac:dyDescent="0.2">
      <c r="B102" s="16">
        <v>43434</v>
      </c>
      <c r="C102" s="23">
        <v>118.329780578613</v>
      </c>
      <c r="D102" s="25">
        <f t="shared" si="3"/>
        <v>4.7477731580315825E-2</v>
      </c>
    </row>
    <row r="103" spans="2:4" x14ac:dyDescent="0.2">
      <c r="B103" s="16">
        <v>43465</v>
      </c>
      <c r="C103" s="23">
        <v>121.244331359863</v>
      </c>
      <c r="D103" s="25">
        <f t="shared" si="3"/>
        <v>2.4630746097882801E-2</v>
      </c>
    </row>
    <row r="104" spans="2:4" x14ac:dyDescent="0.2">
      <c r="B104" s="16">
        <v>43496</v>
      </c>
      <c r="C104" s="23">
        <v>122.68268585205099</v>
      </c>
      <c r="D104" s="25">
        <f t="shared" si="3"/>
        <v>1.1863272089140767E-2</v>
      </c>
    </row>
    <row r="105" spans="2:4" x14ac:dyDescent="0.2">
      <c r="B105" s="16">
        <v>43524</v>
      </c>
      <c r="C105" s="23">
        <v>128.09765625</v>
      </c>
      <c r="D105" s="25">
        <f t="shared" si="3"/>
        <v>4.4138016382190892E-2</v>
      </c>
    </row>
    <row r="106" spans="2:4" x14ac:dyDescent="0.2">
      <c r="B106" s="16">
        <v>43555</v>
      </c>
      <c r="C106" s="23">
        <v>135.37400817871099</v>
      </c>
      <c r="D106" s="25">
        <f t="shared" si="3"/>
        <v>5.6803162069649457E-2</v>
      </c>
    </row>
    <row r="107" spans="2:4" x14ac:dyDescent="0.2">
      <c r="B107" s="16">
        <v>43585</v>
      </c>
      <c r="C107" s="23">
        <v>131.43968200683599</v>
      </c>
      <c r="D107" s="25">
        <f t="shared" si="3"/>
        <v>-2.9062640789073679E-2</v>
      </c>
    </row>
    <row r="108" spans="2:4" x14ac:dyDescent="0.2">
      <c r="B108" s="16">
        <v>43616</v>
      </c>
      <c r="C108" s="23">
        <v>133.512619018555</v>
      </c>
      <c r="D108" s="25">
        <f t="shared" si="3"/>
        <v>1.5771013593985986E-2</v>
      </c>
    </row>
    <row r="109" spans="2:4" x14ac:dyDescent="0.2">
      <c r="B109" s="16">
        <v>43646</v>
      </c>
      <c r="C109" s="23">
        <v>137.10852050781301</v>
      </c>
      <c r="D109" s="25">
        <f t="shared" si="3"/>
        <v>2.6933045847585903E-2</v>
      </c>
    </row>
    <row r="110" spans="2:4" x14ac:dyDescent="0.2">
      <c r="B110" s="16">
        <v>43677</v>
      </c>
      <c r="C110" s="23">
        <v>134.570236206055</v>
      </c>
      <c r="D110" s="25">
        <f t="shared" si="3"/>
        <v>-1.8512958146998382E-2</v>
      </c>
    </row>
    <row r="111" spans="2:4" x14ac:dyDescent="0.2">
      <c r="B111" s="16">
        <v>43708</v>
      </c>
      <c r="C111" s="23">
        <v>148.04708862304699</v>
      </c>
      <c r="D111" s="25">
        <f t="shared" si="3"/>
        <v>0.10014734904942967</v>
      </c>
    </row>
    <row r="112" spans="2:4" x14ac:dyDescent="0.2">
      <c r="B112" s="16">
        <v>43738</v>
      </c>
      <c r="C112" s="23">
        <v>139.26824951171901</v>
      </c>
      <c r="D112" s="25">
        <f t="shared" si="3"/>
        <v>-5.9297613975242684E-2</v>
      </c>
    </row>
    <row r="113" spans="2:4" x14ac:dyDescent="0.2">
      <c r="B113" s="16">
        <v>43769</v>
      </c>
      <c r="C113" s="23">
        <v>141.05810546875</v>
      </c>
      <c r="D113" s="25">
        <f t="shared" si="3"/>
        <v>1.2851859367130073E-2</v>
      </c>
    </row>
    <row r="114" spans="2:4" x14ac:dyDescent="0.2">
      <c r="B114" s="16">
        <v>43799</v>
      </c>
      <c r="C114" s="23">
        <v>142.08090209960901</v>
      </c>
      <c r="D114" s="25">
        <f t="shared" si="3"/>
        <v>7.2508887558084762E-3</v>
      </c>
    </row>
    <row r="115" spans="2:4" x14ac:dyDescent="0.2">
      <c r="B115" s="16">
        <v>43830</v>
      </c>
      <c r="C115" s="23">
        <v>137.46066284179699</v>
      </c>
      <c r="D115" s="25">
        <f t="shared" si="3"/>
        <v>-3.2518369390510303E-2</v>
      </c>
    </row>
    <row r="116" spans="2:4" x14ac:dyDescent="0.2">
      <c r="B116" s="16">
        <v>43861</v>
      </c>
      <c r="C116" s="23">
        <v>134.95980834960901</v>
      </c>
      <c r="D116" s="25">
        <f t="shared" si="3"/>
        <v>-1.8193237545101961E-2</v>
      </c>
    </row>
    <row r="117" spans="2:4" x14ac:dyDescent="0.2">
      <c r="B117" s="16">
        <v>43890</v>
      </c>
      <c r="C117" s="23">
        <v>126.249923706055</v>
      </c>
      <c r="D117" s="25">
        <f t="shared" si="3"/>
        <v>-6.453687768280858E-2</v>
      </c>
    </row>
    <row r="118" spans="2:4" x14ac:dyDescent="0.2">
      <c r="B118" s="16">
        <v>43921</v>
      </c>
      <c r="C118" s="23">
        <v>111.63289642334</v>
      </c>
      <c r="D118" s="25">
        <f t="shared" si="3"/>
        <v>-0.1157785038884262</v>
      </c>
    </row>
    <row r="119" spans="2:4" x14ac:dyDescent="0.2">
      <c r="B119" s="16">
        <v>43951</v>
      </c>
      <c r="C119" s="23">
        <v>119.95468902587901</v>
      </c>
      <c r="D119" s="25">
        <f t="shared" si="3"/>
        <v>7.4546060069790504E-2</v>
      </c>
    </row>
    <row r="120" spans="2:4" x14ac:dyDescent="0.2">
      <c r="B120" s="16">
        <v>43982</v>
      </c>
      <c r="C120" s="23">
        <v>120.81703948974599</v>
      </c>
      <c r="D120" s="25">
        <f t="shared" si="3"/>
        <v>7.1889683585519958E-3</v>
      </c>
    </row>
    <row r="121" spans="2:4" x14ac:dyDescent="0.2">
      <c r="B121" s="16">
        <v>44012</v>
      </c>
      <c r="C121" s="23">
        <v>120.77394104003901</v>
      </c>
      <c r="D121" s="25">
        <f t="shared" si="3"/>
        <v>-3.5672492794897921E-4</v>
      </c>
    </row>
    <row r="122" spans="2:4" x14ac:dyDescent="0.2">
      <c r="B122" s="16">
        <v>44043</v>
      </c>
      <c r="C122" s="23">
        <v>125.90500640869099</v>
      </c>
      <c r="D122" s="25">
        <f t="shared" si="3"/>
        <v>4.2484871524983495E-2</v>
      </c>
    </row>
    <row r="123" spans="2:4" x14ac:dyDescent="0.2">
      <c r="B123" s="16">
        <v>44074</v>
      </c>
      <c r="C123" s="23">
        <v>124.787872314453</v>
      </c>
      <c r="D123" s="25">
        <f t="shared" si="3"/>
        <v>-8.8728329881637112E-3</v>
      </c>
    </row>
    <row r="124" spans="2:4" x14ac:dyDescent="0.2">
      <c r="B124" s="16">
        <v>44104</v>
      </c>
      <c r="C124" s="23">
        <v>118.39631652832</v>
      </c>
      <c r="D124" s="25">
        <f t="shared" si="3"/>
        <v>-5.1219366654693128E-2</v>
      </c>
    </row>
    <row r="125" spans="2:4" x14ac:dyDescent="0.2">
      <c r="B125" s="16">
        <v>44135</v>
      </c>
      <c r="C125" s="23">
        <v>120.352920532227</v>
      </c>
      <c r="D125" s="25">
        <f t="shared" si="3"/>
        <v>1.6525885781581644E-2</v>
      </c>
    </row>
    <row r="126" spans="2:4" x14ac:dyDescent="0.2">
      <c r="B126" s="16">
        <v>44165</v>
      </c>
      <c r="C126" s="23">
        <v>139.136306762695</v>
      </c>
      <c r="D126" s="25">
        <f t="shared" si="3"/>
        <v>0.1560692183239405</v>
      </c>
    </row>
    <row r="127" spans="2:4" x14ac:dyDescent="0.2">
      <c r="B127" s="16">
        <v>44196</v>
      </c>
      <c r="C127" s="23">
        <v>136.35360717773401</v>
      </c>
      <c r="D127" s="25">
        <f t="shared" si="3"/>
        <v>-1.9999809177823364E-2</v>
      </c>
    </row>
    <row r="128" spans="2:4" x14ac:dyDescent="0.2">
      <c r="B128" s="16">
        <v>44227</v>
      </c>
      <c r="C128" s="23">
        <v>136.68637084960901</v>
      </c>
      <c r="D128" s="25">
        <f t="shared" si="3"/>
        <v>2.4404464154824277E-3</v>
      </c>
    </row>
    <row r="129" spans="2:4" x14ac:dyDescent="0.2">
      <c r="B129" s="16">
        <v>44255</v>
      </c>
      <c r="C129" s="23">
        <v>138.13487243652301</v>
      </c>
      <c r="D129" s="25">
        <f t="shared" si="3"/>
        <v>1.059726421815485E-2</v>
      </c>
    </row>
    <row r="130" spans="2:4" x14ac:dyDescent="0.2">
      <c r="B130" s="16">
        <v>44286</v>
      </c>
      <c r="C130" s="23">
        <v>140.50515747070301</v>
      </c>
      <c r="D130" s="25">
        <f t="shared" si="3"/>
        <v>1.7159208188136672E-2</v>
      </c>
    </row>
    <row r="131" spans="2:4" x14ac:dyDescent="0.2">
      <c r="B131" s="16">
        <v>44316</v>
      </c>
      <c r="C131" s="23">
        <v>149.85459899902301</v>
      </c>
      <c r="D131" s="25">
        <f t="shared" si="3"/>
        <v>6.6541625208807506E-2</v>
      </c>
    </row>
    <row r="132" spans="2:4" x14ac:dyDescent="0.2">
      <c r="B132" s="16">
        <v>44347</v>
      </c>
      <c r="C132" s="23">
        <v>158.15057373046901</v>
      </c>
      <c r="D132" s="25">
        <f t="shared" ref="D132:D163" si="4">(C132-C131)/C131</f>
        <v>5.5360161028491894E-2</v>
      </c>
    </row>
    <row r="133" spans="2:4" x14ac:dyDescent="0.2">
      <c r="B133" s="16">
        <v>44377</v>
      </c>
      <c r="C133" s="23">
        <v>164.33967590332</v>
      </c>
      <c r="D133" s="25">
        <f t="shared" si="4"/>
        <v>3.9134237877624677E-2</v>
      </c>
    </row>
    <row r="134" spans="2:4" x14ac:dyDescent="0.2">
      <c r="B134" s="16">
        <v>44408</v>
      </c>
      <c r="C134" s="23">
        <v>163.37400817871099</v>
      </c>
      <c r="D134" s="25">
        <f t="shared" si="4"/>
        <v>-5.876047395743325E-3</v>
      </c>
    </row>
    <row r="135" spans="2:4" x14ac:dyDescent="0.2">
      <c r="B135" s="16">
        <v>44439</v>
      </c>
      <c r="C135" s="23">
        <v>157.356033325195</v>
      </c>
      <c r="D135" s="25">
        <f t="shared" si="4"/>
        <v>-3.6835570851227899E-2</v>
      </c>
    </row>
    <row r="136" spans="2:4" x14ac:dyDescent="0.2">
      <c r="B136" s="16">
        <v>44469</v>
      </c>
      <c r="C136" s="23">
        <v>168.63047790527301</v>
      </c>
      <c r="D136" s="25">
        <f t="shared" si="4"/>
        <v>7.1649267853479928E-2</v>
      </c>
    </row>
    <row r="137" spans="2:4" x14ac:dyDescent="0.2">
      <c r="B137" s="16">
        <v>44500</v>
      </c>
      <c r="C137" s="23">
        <v>175.70465087890599</v>
      </c>
      <c r="D137" s="25">
        <f t="shared" si="4"/>
        <v>4.1950737858946534E-2</v>
      </c>
    </row>
    <row r="138" spans="2:4" x14ac:dyDescent="0.2">
      <c r="B138" s="16">
        <v>44530</v>
      </c>
      <c r="C138" s="23">
        <v>179.06489562988301</v>
      </c>
      <c r="D138" s="25">
        <f t="shared" si="4"/>
        <v>1.9124392747536696E-2</v>
      </c>
    </row>
    <row r="139" spans="2:4" x14ac:dyDescent="0.2">
      <c r="B139" s="16">
        <v>44561</v>
      </c>
      <c r="C139" s="23">
        <v>188.61436462402301</v>
      </c>
      <c r="D139" s="25">
        <f t="shared" si="4"/>
        <v>5.332965437222386E-2</v>
      </c>
    </row>
    <row r="140" spans="2:4" x14ac:dyDescent="0.2">
      <c r="B140" s="16">
        <v>44592</v>
      </c>
      <c r="C140" s="23">
        <v>168.54901123046901</v>
      </c>
      <c r="D140" s="25">
        <f t="shared" si="4"/>
        <v>-0.10638295462570706</v>
      </c>
    </row>
    <row r="141" spans="2:4" x14ac:dyDescent="0.2">
      <c r="B141" s="16">
        <v>44620</v>
      </c>
      <c r="C141" s="23">
        <v>174.47943115234401</v>
      </c>
      <c r="D141" s="25">
        <f t="shared" si="4"/>
        <v>3.5185136231774841E-2</v>
      </c>
    </row>
    <row r="142" spans="2:4" x14ac:dyDescent="0.2">
      <c r="B142" s="16">
        <v>44651</v>
      </c>
      <c r="C142" s="23">
        <v>177.73449707031301</v>
      </c>
      <c r="D142" s="25">
        <f t="shared" si="4"/>
        <v>1.8655871906912029E-2</v>
      </c>
    </row>
    <row r="143" spans="2:4" x14ac:dyDescent="0.2">
      <c r="B143" s="16">
        <v>44681</v>
      </c>
      <c r="C143" s="23">
        <v>176.26301574707</v>
      </c>
      <c r="D143" s="25">
        <f t="shared" si="4"/>
        <v>-8.2790980226021254E-3</v>
      </c>
    </row>
    <row r="144" spans="2:4" x14ac:dyDescent="0.2">
      <c r="B144" s="16">
        <v>44712</v>
      </c>
      <c r="C144" s="23">
        <v>162.752365112305</v>
      </c>
      <c r="D144" s="25">
        <f t="shared" si="4"/>
        <v>-7.6650513311040891E-2</v>
      </c>
    </row>
    <row r="145" spans="2:4" x14ac:dyDescent="0.2">
      <c r="B145" s="16">
        <v>44742</v>
      </c>
      <c r="C145" s="23">
        <v>156.33145141601599</v>
      </c>
      <c r="D145" s="25">
        <f t="shared" si="4"/>
        <v>-3.9452045393370126E-2</v>
      </c>
    </row>
    <row r="146" spans="2:4" x14ac:dyDescent="0.2">
      <c r="B146" s="16">
        <v>44773</v>
      </c>
      <c r="C146" s="23">
        <v>170.77847290039099</v>
      </c>
      <c r="D146" s="25">
        <f t="shared" si="4"/>
        <v>9.2412763737028267E-2</v>
      </c>
    </row>
    <row r="147" spans="2:4" x14ac:dyDescent="0.2">
      <c r="B147" s="16">
        <v>44804</v>
      </c>
      <c r="C147" s="23">
        <v>165.14881896972699</v>
      </c>
      <c r="D147" s="25">
        <f t="shared" si="4"/>
        <v>-3.2964657869657743E-2</v>
      </c>
    </row>
    <row r="148" spans="2:4" x14ac:dyDescent="0.2">
      <c r="B148" s="16">
        <v>44834</v>
      </c>
      <c r="C148" s="23">
        <v>169.91749572753901</v>
      </c>
      <c r="D148" s="25">
        <f t="shared" si="4"/>
        <v>2.8875027914587455E-2</v>
      </c>
    </row>
    <row r="149" spans="2:4" x14ac:dyDescent="0.2">
      <c r="B149" s="16">
        <v>44865</v>
      </c>
      <c r="C149" s="23">
        <v>159.88531494140599</v>
      </c>
      <c r="D149" s="25">
        <f t="shared" si="4"/>
        <v>-5.9041482121532159E-2</v>
      </c>
    </row>
    <row r="150" spans="2:4" x14ac:dyDescent="0.2">
      <c r="B150" s="16">
        <v>44895</v>
      </c>
      <c r="C150" s="23">
        <v>170.00744628906301</v>
      </c>
      <c r="D150" s="25">
        <f t="shared" si="4"/>
        <v>6.3308699434757518E-2</v>
      </c>
    </row>
    <row r="151" spans="2:4" x14ac:dyDescent="0.2">
      <c r="B151" s="16">
        <v>44926</v>
      </c>
      <c r="C151" s="23">
        <v>167.57896423339801</v>
      </c>
      <c r="D151" s="25">
        <f t="shared" si="4"/>
        <v>-1.4284562874592338E-2</v>
      </c>
    </row>
    <row r="152" spans="2:4" x14ac:dyDescent="0.2">
      <c r="B152" s="16">
        <v>44957</v>
      </c>
      <c r="C152" s="23">
        <v>173.18772888183599</v>
      </c>
      <c r="D152" s="25">
        <f t="shared" si="4"/>
        <v>3.3469383666951749E-2</v>
      </c>
    </row>
    <row r="153" spans="2:4" x14ac:dyDescent="0.2">
      <c r="B153" s="16">
        <v>44985</v>
      </c>
      <c r="C153" s="23">
        <v>180.30130004882801</v>
      </c>
      <c r="D153" s="25">
        <f t="shared" si="4"/>
        <v>4.1074337153791794E-2</v>
      </c>
    </row>
    <row r="154" spans="2:4" x14ac:dyDescent="0.2">
      <c r="B154" s="16">
        <v>45016</v>
      </c>
      <c r="C154" s="23">
        <v>190.33323669433599</v>
      </c>
      <c r="D154" s="25">
        <f t="shared" si="4"/>
        <v>5.563984642812448E-2</v>
      </c>
    </row>
    <row r="155" spans="2:4" x14ac:dyDescent="0.2">
      <c r="B155" s="16">
        <v>45046</v>
      </c>
      <c r="C155" s="23">
        <v>190.97161865234401</v>
      </c>
      <c r="D155" s="25">
        <f t="shared" si="4"/>
        <v>3.3540224980948305E-3</v>
      </c>
    </row>
    <row r="156" spans="2:4" x14ac:dyDescent="0.2">
      <c r="B156" s="16">
        <v>45077</v>
      </c>
      <c r="C156" s="23">
        <v>184.31408691406301</v>
      </c>
      <c r="D156" s="25">
        <f t="shared" si="4"/>
        <v>-3.4861367282018788E-2</v>
      </c>
    </row>
    <row r="157" spans="2:4" x14ac:dyDescent="0.2">
      <c r="B157" s="16">
        <v>45107</v>
      </c>
      <c r="C157" s="23">
        <v>184.58766174316401</v>
      </c>
      <c r="D157" s="25">
        <f t="shared" si="4"/>
        <v>1.484286055837659E-3</v>
      </c>
    </row>
    <row r="158" spans="2:4" x14ac:dyDescent="0.2">
      <c r="B158" s="16">
        <v>45138</v>
      </c>
      <c r="C158" s="23">
        <v>182.94607543945301</v>
      </c>
      <c r="D158" s="25">
        <f t="shared" si="4"/>
        <v>-8.893261273308202E-3</v>
      </c>
    </row>
    <row r="159" spans="2:4" x14ac:dyDescent="0.2">
      <c r="B159" s="16">
        <v>45169</v>
      </c>
      <c r="C159" s="23">
        <v>166.93746948242199</v>
      </c>
      <c r="D159" s="25">
        <f t="shared" si="4"/>
        <v>-8.7504506005810209E-2</v>
      </c>
    </row>
    <row r="160" spans="2:4" x14ac:dyDescent="0.2">
      <c r="B160" s="16">
        <v>45199</v>
      </c>
      <c r="C160" s="23">
        <v>145.42539978027301</v>
      </c>
      <c r="D160" s="25">
        <f t="shared" si="4"/>
        <v>-0.12886303936944565</v>
      </c>
    </row>
    <row r="161" spans="2:4" x14ac:dyDescent="0.2">
      <c r="B161" s="16">
        <v>45230</v>
      </c>
      <c r="C161" s="23">
        <v>154.31582641601599</v>
      </c>
      <c r="D161" s="25">
        <f t="shared" si="4"/>
        <v>6.1133932924893164E-2</v>
      </c>
    </row>
    <row r="162" spans="2:4" x14ac:dyDescent="0.2">
      <c r="B162" s="16">
        <v>45260</v>
      </c>
      <c r="C162" s="23">
        <v>146.07029724121099</v>
      </c>
      <c r="D162" s="25">
        <f t="shared" si="4"/>
        <v>-5.3432816103878379E-2</v>
      </c>
    </row>
    <row r="163" spans="2:4" x14ac:dyDescent="0.2">
      <c r="B163" s="16">
        <v>45291</v>
      </c>
      <c r="C163" s="23">
        <v>149.53550720214801</v>
      </c>
      <c r="D163" s="25">
        <f t="shared" si="4"/>
        <v>2.372289251397082E-2</v>
      </c>
    </row>
    <row r="164" spans="2:4" x14ac:dyDescent="0.2">
      <c r="B164" s="16">
        <v>45322</v>
      </c>
      <c r="C164" s="23">
        <v>142.74908447265599</v>
      </c>
      <c r="D164" s="25">
        <f t="shared" ref="D164:D183" si="5">(C164-C163)/C163</f>
        <v>-4.5383353134435575E-2</v>
      </c>
    </row>
    <row r="165" spans="2:4" x14ac:dyDescent="0.2">
      <c r="B165" s="16">
        <v>45351</v>
      </c>
      <c r="C165" s="23">
        <v>144.66801452636699</v>
      </c>
      <c r="D165" s="25">
        <f t="shared" si="5"/>
        <v>1.344267853485653E-2</v>
      </c>
    </row>
    <row r="166" spans="2:4" x14ac:dyDescent="0.2">
      <c r="B166" s="16">
        <v>45382</v>
      </c>
      <c r="C166" s="23">
        <v>140.36212158203099</v>
      </c>
      <c r="D166" s="25">
        <f t="shared" si="5"/>
        <v>-2.9763959631527316E-2</v>
      </c>
    </row>
    <row r="167" spans="2:4" x14ac:dyDescent="0.2">
      <c r="B167" s="16">
        <v>45412</v>
      </c>
      <c r="C167" s="23">
        <v>132.92047119140599</v>
      </c>
      <c r="D167" s="25">
        <f t="shared" si="5"/>
        <v>-5.3017511467835149E-2</v>
      </c>
    </row>
    <row r="168" spans="2:4" x14ac:dyDescent="0.2">
      <c r="B168" s="16">
        <v>45443</v>
      </c>
      <c r="C168" s="23">
        <v>128.193359375</v>
      </c>
      <c r="D168" s="25">
        <f t="shared" si="5"/>
        <v>-3.556345966904477E-2</v>
      </c>
    </row>
    <row r="169" spans="2:4" x14ac:dyDescent="0.2">
      <c r="B169" s="16">
        <v>45473</v>
      </c>
      <c r="C169" s="23">
        <v>118.598754882813</v>
      </c>
      <c r="D169" s="25">
        <f t="shared" si="5"/>
        <v>-7.4844785556482746E-2</v>
      </c>
    </row>
    <row r="170" spans="2:4" x14ac:dyDescent="0.2">
      <c r="B170" s="16">
        <v>45504</v>
      </c>
      <c r="C170" s="23">
        <v>116.07138824462901</v>
      </c>
      <c r="D170" s="25">
        <f t="shared" si="5"/>
        <v>-2.1310229105535497E-2</v>
      </c>
    </row>
    <row r="171" spans="2:4" x14ac:dyDescent="0.2">
      <c r="B171" s="16">
        <v>45535</v>
      </c>
      <c r="C171" s="23">
        <v>122.87075805664099</v>
      </c>
      <c r="D171" s="25">
        <f t="shared" si="5"/>
        <v>5.8579206424944415E-2</v>
      </c>
    </row>
    <row r="172" spans="2:4" x14ac:dyDescent="0.2">
      <c r="B172" s="16">
        <v>45565</v>
      </c>
      <c r="C172" s="23">
        <v>129.35772705078099</v>
      </c>
      <c r="D172" s="25">
        <f t="shared" si="5"/>
        <v>5.2795059595462372E-2</v>
      </c>
    </row>
    <row r="173" spans="2:4" x14ac:dyDescent="0.2">
      <c r="B173" s="16">
        <v>45596</v>
      </c>
      <c r="C173" s="23">
        <v>108.990562438965</v>
      </c>
      <c r="D173" s="25">
        <f t="shared" si="5"/>
        <v>-0.15744838036478956</v>
      </c>
    </row>
    <row r="174" spans="2:4" x14ac:dyDescent="0.2">
      <c r="B174" s="16">
        <v>45626</v>
      </c>
      <c r="C174" s="23">
        <v>101.024948120117</v>
      </c>
      <c r="D174" s="25">
        <f t="shared" si="5"/>
        <v>-7.3085358407144307E-2</v>
      </c>
    </row>
    <row r="175" spans="2:4" x14ac:dyDescent="0.2">
      <c r="B175" s="16">
        <v>45657</v>
      </c>
      <c r="C175" s="23">
        <v>106.325080871582</v>
      </c>
      <c r="D175" s="25">
        <f t="shared" si="5"/>
        <v>5.2463602803965108E-2</v>
      </c>
    </row>
    <row r="176" spans="2:4" x14ac:dyDescent="0.2">
      <c r="B176" s="16">
        <v>45688</v>
      </c>
      <c r="C176" s="23">
        <v>107.49562835693401</v>
      </c>
      <c r="D176" s="25">
        <f t="shared" si="5"/>
        <v>1.100913797343615E-2</v>
      </c>
    </row>
    <row r="177" spans="2:4" x14ac:dyDescent="0.2">
      <c r="B177" s="16">
        <v>45716</v>
      </c>
      <c r="C177" s="23">
        <v>100.716186523438</v>
      </c>
      <c r="D177" s="25">
        <f t="shared" si="5"/>
        <v>-6.3067139911822293E-2</v>
      </c>
    </row>
    <row r="178" spans="2:4" x14ac:dyDescent="0.2">
      <c r="B178" s="16">
        <v>45747</v>
      </c>
      <c r="C178" s="23">
        <v>89.020431518554702</v>
      </c>
      <c r="D178" s="25">
        <f t="shared" si="5"/>
        <v>-0.11612587220189813</v>
      </c>
    </row>
    <row r="179" spans="2:4" x14ac:dyDescent="0.2">
      <c r="B179" s="16">
        <v>45777</v>
      </c>
      <c r="C179" s="23">
        <v>92.883247375488295</v>
      </c>
      <c r="D179" s="25">
        <f t="shared" si="5"/>
        <v>4.3392463853968846E-2</v>
      </c>
    </row>
    <row r="180" spans="2:4" x14ac:dyDescent="0.2">
      <c r="B180" s="16">
        <v>45808</v>
      </c>
      <c r="C180" s="23">
        <v>88.786315917968807</v>
      </c>
      <c r="D180" s="25">
        <f t="shared" si="5"/>
        <v>-4.4108400312031518E-2</v>
      </c>
    </row>
    <row r="181" spans="2:4" x14ac:dyDescent="0.2">
      <c r="B181" s="16">
        <v>45838</v>
      </c>
      <c r="C181" s="23">
        <v>82.523864746093807</v>
      </c>
      <c r="D181" s="25">
        <f t="shared" si="5"/>
        <v>-7.0533968068468858E-2</v>
      </c>
    </row>
    <row r="182" spans="2:4" x14ac:dyDescent="0.2">
      <c r="B182" s="16">
        <v>45869</v>
      </c>
      <c r="C182" s="23">
        <v>88.142517089843807</v>
      </c>
      <c r="D182" s="25">
        <f t="shared" si="5"/>
        <v>6.8085181917221752E-2</v>
      </c>
    </row>
    <row r="183" spans="2:4" x14ac:dyDescent="0.2">
      <c r="B183" s="16">
        <v>45900</v>
      </c>
      <c r="C183" s="23">
        <v>97.199996948242202</v>
      </c>
      <c r="D183" s="25">
        <f t="shared" si="5"/>
        <v>0.1027594872196138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7" tint="0.79998168889431442"/>
  </sheetPr>
  <dimension ref="B2:D183"/>
  <sheetViews>
    <sheetView showGridLines="0" workbookViewId="0">
      <selection activeCell="N31" sqref="N31"/>
    </sheetView>
  </sheetViews>
  <sheetFormatPr baseColWidth="10" defaultColWidth="10.83203125" defaultRowHeight="15" x14ac:dyDescent="0.2"/>
  <cols>
    <col min="3" max="3" width="11.6640625" bestFit="1" customWidth="1"/>
  </cols>
  <sheetData>
    <row r="2" spans="2:4" x14ac:dyDescent="0.2">
      <c r="B2" s="21" t="s">
        <v>308</v>
      </c>
      <c r="C2" t="s">
        <v>29</v>
      </c>
      <c r="D2" t="s">
        <v>310</v>
      </c>
    </row>
    <row r="3" spans="2:4" x14ac:dyDescent="0.2">
      <c r="B3" s="16" t="s">
        <v>237</v>
      </c>
      <c r="C3" s="23">
        <v>21.572055816650401</v>
      </c>
    </row>
    <row r="4" spans="2:4" x14ac:dyDescent="0.2">
      <c r="B4" s="16">
        <v>40451</v>
      </c>
      <c r="C4" s="23">
        <v>25.397296905517599</v>
      </c>
      <c r="D4" s="25">
        <f t="shared" ref="D4:D35" si="0">(C4-C3)/C3</f>
        <v>0.17732390094757144</v>
      </c>
    </row>
    <row r="5" spans="2:4" x14ac:dyDescent="0.2">
      <c r="B5" s="16">
        <v>40482</v>
      </c>
      <c r="C5" s="23">
        <v>26.864139556884801</v>
      </c>
      <c r="D5" s="25">
        <f t="shared" si="0"/>
        <v>5.7755857122280131E-2</v>
      </c>
    </row>
    <row r="6" spans="2:4" x14ac:dyDescent="0.2">
      <c r="B6" s="16">
        <v>40512</v>
      </c>
      <c r="C6" s="23">
        <v>27.170295715331999</v>
      </c>
      <c r="D6" s="25">
        <f t="shared" si="0"/>
        <v>1.139646247738226E-2</v>
      </c>
    </row>
    <row r="7" spans="2:4" x14ac:dyDescent="0.2">
      <c r="B7" s="16">
        <v>40543</v>
      </c>
      <c r="C7" s="23">
        <v>29.2696342468262</v>
      </c>
      <c r="D7" s="25">
        <f t="shared" si="0"/>
        <v>7.7265943421792049E-2</v>
      </c>
    </row>
    <row r="8" spans="2:4" x14ac:dyDescent="0.2">
      <c r="B8" s="16">
        <v>40574</v>
      </c>
      <c r="C8" s="23">
        <v>32.152862548828097</v>
      </c>
      <c r="D8" s="25">
        <f t="shared" si="0"/>
        <v>9.850578513172005E-2</v>
      </c>
    </row>
    <row r="9" spans="2:4" x14ac:dyDescent="0.2">
      <c r="B9" s="16">
        <v>40602</v>
      </c>
      <c r="C9" s="23">
        <v>29.8853054046631</v>
      </c>
      <c r="D9" s="25">
        <f t="shared" si="0"/>
        <v>-7.0524269517882918E-2</v>
      </c>
    </row>
    <row r="10" spans="2:4" x14ac:dyDescent="0.2">
      <c r="B10" s="16">
        <v>40633</v>
      </c>
      <c r="C10" s="23">
        <v>26.248470306396499</v>
      </c>
      <c r="D10" s="25">
        <f t="shared" si="0"/>
        <v>-0.12169308792471414</v>
      </c>
    </row>
    <row r="11" spans="2:4" x14ac:dyDescent="0.2">
      <c r="B11" s="16">
        <v>40663</v>
      </c>
      <c r="C11" s="23">
        <v>27.681674957275401</v>
      </c>
      <c r="D11" s="25">
        <f t="shared" si="0"/>
        <v>5.460145426187539E-2</v>
      </c>
    </row>
    <row r="12" spans="2:4" x14ac:dyDescent="0.2">
      <c r="B12" s="16">
        <v>40694</v>
      </c>
      <c r="C12" s="23">
        <v>26.5243434906006</v>
      </c>
      <c r="D12" s="25">
        <f t="shared" si="0"/>
        <v>-4.180857800191122E-2</v>
      </c>
    </row>
    <row r="13" spans="2:4" x14ac:dyDescent="0.2">
      <c r="B13" s="16">
        <v>40724</v>
      </c>
      <c r="C13" s="23">
        <v>27.713666915893601</v>
      </c>
      <c r="D13" s="25">
        <f t="shared" si="0"/>
        <v>4.4838939207466524E-2</v>
      </c>
    </row>
    <row r="14" spans="2:4" x14ac:dyDescent="0.2">
      <c r="B14" s="16">
        <v>40755</v>
      </c>
      <c r="C14" s="23">
        <v>25.259872436523398</v>
      </c>
      <c r="D14" s="25">
        <f t="shared" si="0"/>
        <v>-8.8540952982406232E-2</v>
      </c>
    </row>
    <row r="15" spans="2:4" x14ac:dyDescent="0.2">
      <c r="B15" s="16">
        <v>40786</v>
      </c>
      <c r="C15" s="23">
        <v>19.233839035034201</v>
      </c>
      <c r="D15" s="25">
        <f t="shared" si="0"/>
        <v>-0.23856151358769809</v>
      </c>
    </row>
    <row r="16" spans="2:4" x14ac:dyDescent="0.2">
      <c r="B16" s="16">
        <v>40816</v>
      </c>
      <c r="C16" s="23">
        <v>16.993558883666999</v>
      </c>
      <c r="D16" s="25">
        <f t="shared" si="0"/>
        <v>-0.11647597483199058</v>
      </c>
    </row>
    <row r="17" spans="2:4" x14ac:dyDescent="0.2">
      <c r="B17" s="16">
        <v>40847</v>
      </c>
      <c r="C17" s="23">
        <v>20.6369724273682</v>
      </c>
      <c r="D17" s="25">
        <f t="shared" si="0"/>
        <v>0.21439967746856078</v>
      </c>
    </row>
    <row r="18" spans="2:4" x14ac:dyDescent="0.2">
      <c r="B18" s="16">
        <v>40877</v>
      </c>
      <c r="C18" s="23">
        <v>18.8101806640625</v>
      </c>
      <c r="D18" s="25">
        <f t="shared" si="0"/>
        <v>-8.8520337454299131E-2</v>
      </c>
    </row>
    <row r="19" spans="2:4" x14ac:dyDescent="0.2">
      <c r="B19" s="16">
        <v>40908</v>
      </c>
      <c r="C19" s="23">
        <v>18.166231155395501</v>
      </c>
      <c r="D19" s="25">
        <f t="shared" si="0"/>
        <v>-3.4234094832341883E-2</v>
      </c>
    </row>
    <row r="20" spans="2:4" x14ac:dyDescent="0.2">
      <c r="B20" s="16">
        <v>40939</v>
      </c>
      <c r="C20" s="23">
        <v>22.074003219604499</v>
      </c>
      <c r="D20" s="25">
        <f t="shared" si="0"/>
        <v>0.21511187602874701</v>
      </c>
    </row>
    <row r="21" spans="2:4" x14ac:dyDescent="0.2">
      <c r="B21" s="16">
        <v>40968</v>
      </c>
      <c r="C21" s="23">
        <v>26.9375400543213</v>
      </c>
      <c r="D21" s="25">
        <f t="shared" si="0"/>
        <v>0.22032871819087924</v>
      </c>
    </row>
    <row r="22" spans="2:4" x14ac:dyDescent="0.2">
      <c r="B22" s="16">
        <v>40999</v>
      </c>
      <c r="C22" s="23">
        <v>26.791801452636701</v>
      </c>
      <c r="D22" s="25">
        <f t="shared" si="0"/>
        <v>-5.4102416698298128E-3</v>
      </c>
    </row>
    <row r="23" spans="2:4" x14ac:dyDescent="0.2">
      <c r="B23" s="16">
        <v>41029</v>
      </c>
      <c r="C23" s="23">
        <v>23.267013549804702</v>
      </c>
      <c r="D23" s="25">
        <f t="shared" si="0"/>
        <v>-0.13156218364275424</v>
      </c>
    </row>
    <row r="24" spans="2:4" x14ac:dyDescent="0.2">
      <c r="B24" s="16">
        <v>41060</v>
      </c>
      <c r="C24" s="23">
        <v>22.9687595367432</v>
      </c>
      <c r="D24" s="25">
        <f t="shared" si="0"/>
        <v>-1.2818749274506939E-2</v>
      </c>
    </row>
    <row r="25" spans="2:4" x14ac:dyDescent="0.2">
      <c r="B25" s="16">
        <v>41090</v>
      </c>
      <c r="C25" s="23">
        <v>22.126237869262699</v>
      </c>
      <c r="D25" s="25">
        <f t="shared" si="0"/>
        <v>-3.6681200224710268E-2</v>
      </c>
    </row>
    <row r="26" spans="2:4" x14ac:dyDescent="0.2">
      <c r="B26" s="16">
        <v>41121</v>
      </c>
      <c r="C26" s="23">
        <v>25.0468425750732</v>
      </c>
      <c r="D26" s="25">
        <f t="shared" si="0"/>
        <v>0.1319973473605173</v>
      </c>
    </row>
    <row r="27" spans="2:4" x14ac:dyDescent="0.2">
      <c r="B27" s="16">
        <v>41152</v>
      </c>
      <c r="C27" s="23">
        <v>26.155269622802699</v>
      </c>
      <c r="D27" s="25">
        <f t="shared" si="0"/>
        <v>4.4254162751540344E-2</v>
      </c>
    </row>
    <row r="28" spans="2:4" x14ac:dyDescent="0.2">
      <c r="B28" s="16">
        <v>41182</v>
      </c>
      <c r="C28" s="23">
        <v>25.701335906982401</v>
      </c>
      <c r="D28" s="25">
        <f t="shared" si="0"/>
        <v>-1.7355344539233868E-2</v>
      </c>
    </row>
    <row r="29" spans="2:4" x14ac:dyDescent="0.2">
      <c r="B29" s="16">
        <v>41213</v>
      </c>
      <c r="C29" s="23">
        <v>24.286779403686499</v>
      </c>
      <c r="D29" s="25">
        <f t="shared" si="0"/>
        <v>-5.5038248144587805E-2</v>
      </c>
    </row>
    <row r="30" spans="2:4" x14ac:dyDescent="0.2">
      <c r="B30" s="16">
        <v>41243</v>
      </c>
      <c r="C30" s="23">
        <v>27.0631198883057</v>
      </c>
      <c r="D30" s="25">
        <f t="shared" si="0"/>
        <v>0.11431488870845426</v>
      </c>
    </row>
    <row r="31" spans="2:4" x14ac:dyDescent="0.2">
      <c r="B31" s="16">
        <v>41274</v>
      </c>
      <c r="C31" s="23">
        <v>28.632501602172901</v>
      </c>
      <c r="D31" s="25">
        <f t="shared" si="0"/>
        <v>5.7989681911927327E-2</v>
      </c>
    </row>
    <row r="32" spans="2:4" x14ac:dyDescent="0.2">
      <c r="B32" s="16">
        <v>41305</v>
      </c>
      <c r="C32" s="23">
        <v>31.257532119751001</v>
      </c>
      <c r="D32" s="25">
        <f t="shared" si="0"/>
        <v>9.1680096767335489E-2</v>
      </c>
    </row>
    <row r="33" spans="2:4" x14ac:dyDescent="0.2">
      <c r="B33" s="16">
        <v>41333</v>
      </c>
      <c r="C33" s="23">
        <v>34.213329315185597</v>
      </c>
      <c r="D33" s="25">
        <f t="shared" si="0"/>
        <v>9.4562718006994756E-2</v>
      </c>
    </row>
    <row r="34" spans="2:4" x14ac:dyDescent="0.2">
      <c r="B34" s="16">
        <v>41364</v>
      </c>
      <c r="C34" s="23">
        <v>34.3963012695313</v>
      </c>
      <c r="D34" s="25">
        <f t="shared" si="0"/>
        <v>5.3479727932964115E-3</v>
      </c>
    </row>
    <row r="35" spans="2:4" x14ac:dyDescent="0.2">
      <c r="B35" s="16">
        <v>41394</v>
      </c>
      <c r="C35" s="23">
        <v>36.820758819580099</v>
      </c>
      <c r="D35" s="25">
        <f t="shared" si="0"/>
        <v>7.0485995893878758E-2</v>
      </c>
    </row>
    <row r="36" spans="2:4" x14ac:dyDescent="0.2">
      <c r="B36" s="16">
        <v>41425</v>
      </c>
      <c r="C36" s="23">
        <v>42.056739807128899</v>
      </c>
      <c r="D36" s="25">
        <f t="shared" ref="D36:D67" si="1">(C36-C35)/C35</f>
        <v>0.14220187620806099</v>
      </c>
    </row>
    <row r="37" spans="2:4" x14ac:dyDescent="0.2">
      <c r="B37" s="16">
        <v>41455</v>
      </c>
      <c r="C37" s="23">
        <v>37.604099273681598</v>
      </c>
      <c r="D37" s="25">
        <f t="shared" si="1"/>
        <v>-0.10587222295087526</v>
      </c>
    </row>
    <row r="38" spans="2:4" x14ac:dyDescent="0.2">
      <c r="B38" s="16">
        <v>41486</v>
      </c>
      <c r="C38" s="23">
        <v>43.037418365478501</v>
      </c>
      <c r="D38" s="25">
        <f t="shared" si="1"/>
        <v>0.14448741484946512</v>
      </c>
    </row>
    <row r="39" spans="2:4" x14ac:dyDescent="0.2">
      <c r="B39" s="16">
        <v>41517</v>
      </c>
      <c r="C39" s="23">
        <v>39.335197448730497</v>
      </c>
      <c r="D39" s="25">
        <f t="shared" si="1"/>
        <v>-8.6023303844769125E-2</v>
      </c>
    </row>
    <row r="40" spans="2:4" x14ac:dyDescent="0.2">
      <c r="B40" s="16">
        <v>41547</v>
      </c>
      <c r="C40" s="23">
        <v>42.8628540039063</v>
      </c>
      <c r="D40" s="25">
        <f t="shared" si="1"/>
        <v>8.9681933331433011E-2</v>
      </c>
    </row>
    <row r="41" spans="2:4" x14ac:dyDescent="0.2">
      <c r="B41" s="16">
        <v>41578</v>
      </c>
      <c r="C41" s="23">
        <v>46.921478271484403</v>
      </c>
      <c r="D41" s="25">
        <f t="shared" si="1"/>
        <v>9.4688614696730677E-2</v>
      </c>
    </row>
    <row r="42" spans="2:4" x14ac:dyDescent="0.2">
      <c r="B42" s="16">
        <v>41608</v>
      </c>
      <c r="C42" s="23">
        <v>47.488811492919901</v>
      </c>
      <c r="D42" s="25">
        <f t="shared" si="1"/>
        <v>1.2091119937716938E-2</v>
      </c>
    </row>
    <row r="43" spans="2:4" x14ac:dyDescent="0.2">
      <c r="B43" s="16">
        <v>41639</v>
      </c>
      <c r="C43" s="23">
        <v>42.513721466064503</v>
      </c>
      <c r="D43" s="25">
        <f t="shared" si="1"/>
        <v>-0.10476341416961199</v>
      </c>
    </row>
    <row r="44" spans="2:4" x14ac:dyDescent="0.2">
      <c r="B44" s="16">
        <v>41670</v>
      </c>
      <c r="C44" s="23">
        <v>47.103313446044901</v>
      </c>
      <c r="D44" s="25">
        <f t="shared" si="1"/>
        <v>0.10795554521482958</v>
      </c>
    </row>
    <row r="45" spans="2:4" x14ac:dyDescent="0.2">
      <c r="B45" s="16">
        <v>41698</v>
      </c>
      <c r="C45" s="23">
        <v>52.522090911865199</v>
      </c>
      <c r="D45" s="25">
        <f t="shared" si="1"/>
        <v>0.11504026085186782</v>
      </c>
    </row>
    <row r="46" spans="2:4" x14ac:dyDescent="0.2">
      <c r="B46" s="16">
        <v>41729</v>
      </c>
      <c r="C46" s="23">
        <v>51.307407379150398</v>
      </c>
      <c r="D46" s="25">
        <f t="shared" si="1"/>
        <v>-2.3127097791158072E-2</v>
      </c>
    </row>
    <row r="47" spans="2:4" x14ac:dyDescent="0.2">
      <c r="B47" s="16">
        <v>41759</v>
      </c>
      <c r="C47" s="23">
        <v>51.023746490478501</v>
      </c>
      <c r="D47" s="25">
        <f t="shared" si="1"/>
        <v>-5.5286537200312045E-3</v>
      </c>
    </row>
    <row r="48" spans="2:4" x14ac:dyDescent="0.2">
      <c r="B48" s="16">
        <v>41790</v>
      </c>
      <c r="C48" s="23">
        <v>50.230926513671903</v>
      </c>
      <c r="D48" s="25">
        <f t="shared" si="1"/>
        <v>-1.553825485854014E-2</v>
      </c>
    </row>
    <row r="49" spans="2:4" x14ac:dyDescent="0.2">
      <c r="B49" s="16">
        <v>41820</v>
      </c>
      <c r="C49" s="23">
        <v>49.266277313232401</v>
      </c>
      <c r="D49" s="25">
        <f t="shared" si="1"/>
        <v>-1.9204288421336278E-2</v>
      </c>
    </row>
    <row r="50" spans="2:4" x14ac:dyDescent="0.2">
      <c r="B50" s="16">
        <v>41851</v>
      </c>
      <c r="C50" s="23">
        <v>46.535472869873097</v>
      </c>
      <c r="D50" s="25">
        <f t="shared" si="1"/>
        <v>-5.5429486299461858E-2</v>
      </c>
    </row>
    <row r="51" spans="2:4" x14ac:dyDescent="0.2">
      <c r="B51" s="16">
        <v>41882</v>
      </c>
      <c r="C51" s="23">
        <v>44.453800201416001</v>
      </c>
      <c r="D51" s="25">
        <f t="shared" si="1"/>
        <v>-4.4733029237245869E-2</v>
      </c>
    </row>
    <row r="52" spans="2:4" x14ac:dyDescent="0.2">
      <c r="B52" s="16">
        <v>41912</v>
      </c>
      <c r="C52" s="23">
        <v>42.789955139160199</v>
      </c>
      <c r="D52" s="25">
        <f t="shared" si="1"/>
        <v>-3.7428635003465993E-2</v>
      </c>
    </row>
    <row r="53" spans="2:4" x14ac:dyDescent="0.2">
      <c r="B53" s="16">
        <v>41943</v>
      </c>
      <c r="C53" s="23">
        <v>44.192665100097699</v>
      </c>
      <c r="D53" s="25">
        <f t="shared" si="1"/>
        <v>3.2781290757974597E-2</v>
      </c>
    </row>
    <row r="54" spans="2:4" x14ac:dyDescent="0.2">
      <c r="B54" s="16">
        <v>41973</v>
      </c>
      <c r="C54" s="23">
        <v>48.1396293640137</v>
      </c>
      <c r="D54" s="25">
        <f t="shared" si="1"/>
        <v>8.9312655278336581E-2</v>
      </c>
    </row>
    <row r="55" spans="2:4" x14ac:dyDescent="0.2">
      <c r="B55" s="16">
        <v>42004</v>
      </c>
      <c r="C55" s="23">
        <v>45.162612915039098</v>
      </c>
      <c r="D55" s="25">
        <f t="shared" si="1"/>
        <v>-6.1841283123796567E-2</v>
      </c>
    </row>
    <row r="56" spans="2:4" x14ac:dyDescent="0.2">
      <c r="B56" s="16">
        <v>42035</v>
      </c>
      <c r="C56" s="23">
        <v>50.892810821533203</v>
      </c>
      <c r="D56" s="25">
        <f t="shared" si="1"/>
        <v>0.12687923786150015</v>
      </c>
    </row>
    <row r="57" spans="2:4" x14ac:dyDescent="0.2">
      <c r="B57" s="16">
        <v>42063</v>
      </c>
      <c r="C57" s="23">
        <v>64.054359436035199</v>
      </c>
      <c r="D57" s="25">
        <f t="shared" si="1"/>
        <v>0.25861312043965995</v>
      </c>
    </row>
    <row r="58" spans="2:4" x14ac:dyDescent="0.2">
      <c r="B58" s="16">
        <v>42094</v>
      </c>
      <c r="C58" s="23">
        <v>63.248550415039098</v>
      </c>
      <c r="D58" s="25">
        <f t="shared" si="1"/>
        <v>-1.2580080857740577E-2</v>
      </c>
    </row>
    <row r="59" spans="2:4" x14ac:dyDescent="0.2">
      <c r="B59" s="16">
        <v>42124</v>
      </c>
      <c r="C59" s="23">
        <v>70.209846496582003</v>
      </c>
      <c r="D59" s="25">
        <f t="shared" si="1"/>
        <v>0.11006253955011851</v>
      </c>
    </row>
    <row r="60" spans="2:4" x14ac:dyDescent="0.2">
      <c r="B60" s="16">
        <v>42155</v>
      </c>
      <c r="C60" s="23">
        <v>70.530677795410199</v>
      </c>
      <c r="D60" s="25">
        <f t="shared" si="1"/>
        <v>4.5696054732695503E-3</v>
      </c>
    </row>
    <row r="61" spans="2:4" x14ac:dyDescent="0.2">
      <c r="B61" s="16">
        <v>42185</v>
      </c>
      <c r="C61" s="23">
        <v>71.151130676269503</v>
      </c>
      <c r="D61" s="25">
        <f t="shared" si="1"/>
        <v>8.7969221373295822E-3</v>
      </c>
    </row>
    <row r="62" spans="2:4" x14ac:dyDescent="0.2">
      <c r="B62" s="16">
        <v>42216</v>
      </c>
      <c r="C62" s="23">
        <v>63.809059143066399</v>
      </c>
      <c r="D62" s="25">
        <f t="shared" si="1"/>
        <v>-0.1031898082773806</v>
      </c>
    </row>
    <row r="63" spans="2:4" x14ac:dyDescent="0.2">
      <c r="B63" s="16">
        <v>42247</v>
      </c>
      <c r="C63" s="23">
        <v>56.428886413574197</v>
      </c>
      <c r="D63" s="25">
        <f t="shared" si="1"/>
        <v>-0.11566026562067157</v>
      </c>
    </row>
    <row r="64" spans="2:4" x14ac:dyDescent="0.2">
      <c r="B64" s="16">
        <v>42277</v>
      </c>
      <c r="C64" s="23">
        <v>48.744087219238303</v>
      </c>
      <c r="D64" s="25">
        <f t="shared" si="1"/>
        <v>-0.13618555464683574</v>
      </c>
    </row>
    <row r="65" spans="2:4" x14ac:dyDescent="0.2">
      <c r="B65" s="16">
        <v>42308</v>
      </c>
      <c r="C65" s="23">
        <v>65.294227600097699</v>
      </c>
      <c r="D65" s="25">
        <f t="shared" si="1"/>
        <v>0.33953124009525798</v>
      </c>
    </row>
    <row r="66" spans="2:4" x14ac:dyDescent="0.2">
      <c r="B66" s="16">
        <v>42338</v>
      </c>
      <c r="C66" s="23">
        <v>72.742927551269503</v>
      </c>
      <c r="D66" s="25">
        <f t="shared" si="1"/>
        <v>0.11407899633628039</v>
      </c>
    </row>
    <row r="67" spans="2:4" x14ac:dyDescent="0.2">
      <c r="B67" s="16">
        <v>42369</v>
      </c>
      <c r="C67" s="23">
        <v>70.5494384765625</v>
      </c>
      <c r="D67" s="25">
        <f t="shared" si="1"/>
        <v>-3.0153984016673279E-2</v>
      </c>
    </row>
    <row r="68" spans="2:4" x14ac:dyDescent="0.2">
      <c r="B68" s="16">
        <v>42400</v>
      </c>
      <c r="C68" s="23">
        <v>59.353542327880902</v>
      </c>
      <c r="D68" s="25">
        <f t="shared" ref="D68:D99" si="2">(C68-C67)/C67</f>
        <v>-0.15869575138292602</v>
      </c>
    </row>
    <row r="69" spans="2:4" x14ac:dyDescent="0.2">
      <c r="B69" s="16">
        <v>42429</v>
      </c>
      <c r="C69" s="23">
        <v>64.083236694335895</v>
      </c>
      <c r="D69" s="25">
        <f t="shared" si="2"/>
        <v>7.9686808587214733E-2</v>
      </c>
    </row>
    <row r="70" spans="2:4" x14ac:dyDescent="0.2">
      <c r="B70" s="16">
        <v>42460</v>
      </c>
      <c r="C70" s="23">
        <v>66.505203247070298</v>
      </c>
      <c r="D70" s="25">
        <f t="shared" si="2"/>
        <v>3.7794073421832532E-2</v>
      </c>
    </row>
    <row r="71" spans="2:4" x14ac:dyDescent="0.2">
      <c r="B71" s="16">
        <v>42490</v>
      </c>
      <c r="C71" s="23">
        <v>64.189865112304702</v>
      </c>
      <c r="D71" s="25">
        <f t="shared" si="2"/>
        <v>-3.481439078028218E-2</v>
      </c>
    </row>
    <row r="72" spans="2:4" x14ac:dyDescent="0.2">
      <c r="B72" s="16">
        <v>42521</v>
      </c>
      <c r="C72" s="23">
        <v>64.235565185546903</v>
      </c>
      <c r="D72" s="25">
        <f t="shared" si="2"/>
        <v>7.1195153880205554E-4</v>
      </c>
    </row>
    <row r="73" spans="2:4" x14ac:dyDescent="0.2">
      <c r="B73" s="16">
        <v>42551</v>
      </c>
      <c r="C73" s="23">
        <v>53.693790435791001</v>
      </c>
      <c r="D73" s="25">
        <f t="shared" si="2"/>
        <v>-0.1641111854360677</v>
      </c>
    </row>
    <row r="74" spans="2:4" x14ac:dyDescent="0.2">
      <c r="B74" s="16">
        <v>42582</v>
      </c>
      <c r="C74" s="23">
        <v>61.390102386474602</v>
      </c>
      <c r="D74" s="25">
        <f t="shared" si="2"/>
        <v>0.14333709518770391</v>
      </c>
    </row>
    <row r="75" spans="2:4" x14ac:dyDescent="0.2">
      <c r="B75" s="16">
        <v>42613</v>
      </c>
      <c r="C75" s="23">
        <v>57.514480590820298</v>
      </c>
      <c r="D75" s="25">
        <f t="shared" si="2"/>
        <v>-6.3131052808085508E-2</v>
      </c>
    </row>
    <row r="76" spans="2:4" x14ac:dyDescent="0.2">
      <c r="B76" s="16">
        <v>42643</v>
      </c>
      <c r="C76" s="23">
        <v>57.381114959716797</v>
      </c>
      <c r="D76" s="25">
        <f t="shared" si="2"/>
        <v>-2.3188183172915149E-3</v>
      </c>
    </row>
    <row r="77" spans="2:4" x14ac:dyDescent="0.2">
      <c r="B77" s="16">
        <v>42674</v>
      </c>
      <c r="C77" s="23">
        <v>62.064815521240199</v>
      </c>
      <c r="D77" s="25">
        <f t="shared" si="2"/>
        <v>8.1624425820437524E-2</v>
      </c>
    </row>
    <row r="78" spans="2:4" x14ac:dyDescent="0.2">
      <c r="B78" s="16">
        <v>42704</v>
      </c>
      <c r="C78" s="23">
        <v>58.322563171386697</v>
      </c>
      <c r="D78" s="25">
        <f t="shared" si="2"/>
        <v>-6.0295874859610354E-2</v>
      </c>
    </row>
    <row r="79" spans="2:4" x14ac:dyDescent="0.2">
      <c r="B79" s="16">
        <v>42735</v>
      </c>
      <c r="C79" s="23">
        <v>66.301315307617202</v>
      </c>
      <c r="D79" s="25">
        <f t="shared" si="2"/>
        <v>0.13680386633187128</v>
      </c>
    </row>
    <row r="80" spans="2:4" x14ac:dyDescent="0.2">
      <c r="B80" s="16">
        <v>42766</v>
      </c>
      <c r="C80" s="23">
        <v>65.414794921875</v>
      </c>
      <c r="D80" s="25">
        <f t="shared" si="2"/>
        <v>-1.3371082935972336E-2</v>
      </c>
    </row>
    <row r="81" spans="2:4" x14ac:dyDescent="0.2">
      <c r="B81" s="16">
        <v>42794</v>
      </c>
      <c r="C81" s="23">
        <v>65.673690795898395</v>
      </c>
      <c r="D81" s="25">
        <f t="shared" si="2"/>
        <v>3.957757176073007E-3</v>
      </c>
    </row>
    <row r="82" spans="2:4" x14ac:dyDescent="0.2">
      <c r="B82" s="16">
        <v>42825</v>
      </c>
      <c r="C82" s="23">
        <v>63.884941101074197</v>
      </c>
      <c r="D82" s="25">
        <f t="shared" si="2"/>
        <v>-2.723692963112578E-2</v>
      </c>
    </row>
    <row r="83" spans="2:4" x14ac:dyDescent="0.2">
      <c r="B83" s="16">
        <v>42855</v>
      </c>
      <c r="C83" s="23">
        <v>67.164306640625</v>
      </c>
      <c r="D83" s="25">
        <f t="shared" si="2"/>
        <v>5.1332371651754742E-2</v>
      </c>
    </row>
    <row r="84" spans="2:4" x14ac:dyDescent="0.2">
      <c r="B84" s="16">
        <v>42886</v>
      </c>
      <c r="C84" s="23">
        <v>65.187278747558594</v>
      </c>
      <c r="D84" s="25">
        <f t="shared" si="2"/>
        <v>-2.9435692735500989E-2</v>
      </c>
    </row>
    <row r="85" spans="2:4" x14ac:dyDescent="0.2">
      <c r="B85" s="16">
        <v>42916</v>
      </c>
      <c r="C85" s="23">
        <v>62.174640655517599</v>
      </c>
      <c r="D85" s="25">
        <f t="shared" si="2"/>
        <v>-4.6215122795777455E-2</v>
      </c>
    </row>
    <row r="86" spans="2:4" x14ac:dyDescent="0.2">
      <c r="B86" s="16">
        <v>42947</v>
      </c>
      <c r="C86" s="23">
        <v>62.134395599365199</v>
      </c>
      <c r="D86" s="25">
        <f t="shared" si="2"/>
        <v>-6.4729053080307762E-4</v>
      </c>
    </row>
    <row r="87" spans="2:4" x14ac:dyDescent="0.2">
      <c r="B87" s="16">
        <v>42978</v>
      </c>
      <c r="C87" s="23">
        <v>60.65771484375</v>
      </c>
      <c r="D87" s="25">
        <f t="shared" si="2"/>
        <v>-2.3765914858762793E-2</v>
      </c>
    </row>
    <row r="88" spans="2:4" x14ac:dyDescent="0.2">
      <c r="B88" s="16">
        <v>43008</v>
      </c>
      <c r="C88" s="23">
        <v>67.804473876953097</v>
      </c>
      <c r="D88" s="25">
        <f t="shared" si="2"/>
        <v>0.11782110571775815</v>
      </c>
    </row>
    <row r="89" spans="2:4" x14ac:dyDescent="0.2">
      <c r="B89" s="16">
        <v>43039</v>
      </c>
      <c r="C89" s="23">
        <v>69.460624694824205</v>
      </c>
      <c r="D89" s="25">
        <f t="shared" si="2"/>
        <v>2.44253914701348E-2</v>
      </c>
    </row>
    <row r="90" spans="2:4" x14ac:dyDescent="0.2">
      <c r="B90" s="16">
        <v>43069</v>
      </c>
      <c r="C90" s="23">
        <v>69.656425476074205</v>
      </c>
      <c r="D90" s="25">
        <f t="shared" si="2"/>
        <v>2.8188744646373718E-3</v>
      </c>
    </row>
    <row r="91" spans="2:4" x14ac:dyDescent="0.2">
      <c r="B91" s="16">
        <v>43100</v>
      </c>
      <c r="C91" s="23">
        <v>68.457145690917997</v>
      </c>
      <c r="D91" s="25">
        <f t="shared" si="2"/>
        <v>-1.7217073327544484E-2</v>
      </c>
    </row>
    <row r="92" spans="2:4" x14ac:dyDescent="0.2">
      <c r="B92" s="16">
        <v>43131</v>
      </c>
      <c r="C92" s="23">
        <v>72.258956909179702</v>
      </c>
      <c r="D92" s="25">
        <f t="shared" si="2"/>
        <v>5.5535637366868472E-2</v>
      </c>
    </row>
    <row r="93" spans="2:4" x14ac:dyDescent="0.2">
      <c r="B93" s="16">
        <v>43159</v>
      </c>
      <c r="C93" s="23">
        <v>73.001380920410199</v>
      </c>
      <c r="D93" s="25">
        <f t="shared" si="2"/>
        <v>1.0274491121752969E-2</v>
      </c>
    </row>
    <row r="94" spans="2:4" x14ac:dyDescent="0.2">
      <c r="B94" s="16">
        <v>43190</v>
      </c>
      <c r="C94" s="23">
        <v>80.360267639160199</v>
      </c>
      <c r="D94" s="25">
        <f t="shared" si="2"/>
        <v>0.10080476048491509</v>
      </c>
    </row>
    <row r="95" spans="2:4" x14ac:dyDescent="0.2">
      <c r="B95" s="16">
        <v>43220</v>
      </c>
      <c r="C95" s="23">
        <v>73.295082092285199</v>
      </c>
      <c r="D95" s="25">
        <f t="shared" si="2"/>
        <v>-8.7918890198320832E-2</v>
      </c>
    </row>
    <row r="96" spans="2:4" x14ac:dyDescent="0.2">
      <c r="B96" s="16">
        <v>43251</v>
      </c>
      <c r="C96" s="23">
        <v>67.412864685058594</v>
      </c>
      <c r="D96" s="25">
        <f t="shared" si="2"/>
        <v>-8.0253916624588209E-2</v>
      </c>
    </row>
    <row r="97" spans="2:4" x14ac:dyDescent="0.2">
      <c r="B97" s="16">
        <v>43281</v>
      </c>
      <c r="C97" s="23">
        <v>59.417636871337898</v>
      </c>
      <c r="D97" s="25">
        <f t="shared" si="2"/>
        <v>-0.11860092062654565</v>
      </c>
    </row>
    <row r="98" spans="2:4" x14ac:dyDescent="0.2">
      <c r="B98" s="16">
        <v>43312</v>
      </c>
      <c r="C98" s="23">
        <v>64.246620178222699</v>
      </c>
      <c r="D98" s="25">
        <f t="shared" si="2"/>
        <v>8.1271884261257518E-2</v>
      </c>
    </row>
    <row r="99" spans="2:4" x14ac:dyDescent="0.2">
      <c r="B99" s="16">
        <v>43343</v>
      </c>
      <c r="C99" s="23">
        <v>63.316497802734403</v>
      </c>
      <c r="D99" s="25">
        <f t="shared" si="2"/>
        <v>-1.4477374419200554E-2</v>
      </c>
    </row>
    <row r="100" spans="2:4" x14ac:dyDescent="0.2">
      <c r="B100" s="16">
        <v>43373</v>
      </c>
      <c r="C100" s="23">
        <v>63.572502136230497</v>
      </c>
      <c r="D100" s="25">
        <f t="shared" ref="D100:D131" si="3">(C100-C99)/C99</f>
        <v>4.0432484799410029E-3</v>
      </c>
    </row>
    <row r="101" spans="2:4" x14ac:dyDescent="0.2">
      <c r="B101" s="16">
        <v>43404</v>
      </c>
      <c r="C101" s="23">
        <v>56.378990173339801</v>
      </c>
      <c r="D101" s="25">
        <f t="shared" si="3"/>
        <v>-0.11315445705559313</v>
      </c>
    </row>
    <row r="102" spans="2:4" x14ac:dyDescent="0.2">
      <c r="B102" s="16">
        <v>43434</v>
      </c>
      <c r="C102" s="23">
        <v>52.948635101318402</v>
      </c>
      <c r="D102" s="25">
        <f t="shared" si="3"/>
        <v>-6.0844563931964982E-2</v>
      </c>
    </row>
    <row r="103" spans="2:4" x14ac:dyDescent="0.2">
      <c r="B103" s="16">
        <v>43465</v>
      </c>
      <c r="C103" s="23">
        <v>46.548721313476598</v>
      </c>
      <c r="D103" s="25">
        <f t="shared" si="3"/>
        <v>-0.12087023160456214</v>
      </c>
    </row>
    <row r="104" spans="2:4" x14ac:dyDescent="0.2">
      <c r="B104" s="16">
        <v>43496</v>
      </c>
      <c r="C104" s="23">
        <v>52.777976989746101</v>
      </c>
      <c r="D104" s="25">
        <f t="shared" si="3"/>
        <v>0.13382227267467461</v>
      </c>
    </row>
    <row r="105" spans="2:4" x14ac:dyDescent="0.2">
      <c r="B105" s="16">
        <v>43524</v>
      </c>
      <c r="C105" s="23">
        <v>51.395591735839801</v>
      </c>
      <c r="D105" s="25">
        <f t="shared" si="3"/>
        <v>-2.619246384102359E-2</v>
      </c>
    </row>
    <row r="106" spans="2:4" x14ac:dyDescent="0.2">
      <c r="B106" s="16">
        <v>43555</v>
      </c>
      <c r="C106" s="23">
        <v>50.269207000732401</v>
      </c>
      <c r="D106" s="25">
        <f t="shared" si="3"/>
        <v>-2.1915979504560042E-2</v>
      </c>
    </row>
    <row r="107" spans="2:4" x14ac:dyDescent="0.2">
      <c r="B107" s="16">
        <v>43585</v>
      </c>
      <c r="C107" s="23">
        <v>51.899051666259801</v>
      </c>
      <c r="D107" s="25">
        <f t="shared" si="3"/>
        <v>3.242232696258078E-2</v>
      </c>
    </row>
    <row r="108" spans="2:4" x14ac:dyDescent="0.2">
      <c r="B108" s="16">
        <v>43616</v>
      </c>
      <c r="C108" s="23">
        <v>46.0111274719238</v>
      </c>
      <c r="D108" s="25">
        <f t="shared" si="3"/>
        <v>-0.11344955264690919</v>
      </c>
    </row>
    <row r="109" spans="2:4" x14ac:dyDescent="0.2">
      <c r="B109" s="16">
        <v>43646</v>
      </c>
      <c r="C109" s="23">
        <v>47.180179595947301</v>
      </c>
      <c r="D109" s="25">
        <f t="shared" si="3"/>
        <v>2.540803036693379E-2</v>
      </c>
    </row>
    <row r="110" spans="2:4" x14ac:dyDescent="0.2">
      <c r="B110" s="16">
        <v>43677</v>
      </c>
      <c r="C110" s="23">
        <v>46.035343170166001</v>
      </c>
      <c r="D110" s="25">
        <f t="shared" si="3"/>
        <v>-2.4265198555531553E-2</v>
      </c>
    </row>
    <row r="111" spans="2:4" x14ac:dyDescent="0.2">
      <c r="B111" s="16">
        <v>43708</v>
      </c>
      <c r="C111" s="23">
        <v>47.510955810546903</v>
      </c>
      <c r="D111" s="25">
        <f t="shared" si="3"/>
        <v>3.2053907688412722E-2</v>
      </c>
    </row>
    <row r="112" spans="2:4" x14ac:dyDescent="0.2">
      <c r="B112" s="16">
        <v>43738</v>
      </c>
      <c r="C112" s="23">
        <v>47.966388702392599</v>
      </c>
      <c r="D112" s="25">
        <f t="shared" si="3"/>
        <v>9.5858499176856172E-3</v>
      </c>
    </row>
    <row r="113" spans="2:4" x14ac:dyDescent="0.2">
      <c r="B113" s="16">
        <v>43769</v>
      </c>
      <c r="C113" s="23">
        <v>41.681388854980497</v>
      </c>
      <c r="D113" s="25">
        <f t="shared" si="3"/>
        <v>-0.13102924813471734</v>
      </c>
    </row>
    <row r="114" spans="2:4" x14ac:dyDescent="0.2">
      <c r="B114" s="16">
        <v>43799</v>
      </c>
      <c r="C114" s="23">
        <v>39.581832885742202</v>
      </c>
      <c r="D114" s="25">
        <f t="shared" si="3"/>
        <v>-5.0371545356685497E-2</v>
      </c>
    </row>
    <row r="115" spans="2:4" x14ac:dyDescent="0.2">
      <c r="B115" s="16">
        <v>43830</v>
      </c>
      <c r="C115" s="23">
        <v>38.4204711914063</v>
      </c>
      <c r="D115" s="25">
        <f t="shared" si="3"/>
        <v>-2.9340776049666888E-2</v>
      </c>
    </row>
    <row r="116" spans="2:4" x14ac:dyDescent="0.2">
      <c r="B116" s="16">
        <v>43861</v>
      </c>
      <c r="C116" s="23">
        <v>32.103591918945298</v>
      </c>
      <c r="D116" s="25">
        <f t="shared" si="3"/>
        <v>-0.16441441441441587</v>
      </c>
    </row>
    <row r="117" spans="2:4" x14ac:dyDescent="0.2">
      <c r="B117" s="16">
        <v>43890</v>
      </c>
      <c r="C117" s="23">
        <v>24.133487701416001</v>
      </c>
      <c r="D117" s="25">
        <f t="shared" si="3"/>
        <v>-0.24826207103716322</v>
      </c>
    </row>
    <row r="118" spans="2:4" x14ac:dyDescent="0.2">
      <c r="B118" s="16">
        <v>43921</v>
      </c>
      <c r="C118" s="23">
        <v>16.129674911498999</v>
      </c>
      <c r="D118" s="25">
        <f t="shared" si="3"/>
        <v>-0.33164757986668414</v>
      </c>
    </row>
    <row r="119" spans="2:4" x14ac:dyDescent="0.2">
      <c r="B119" s="16">
        <v>43951</v>
      </c>
      <c r="C119" s="23">
        <v>16.492204666137699</v>
      </c>
      <c r="D119" s="25">
        <f t="shared" si="3"/>
        <v>2.247594924434896E-2</v>
      </c>
    </row>
    <row r="120" spans="2:4" x14ac:dyDescent="0.2">
      <c r="B120" s="16">
        <v>43982</v>
      </c>
      <c r="C120" s="23">
        <v>18.404117584228501</v>
      </c>
      <c r="D120" s="25">
        <f t="shared" si="3"/>
        <v>0.11592827986281305</v>
      </c>
    </row>
    <row r="121" spans="2:4" x14ac:dyDescent="0.2">
      <c r="B121" s="16">
        <v>44012</v>
      </c>
      <c r="C121" s="23">
        <v>20.567432403564499</v>
      </c>
      <c r="D121" s="25">
        <f t="shared" si="3"/>
        <v>0.117545153112359</v>
      </c>
    </row>
    <row r="122" spans="2:4" x14ac:dyDescent="0.2">
      <c r="B122" s="16">
        <v>44043</v>
      </c>
      <c r="C122" s="23">
        <v>18.2674865722656</v>
      </c>
      <c r="D122" s="25">
        <f t="shared" si="3"/>
        <v>-0.11182464520463431</v>
      </c>
    </row>
    <row r="123" spans="2:4" x14ac:dyDescent="0.2">
      <c r="B123" s="16">
        <v>44074</v>
      </c>
      <c r="C123" s="23">
        <v>21.7151279449463</v>
      </c>
      <c r="D123" s="25">
        <f t="shared" si="3"/>
        <v>0.18873101994858127</v>
      </c>
    </row>
    <row r="124" spans="2:4" x14ac:dyDescent="0.2">
      <c r="B124" s="16">
        <v>44104</v>
      </c>
      <c r="C124" s="23">
        <v>20.216747283935501</v>
      </c>
      <c r="D124" s="25">
        <f t="shared" si="3"/>
        <v>-6.9001696182016417E-2</v>
      </c>
    </row>
    <row r="125" spans="2:4" x14ac:dyDescent="0.2">
      <c r="B125" s="16">
        <v>44135</v>
      </c>
      <c r="C125" s="23">
        <v>19.360528945922901</v>
      </c>
      <c r="D125" s="25">
        <f t="shared" si="3"/>
        <v>-4.2351933572071801E-2</v>
      </c>
    </row>
    <row r="126" spans="2:4" x14ac:dyDescent="0.2">
      <c r="B126" s="16">
        <v>44165</v>
      </c>
      <c r="C126" s="23">
        <v>30.382051467895501</v>
      </c>
      <c r="D126" s="25">
        <f t="shared" si="3"/>
        <v>0.56927796511952233</v>
      </c>
    </row>
    <row r="127" spans="2:4" x14ac:dyDescent="0.2">
      <c r="B127" s="16">
        <v>44196</v>
      </c>
      <c r="C127" s="23">
        <v>32.572689056396499</v>
      </c>
      <c r="D127" s="25">
        <f t="shared" si="3"/>
        <v>7.2103017494254101E-2</v>
      </c>
    </row>
    <row r="128" spans="2:4" x14ac:dyDescent="0.2">
      <c r="B128" s="16">
        <v>44227</v>
      </c>
      <c r="C128" s="23">
        <v>32.099044799804702</v>
      </c>
      <c r="D128" s="25">
        <f t="shared" si="3"/>
        <v>-1.4541146902907743E-2</v>
      </c>
    </row>
    <row r="129" spans="2:4" x14ac:dyDescent="0.2">
      <c r="B129" s="16">
        <v>44255</v>
      </c>
      <c r="C129" s="23">
        <v>33.816028594970703</v>
      </c>
      <c r="D129" s="25">
        <f t="shared" si="3"/>
        <v>5.3490183457934173E-2</v>
      </c>
    </row>
    <row r="130" spans="2:4" x14ac:dyDescent="0.2">
      <c r="B130" s="16">
        <v>44286</v>
      </c>
      <c r="C130" s="23">
        <v>33.638412475585902</v>
      </c>
      <c r="D130" s="25">
        <f t="shared" si="3"/>
        <v>-5.2524239765759234E-3</v>
      </c>
    </row>
    <row r="131" spans="2:4" x14ac:dyDescent="0.2">
      <c r="B131" s="16">
        <v>44316</v>
      </c>
      <c r="C131" s="23">
        <v>30.536899566650401</v>
      </c>
      <c r="D131" s="25">
        <f t="shared" si="3"/>
        <v>-9.2201524408636049E-2</v>
      </c>
    </row>
    <row r="132" spans="2:4" x14ac:dyDescent="0.2">
      <c r="B132" s="16">
        <v>44347</v>
      </c>
      <c r="C132" s="23">
        <v>30.819267272949201</v>
      </c>
      <c r="D132" s="25">
        <f t="shared" ref="D132:D163" si="4">(C132-C131)/C131</f>
        <v>9.246770638338668E-3</v>
      </c>
    </row>
    <row r="133" spans="2:4" x14ac:dyDescent="0.2">
      <c r="B133" s="16">
        <v>44377</v>
      </c>
      <c r="C133" s="23">
        <v>31.046983718872099</v>
      </c>
      <c r="D133" s="25">
        <f t="shared" si="4"/>
        <v>7.3887689770862873E-3</v>
      </c>
    </row>
    <row r="134" spans="2:4" x14ac:dyDescent="0.2">
      <c r="B134" s="16">
        <v>44408</v>
      </c>
      <c r="C134" s="23">
        <v>29.170595169067401</v>
      </c>
      <c r="D134" s="25">
        <f t="shared" si="4"/>
        <v>-6.0437064250596556E-2</v>
      </c>
    </row>
    <row r="135" spans="2:4" x14ac:dyDescent="0.2">
      <c r="B135" s="16">
        <v>44439</v>
      </c>
      <c r="C135" s="23">
        <v>28.646844863891602</v>
      </c>
      <c r="D135" s="25">
        <f t="shared" si="4"/>
        <v>-1.7954734969932516E-2</v>
      </c>
    </row>
    <row r="136" spans="2:4" x14ac:dyDescent="0.2">
      <c r="B136" s="16">
        <v>44469</v>
      </c>
      <c r="C136" s="23">
        <v>28.141313552856399</v>
      </c>
      <c r="D136" s="25">
        <f t="shared" si="4"/>
        <v>-1.7647015349756996E-2</v>
      </c>
    </row>
    <row r="137" spans="2:4" x14ac:dyDescent="0.2">
      <c r="B137" s="16">
        <v>44500</v>
      </c>
      <c r="C137" s="23">
        <v>28.291603088378899</v>
      </c>
      <c r="D137" s="25">
        <f t="shared" si="4"/>
        <v>5.3405302222378076E-3</v>
      </c>
    </row>
    <row r="138" spans="2:4" x14ac:dyDescent="0.2">
      <c r="B138" s="16">
        <v>44530</v>
      </c>
      <c r="C138" s="23">
        <v>25.923343658447301</v>
      </c>
      <c r="D138" s="25">
        <f t="shared" si="4"/>
        <v>-8.3708916123752197E-2</v>
      </c>
    </row>
    <row r="139" spans="2:4" x14ac:dyDescent="0.2">
      <c r="B139" s="16">
        <v>44561</v>
      </c>
      <c r="C139" s="23">
        <v>27.822507858276399</v>
      </c>
      <c r="D139" s="25">
        <f t="shared" si="4"/>
        <v>7.3260773180015393E-2</v>
      </c>
    </row>
    <row r="140" spans="2:4" x14ac:dyDescent="0.2">
      <c r="B140" s="16">
        <v>44592</v>
      </c>
      <c r="C140" s="23">
        <v>31.803007125854499</v>
      </c>
      <c r="D140" s="25">
        <f t="shared" si="4"/>
        <v>0.14306759433240723</v>
      </c>
    </row>
    <row r="141" spans="2:4" x14ac:dyDescent="0.2">
      <c r="B141" s="16">
        <v>44620</v>
      </c>
      <c r="C141" s="23">
        <v>25.9962158203125</v>
      </c>
      <c r="D141" s="25">
        <f t="shared" si="4"/>
        <v>-0.18258623414329028</v>
      </c>
    </row>
    <row r="142" spans="2:4" x14ac:dyDescent="0.2">
      <c r="B142" s="16">
        <v>44651</v>
      </c>
      <c r="C142" s="23">
        <v>21.747007369995099</v>
      </c>
      <c r="D142" s="25">
        <f t="shared" si="4"/>
        <v>-0.16345488434502159</v>
      </c>
    </row>
    <row r="143" spans="2:4" x14ac:dyDescent="0.2">
      <c r="B143" s="16">
        <v>44681</v>
      </c>
      <c r="C143" s="23">
        <v>21.473749160766602</v>
      </c>
      <c r="D143" s="25">
        <f t="shared" si="4"/>
        <v>-1.2565324717069769E-2</v>
      </c>
    </row>
    <row r="144" spans="2:4" x14ac:dyDescent="0.2">
      <c r="B144" s="16">
        <v>44712</v>
      </c>
      <c r="C144" s="23">
        <v>23.272712707519499</v>
      </c>
      <c r="D144" s="25">
        <f t="shared" si="4"/>
        <v>8.3775009817087562E-2</v>
      </c>
    </row>
    <row r="145" spans="2:4" x14ac:dyDescent="0.2">
      <c r="B145" s="16">
        <v>44742</v>
      </c>
      <c r="C145" s="23">
        <v>21.6695861816406</v>
      </c>
      <c r="D145" s="25">
        <f t="shared" si="4"/>
        <v>-6.8884386020067315E-2</v>
      </c>
    </row>
    <row r="146" spans="2:4" x14ac:dyDescent="0.2">
      <c r="B146" s="16">
        <v>44773</v>
      </c>
      <c r="C146" s="23">
        <v>26.1829433441162</v>
      </c>
      <c r="D146" s="25">
        <f t="shared" si="4"/>
        <v>0.2082807269434388</v>
      </c>
    </row>
    <row r="147" spans="2:4" x14ac:dyDescent="0.2">
      <c r="B147" s="16">
        <v>44804</v>
      </c>
      <c r="C147" s="23">
        <v>26.0599765777588</v>
      </c>
      <c r="D147" s="25">
        <f t="shared" si="4"/>
        <v>-4.6964454966455672E-3</v>
      </c>
    </row>
    <row r="148" spans="2:4" x14ac:dyDescent="0.2">
      <c r="B148" s="16">
        <v>44834</v>
      </c>
      <c r="C148" s="23">
        <v>25.4770183563232</v>
      </c>
      <c r="D148" s="25">
        <f t="shared" si="4"/>
        <v>-2.2369867436225283E-2</v>
      </c>
    </row>
    <row r="149" spans="2:4" x14ac:dyDescent="0.2">
      <c r="B149" s="16">
        <v>44865</v>
      </c>
      <c r="C149" s="23">
        <v>28.391801834106399</v>
      </c>
      <c r="D149" s="25">
        <f t="shared" si="4"/>
        <v>0.11440834390495985</v>
      </c>
    </row>
    <row r="150" spans="2:4" x14ac:dyDescent="0.2">
      <c r="B150" s="16">
        <v>44895</v>
      </c>
      <c r="C150" s="23">
        <v>31.7073650360107</v>
      </c>
      <c r="D150" s="25">
        <f t="shared" si="4"/>
        <v>0.11677889347344601</v>
      </c>
    </row>
    <row r="151" spans="2:4" x14ac:dyDescent="0.2">
      <c r="B151" s="16">
        <v>44926</v>
      </c>
      <c r="C151" s="23">
        <v>28.487443923950199</v>
      </c>
      <c r="D151" s="25">
        <f t="shared" si="4"/>
        <v>-0.10155120453571499</v>
      </c>
    </row>
    <row r="152" spans="2:4" x14ac:dyDescent="0.2">
      <c r="B152" s="16">
        <v>44957</v>
      </c>
      <c r="C152" s="23">
        <v>33.920780181884801</v>
      </c>
      <c r="D152" s="25">
        <f t="shared" si="4"/>
        <v>0.19072740511361369</v>
      </c>
    </row>
    <row r="153" spans="2:4" x14ac:dyDescent="0.2">
      <c r="B153" s="16">
        <v>44985</v>
      </c>
      <c r="C153" s="23">
        <v>38.6846313476563</v>
      </c>
      <c r="D153" s="25">
        <f t="shared" si="4"/>
        <v>0.14044049518399951</v>
      </c>
    </row>
    <row r="154" spans="2:4" x14ac:dyDescent="0.2">
      <c r="B154" s="16">
        <v>45016</v>
      </c>
      <c r="C154" s="23">
        <v>34.248687744140597</v>
      </c>
      <c r="D154" s="25">
        <f t="shared" si="4"/>
        <v>-0.11466940355848716</v>
      </c>
    </row>
    <row r="155" spans="2:4" x14ac:dyDescent="0.2">
      <c r="B155" s="16">
        <v>45046</v>
      </c>
      <c r="C155" s="23">
        <v>30.632541656494102</v>
      </c>
      <c r="D155" s="25">
        <f t="shared" si="4"/>
        <v>-0.10558495305459287</v>
      </c>
    </row>
    <row r="156" spans="2:4" x14ac:dyDescent="0.2">
      <c r="B156" s="16">
        <v>45077</v>
      </c>
      <c r="C156" s="23">
        <v>28.4965496063232</v>
      </c>
      <c r="D156" s="25">
        <f t="shared" si="4"/>
        <v>-6.9729507728199608E-2</v>
      </c>
    </row>
    <row r="157" spans="2:4" x14ac:dyDescent="0.2">
      <c r="B157" s="16">
        <v>45107</v>
      </c>
      <c r="C157" s="23">
        <v>35.412708282470703</v>
      </c>
      <c r="D157" s="25">
        <f t="shared" si="4"/>
        <v>0.24270161727274003</v>
      </c>
    </row>
    <row r="158" spans="2:4" x14ac:dyDescent="0.2">
      <c r="B158" s="16">
        <v>45138</v>
      </c>
      <c r="C158" s="23">
        <v>36.628929138183601</v>
      </c>
      <c r="D158" s="25">
        <f t="shared" si="4"/>
        <v>3.4344192090920288E-2</v>
      </c>
    </row>
    <row r="159" spans="2:4" x14ac:dyDescent="0.2">
      <c r="B159" s="16">
        <v>45169</v>
      </c>
      <c r="C159" s="23">
        <v>34.269912719726598</v>
      </c>
      <c r="D159" s="25">
        <f t="shared" si="4"/>
        <v>-6.4403095421041417E-2</v>
      </c>
    </row>
    <row r="160" spans="2:4" x14ac:dyDescent="0.2">
      <c r="B160" s="16">
        <v>45199</v>
      </c>
      <c r="C160" s="23">
        <v>35.683486938476598</v>
      </c>
      <c r="D160" s="25">
        <f t="shared" si="4"/>
        <v>4.1248258503334682E-2</v>
      </c>
    </row>
    <row r="161" spans="2:4" x14ac:dyDescent="0.2">
      <c r="B161" s="16">
        <v>45230</v>
      </c>
      <c r="C161" s="23">
        <v>30.3367004394531</v>
      </c>
      <c r="D161" s="25">
        <f t="shared" si="4"/>
        <v>-0.14983923819558659</v>
      </c>
    </row>
    <row r="162" spans="2:4" x14ac:dyDescent="0.2">
      <c r="B162" s="16">
        <v>45260</v>
      </c>
      <c r="C162" s="23">
        <v>33.035335540771499</v>
      </c>
      <c r="D162" s="25">
        <f t="shared" si="4"/>
        <v>8.8956117910859014E-2</v>
      </c>
    </row>
    <row r="163" spans="2:4" x14ac:dyDescent="0.2">
      <c r="B163" s="16">
        <v>45291</v>
      </c>
      <c r="C163" s="23">
        <v>33.875217437744098</v>
      </c>
      <c r="D163" s="25">
        <f t="shared" si="4"/>
        <v>2.5423743492359426E-2</v>
      </c>
    </row>
    <row r="164" spans="2:4" x14ac:dyDescent="0.2">
      <c r="B164" s="16">
        <v>45322</v>
      </c>
      <c r="C164" s="23">
        <v>32.190864562988303</v>
      </c>
      <c r="D164" s="25">
        <f t="shared" ref="D164:D183" si="5">(C164-C163)/C163</f>
        <v>-4.9722274930081273E-2</v>
      </c>
    </row>
    <row r="165" spans="2:4" x14ac:dyDescent="0.2">
      <c r="B165" s="16">
        <v>45351</v>
      </c>
      <c r="C165" s="23">
        <v>35.366809844970703</v>
      </c>
      <c r="D165" s="25">
        <f t="shared" si="5"/>
        <v>9.8659831759659186E-2</v>
      </c>
    </row>
    <row r="166" spans="2:4" x14ac:dyDescent="0.2">
      <c r="B166" s="16">
        <v>45382</v>
      </c>
      <c r="C166" s="23">
        <v>42.953277587890597</v>
      </c>
      <c r="D166" s="25">
        <f t="shared" si="5"/>
        <v>0.21450811583444862</v>
      </c>
    </row>
    <row r="167" spans="2:4" x14ac:dyDescent="0.2">
      <c r="B167" s="16">
        <v>45412</v>
      </c>
      <c r="C167" s="23">
        <v>42.902797698974602</v>
      </c>
      <c r="D167" s="25">
        <f t="shared" si="5"/>
        <v>-1.1752278696940607E-3</v>
      </c>
    </row>
    <row r="168" spans="2:4" x14ac:dyDescent="0.2">
      <c r="B168" s="16">
        <v>45443</v>
      </c>
      <c r="C168" s="23">
        <v>49.1812553405762</v>
      </c>
      <c r="D168" s="25">
        <f t="shared" si="5"/>
        <v>0.1463414504027008</v>
      </c>
    </row>
    <row r="169" spans="2:4" x14ac:dyDescent="0.2">
      <c r="B169" s="16">
        <v>45473</v>
      </c>
      <c r="C169" s="23">
        <v>45.625648498535199</v>
      </c>
      <c r="D169" s="25">
        <f t="shared" si="5"/>
        <v>-7.2295975721211519E-2</v>
      </c>
    </row>
    <row r="170" spans="2:4" x14ac:dyDescent="0.2">
      <c r="B170" s="16">
        <v>45504</v>
      </c>
      <c r="C170" s="23">
        <v>42.764511108398402</v>
      </c>
      <c r="D170" s="25">
        <f t="shared" si="5"/>
        <v>-6.2708969281360535E-2</v>
      </c>
    </row>
    <row r="171" spans="2:4" x14ac:dyDescent="0.2">
      <c r="B171" s="16">
        <v>45535</v>
      </c>
      <c r="C171" s="23">
        <v>40.961990356445298</v>
      </c>
      <c r="D171" s="25">
        <f t="shared" si="5"/>
        <v>-4.2149920699060948E-2</v>
      </c>
    </row>
    <row r="172" spans="2:4" x14ac:dyDescent="0.2">
      <c r="B172" s="16">
        <v>45565</v>
      </c>
      <c r="C172" s="23">
        <v>37.185287475585902</v>
      </c>
      <c r="D172" s="25">
        <f t="shared" si="5"/>
        <v>-9.2200179922779041E-2</v>
      </c>
    </row>
    <row r="173" spans="2:4" x14ac:dyDescent="0.2">
      <c r="B173" s="16">
        <v>45596</v>
      </c>
      <c r="C173" s="23">
        <v>39.960594177246101</v>
      </c>
      <c r="D173" s="25">
        <f t="shared" si="5"/>
        <v>7.4634536669437715E-2</v>
      </c>
    </row>
    <row r="174" spans="2:4" x14ac:dyDescent="0.2">
      <c r="B174" s="16">
        <v>45626</v>
      </c>
      <c r="C174" s="23">
        <v>38.654003143310597</v>
      </c>
      <c r="D174" s="25">
        <f t="shared" si="5"/>
        <v>-3.2696987140383618E-2</v>
      </c>
    </row>
    <row r="175" spans="2:4" x14ac:dyDescent="0.2">
      <c r="B175" s="16">
        <v>45657</v>
      </c>
      <c r="C175" s="23">
        <v>44.872215270996101</v>
      </c>
      <c r="D175" s="25">
        <f t="shared" si="5"/>
        <v>0.16086851611801606</v>
      </c>
    </row>
    <row r="176" spans="2:4" x14ac:dyDescent="0.2">
      <c r="B176" s="16">
        <v>45688</v>
      </c>
      <c r="C176" s="23">
        <v>47.351871490478501</v>
      </c>
      <c r="D176" s="25">
        <f t="shared" si="5"/>
        <v>5.5260392305284012E-2</v>
      </c>
    </row>
    <row r="177" spans="2:4" x14ac:dyDescent="0.2">
      <c r="B177" s="16">
        <v>45716</v>
      </c>
      <c r="C177" s="23">
        <v>47.533077239990199</v>
      </c>
      <c r="D177" s="25">
        <f t="shared" si="5"/>
        <v>3.8267917150462409E-3</v>
      </c>
    </row>
    <row r="178" spans="2:4" x14ac:dyDescent="0.2">
      <c r="B178" s="16">
        <v>45747</v>
      </c>
      <c r="C178" s="23">
        <v>44.395359039306598</v>
      </c>
      <c r="D178" s="25">
        <f t="shared" si="5"/>
        <v>-6.6011257483742244E-2</v>
      </c>
    </row>
    <row r="179" spans="2:4" x14ac:dyDescent="0.2">
      <c r="B179" s="16">
        <v>45777</v>
      </c>
      <c r="C179" s="23">
        <v>44.471656799316399</v>
      </c>
      <c r="D179" s="25">
        <f t="shared" si="5"/>
        <v>1.7185976566210202E-3</v>
      </c>
    </row>
    <row r="180" spans="2:4" x14ac:dyDescent="0.2">
      <c r="B180" s="16">
        <v>45808</v>
      </c>
      <c r="C180" s="23">
        <v>43.279514312744098</v>
      </c>
      <c r="D180" s="25">
        <f t="shared" si="5"/>
        <v>-2.6806792738844537E-2</v>
      </c>
    </row>
    <row r="181" spans="2:4" x14ac:dyDescent="0.2">
      <c r="B181" s="16">
        <v>45838</v>
      </c>
      <c r="C181" s="23">
        <v>39.130001068115199</v>
      </c>
      <c r="D181" s="25">
        <f t="shared" si="5"/>
        <v>-9.5877075113272064E-2</v>
      </c>
    </row>
    <row r="182" spans="2:4" x14ac:dyDescent="0.2">
      <c r="B182" s="16">
        <v>45869</v>
      </c>
      <c r="C182" s="23">
        <v>32.709999084472699</v>
      </c>
      <c r="D182" s="25">
        <f t="shared" si="5"/>
        <v>-0.16406853586502435</v>
      </c>
    </row>
    <row r="183" spans="2:4" x14ac:dyDescent="0.2">
      <c r="B183" s="16">
        <v>45900</v>
      </c>
      <c r="C183" s="23">
        <v>33.599998474121101</v>
      </c>
      <c r="D183" s="25">
        <f t="shared" si="5"/>
        <v>2.7208786748969399E-2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7" tint="0.79998168889431442"/>
  </sheetPr>
  <dimension ref="B2:D183"/>
  <sheetViews>
    <sheetView showGridLines="0" workbookViewId="0">
      <selection activeCell="N31" sqref="N31"/>
    </sheetView>
  </sheetViews>
  <sheetFormatPr baseColWidth="10" defaultColWidth="10.83203125" defaultRowHeight="15" x14ac:dyDescent="0.2"/>
  <cols>
    <col min="3" max="3" width="11.6640625" bestFit="1" customWidth="1"/>
  </cols>
  <sheetData>
    <row r="2" spans="2:4" x14ac:dyDescent="0.2">
      <c r="B2" s="21" t="s">
        <v>308</v>
      </c>
      <c r="C2" t="s">
        <v>30</v>
      </c>
      <c r="D2" t="s">
        <v>310</v>
      </c>
    </row>
    <row r="3" spans="2:4" x14ac:dyDescent="0.2">
      <c r="B3" s="16" t="s">
        <v>237</v>
      </c>
      <c r="C3" s="23">
        <v>25.082778930664102</v>
      </c>
    </row>
    <row r="4" spans="2:4" x14ac:dyDescent="0.2">
      <c r="B4" s="16">
        <v>40451</v>
      </c>
      <c r="C4" s="23">
        <v>27.0802001953125</v>
      </c>
      <c r="D4" s="25">
        <f t="shared" ref="D4:D35" si="0">(C4-C3)/C3</f>
        <v>7.9633172630904886E-2</v>
      </c>
    </row>
    <row r="5" spans="2:4" x14ac:dyDescent="0.2">
      <c r="B5" s="16">
        <v>40482</v>
      </c>
      <c r="C5" s="23">
        <v>27.803258895873999</v>
      </c>
      <c r="D5" s="25">
        <f t="shared" si="0"/>
        <v>2.670064088694063E-2</v>
      </c>
    </row>
    <row r="6" spans="2:4" x14ac:dyDescent="0.2">
      <c r="B6" s="16">
        <v>40512</v>
      </c>
      <c r="C6" s="23">
        <v>25.8086051940918</v>
      </c>
      <c r="D6" s="25">
        <f t="shared" si="0"/>
        <v>-7.17417231286583E-2</v>
      </c>
    </row>
    <row r="7" spans="2:4" x14ac:dyDescent="0.2">
      <c r="B7" s="16">
        <v>40543</v>
      </c>
      <c r="C7" s="23">
        <v>26.512281417846701</v>
      </c>
      <c r="D7" s="25">
        <f t="shared" si="0"/>
        <v>2.7265178356712928E-2</v>
      </c>
    </row>
    <row r="8" spans="2:4" x14ac:dyDescent="0.2">
      <c r="B8" s="16">
        <v>40574</v>
      </c>
      <c r="C8" s="23">
        <v>27.6342678070068</v>
      </c>
      <c r="D8" s="25">
        <f t="shared" si="0"/>
        <v>4.2319496065881229E-2</v>
      </c>
    </row>
    <row r="9" spans="2:4" x14ac:dyDescent="0.2">
      <c r="B9" s="16">
        <v>40602</v>
      </c>
      <c r="C9" s="23">
        <v>27.703525543212901</v>
      </c>
      <c r="D9" s="25">
        <f t="shared" si="0"/>
        <v>2.5062265694819766E-3</v>
      </c>
    </row>
    <row r="10" spans="2:4" x14ac:dyDescent="0.2">
      <c r="B10" s="16">
        <v>40633</v>
      </c>
      <c r="C10" s="23">
        <v>27.412635803222699</v>
      </c>
      <c r="D10" s="25">
        <f t="shared" si="0"/>
        <v>-1.0500098246934771E-2</v>
      </c>
    </row>
    <row r="11" spans="2:4" x14ac:dyDescent="0.2">
      <c r="B11" s="16">
        <v>40663</v>
      </c>
      <c r="C11" s="23">
        <v>29.587366104126001</v>
      </c>
      <c r="D11" s="25">
        <f t="shared" si="0"/>
        <v>7.9333133687481294E-2</v>
      </c>
    </row>
    <row r="12" spans="2:4" x14ac:dyDescent="0.2">
      <c r="B12" s="16">
        <v>40694</v>
      </c>
      <c r="C12" s="23">
        <v>30.4849548339844</v>
      </c>
      <c r="D12" s="25">
        <f t="shared" si="0"/>
        <v>3.033689199300604E-2</v>
      </c>
    </row>
    <row r="13" spans="2:4" x14ac:dyDescent="0.2">
      <c r="B13" s="16">
        <v>40724</v>
      </c>
      <c r="C13" s="23">
        <v>32.154300689697301</v>
      </c>
      <c r="D13" s="25">
        <f t="shared" si="0"/>
        <v>5.4759663079832648E-2</v>
      </c>
    </row>
    <row r="14" spans="2:4" x14ac:dyDescent="0.2">
      <c r="B14" s="16">
        <v>40755</v>
      </c>
      <c r="C14" s="23">
        <v>31.487321853637699</v>
      </c>
      <c r="D14" s="25">
        <f t="shared" si="0"/>
        <v>-2.0743067700219393E-2</v>
      </c>
    </row>
    <row r="15" spans="2:4" x14ac:dyDescent="0.2">
      <c r="B15" s="16">
        <v>40786</v>
      </c>
      <c r="C15" s="23">
        <v>29.039793014526399</v>
      </c>
      <c r="D15" s="25">
        <f t="shared" si="0"/>
        <v>-7.7730613308052407E-2</v>
      </c>
    </row>
    <row r="16" spans="2:4" x14ac:dyDescent="0.2">
      <c r="B16" s="16">
        <v>40816</v>
      </c>
      <c r="C16" s="23">
        <v>28.622205734252901</v>
      </c>
      <c r="D16" s="25">
        <f t="shared" si="0"/>
        <v>-1.4379829775804901E-2</v>
      </c>
    </row>
    <row r="17" spans="2:4" x14ac:dyDescent="0.2">
      <c r="B17" s="16">
        <v>40847</v>
      </c>
      <c r="C17" s="23">
        <v>30.135961532592798</v>
      </c>
      <c r="D17" s="25">
        <f t="shared" si="0"/>
        <v>5.2887461308698092E-2</v>
      </c>
    </row>
    <row r="18" spans="2:4" x14ac:dyDescent="0.2">
      <c r="B18" s="16">
        <v>40877</v>
      </c>
      <c r="C18" s="23">
        <v>30.2113552093506</v>
      </c>
      <c r="D18" s="25">
        <f t="shared" si="0"/>
        <v>2.5017843441385366E-3</v>
      </c>
    </row>
    <row r="19" spans="2:4" x14ac:dyDescent="0.2">
      <c r="B19" s="16">
        <v>40908</v>
      </c>
      <c r="C19" s="23">
        <v>32.914077758789098</v>
      </c>
      <c r="D19" s="25">
        <f t="shared" si="0"/>
        <v>8.9460486982788134E-2</v>
      </c>
    </row>
    <row r="20" spans="2:4" x14ac:dyDescent="0.2">
      <c r="B20" s="16">
        <v>40939</v>
      </c>
      <c r="C20" s="23">
        <v>32.751686096191399</v>
      </c>
      <c r="D20" s="25">
        <f t="shared" si="0"/>
        <v>-4.9338056435239228E-3</v>
      </c>
    </row>
    <row r="21" spans="2:4" x14ac:dyDescent="0.2">
      <c r="B21" s="16">
        <v>40968</v>
      </c>
      <c r="C21" s="23">
        <v>32.194896697998097</v>
      </c>
      <c r="D21" s="25">
        <f t="shared" si="0"/>
        <v>-1.700032775589071E-2</v>
      </c>
    </row>
    <row r="22" spans="2:4" x14ac:dyDescent="0.2">
      <c r="B22" s="16">
        <v>40999</v>
      </c>
      <c r="C22" s="23">
        <v>33.772464752197301</v>
      </c>
      <c r="D22" s="25">
        <f t="shared" si="0"/>
        <v>4.9000562697792377E-2</v>
      </c>
    </row>
    <row r="23" spans="2:4" x14ac:dyDescent="0.2">
      <c r="B23" s="16">
        <v>41029</v>
      </c>
      <c r="C23" s="23">
        <v>33.441864013671903</v>
      </c>
      <c r="D23" s="25">
        <f t="shared" si="0"/>
        <v>-9.7890616202031336E-3</v>
      </c>
    </row>
    <row r="24" spans="2:4" x14ac:dyDescent="0.2">
      <c r="B24" s="16">
        <v>41060</v>
      </c>
      <c r="C24" s="23">
        <v>31.899105072021499</v>
      </c>
      <c r="D24" s="25">
        <f t="shared" si="0"/>
        <v>-4.613256429186139E-2</v>
      </c>
    </row>
    <row r="25" spans="2:4" x14ac:dyDescent="0.2">
      <c r="B25" s="16">
        <v>41090</v>
      </c>
      <c r="C25" s="23">
        <v>36.313575744628899</v>
      </c>
      <c r="D25" s="25">
        <f t="shared" si="0"/>
        <v>0.13838854295882128</v>
      </c>
    </row>
    <row r="26" spans="2:4" x14ac:dyDescent="0.2">
      <c r="B26" s="16">
        <v>41121</v>
      </c>
      <c r="C26" s="23">
        <v>40.404476165771499</v>
      </c>
      <c r="D26" s="25">
        <f t="shared" si="0"/>
        <v>0.11265484979808632</v>
      </c>
    </row>
    <row r="27" spans="2:4" x14ac:dyDescent="0.2">
      <c r="B27" s="16">
        <v>41152</v>
      </c>
      <c r="C27" s="23">
        <v>39.5413208007813</v>
      </c>
      <c r="D27" s="25">
        <f t="shared" si="0"/>
        <v>-2.1362864882812607E-2</v>
      </c>
    </row>
    <row r="28" spans="2:4" x14ac:dyDescent="0.2">
      <c r="B28" s="16">
        <v>41182</v>
      </c>
      <c r="C28" s="23">
        <v>40.331539154052699</v>
      </c>
      <c r="D28" s="25">
        <f t="shared" si="0"/>
        <v>1.9984622093245433E-2</v>
      </c>
    </row>
    <row r="29" spans="2:4" x14ac:dyDescent="0.2">
      <c r="B29" s="16">
        <v>41213</v>
      </c>
      <c r="C29" s="23">
        <v>41.225093841552699</v>
      </c>
      <c r="D29" s="25">
        <f t="shared" si="0"/>
        <v>2.2155233999052861E-2</v>
      </c>
    </row>
    <row r="30" spans="2:4" x14ac:dyDescent="0.2">
      <c r="B30" s="16">
        <v>41243</v>
      </c>
      <c r="C30" s="23">
        <v>41.735702514648402</v>
      </c>
      <c r="D30" s="25">
        <f t="shared" si="0"/>
        <v>1.2385870486025111E-2</v>
      </c>
    </row>
    <row r="31" spans="2:4" x14ac:dyDescent="0.2">
      <c r="B31" s="16">
        <v>41274</v>
      </c>
      <c r="C31" s="23">
        <v>43.395149230957003</v>
      </c>
      <c r="D31" s="25">
        <f t="shared" si="0"/>
        <v>3.9760843027050234E-2</v>
      </c>
    </row>
    <row r="32" spans="2:4" x14ac:dyDescent="0.2">
      <c r="B32" s="16">
        <v>41305</v>
      </c>
      <c r="C32" s="23">
        <v>43.680843353271499</v>
      </c>
      <c r="D32" s="25">
        <f t="shared" si="0"/>
        <v>6.5835497141392202E-3</v>
      </c>
    </row>
    <row r="33" spans="2:4" x14ac:dyDescent="0.2">
      <c r="B33" s="16">
        <v>41333</v>
      </c>
      <c r="C33" s="23">
        <v>44.118499755859403</v>
      </c>
      <c r="D33" s="25">
        <f t="shared" si="0"/>
        <v>1.0019412836156387E-2</v>
      </c>
    </row>
    <row r="34" spans="2:4" x14ac:dyDescent="0.2">
      <c r="B34" s="16">
        <v>41364</v>
      </c>
      <c r="C34" s="23">
        <v>48.185089111328097</v>
      </c>
      <c r="D34" s="25">
        <f t="shared" si="0"/>
        <v>9.2174243865321082E-2</v>
      </c>
    </row>
    <row r="35" spans="2:4" x14ac:dyDescent="0.2">
      <c r="B35" s="16">
        <v>41394</v>
      </c>
      <c r="C35" s="23">
        <v>50.586143493652301</v>
      </c>
      <c r="D35" s="25">
        <f t="shared" si="0"/>
        <v>4.9829821353588148E-2</v>
      </c>
    </row>
    <row r="36" spans="2:4" x14ac:dyDescent="0.2">
      <c r="B36" s="16">
        <v>41425</v>
      </c>
      <c r="C36" s="23">
        <v>50.154556274414098</v>
      </c>
      <c r="D36" s="25">
        <f t="shared" ref="D36:D67" si="1">(C36-C35)/C35</f>
        <v>-8.5317280470759739E-3</v>
      </c>
    </row>
    <row r="37" spans="2:4" x14ac:dyDescent="0.2">
      <c r="B37" s="16">
        <v>41455</v>
      </c>
      <c r="C37" s="23">
        <v>50.010890960693402</v>
      </c>
      <c r="D37" s="25">
        <f t="shared" si="1"/>
        <v>-2.8644518941539437E-3</v>
      </c>
    </row>
    <row r="38" spans="2:4" x14ac:dyDescent="0.2">
      <c r="B38" s="16">
        <v>41486</v>
      </c>
      <c r="C38" s="23">
        <v>50.356369018554702</v>
      </c>
      <c r="D38" s="25">
        <f t="shared" si="1"/>
        <v>6.9080564498007428E-3</v>
      </c>
    </row>
    <row r="39" spans="2:4" x14ac:dyDescent="0.2">
      <c r="B39" s="16">
        <v>41517</v>
      </c>
      <c r="C39" s="23">
        <v>45.658031463623097</v>
      </c>
      <c r="D39" s="25">
        <f t="shared" si="1"/>
        <v>-9.3301754008523113E-2</v>
      </c>
    </row>
    <row r="40" spans="2:4" x14ac:dyDescent="0.2">
      <c r="B40" s="16">
        <v>41547</v>
      </c>
      <c r="C40" s="23">
        <v>47.090129852294901</v>
      </c>
      <c r="D40" s="25">
        <f t="shared" si="1"/>
        <v>3.1365749743564673E-2</v>
      </c>
    </row>
    <row r="41" spans="2:4" x14ac:dyDescent="0.2">
      <c r="B41" s="16">
        <v>41578</v>
      </c>
      <c r="C41" s="23">
        <v>49.332523345947301</v>
      </c>
      <c r="D41" s="25">
        <f t="shared" si="1"/>
        <v>4.7619182633090985E-2</v>
      </c>
    </row>
    <row r="42" spans="2:4" x14ac:dyDescent="0.2">
      <c r="B42" s="16">
        <v>41608</v>
      </c>
      <c r="C42" s="23">
        <v>48.892837524414098</v>
      </c>
      <c r="D42" s="25">
        <f t="shared" si="1"/>
        <v>-8.9126967710506048E-3</v>
      </c>
    </row>
    <row r="43" spans="2:4" x14ac:dyDescent="0.2">
      <c r="B43" s="16">
        <v>41639</v>
      </c>
      <c r="C43" s="23">
        <v>48.440601348877003</v>
      </c>
      <c r="D43" s="25">
        <f t="shared" si="1"/>
        <v>-9.2495383462102409E-3</v>
      </c>
    </row>
    <row r="44" spans="2:4" x14ac:dyDescent="0.2">
      <c r="B44" s="16">
        <v>41670</v>
      </c>
      <c r="C44" s="23">
        <v>45.727119445800803</v>
      </c>
      <c r="D44" s="25">
        <f t="shared" si="1"/>
        <v>-5.6016684919604265E-2</v>
      </c>
    </row>
    <row r="45" spans="2:4" x14ac:dyDescent="0.2">
      <c r="B45" s="16">
        <v>41698</v>
      </c>
      <c r="C45" s="23">
        <v>47.316257476806598</v>
      </c>
      <c r="D45" s="25">
        <f t="shared" si="1"/>
        <v>3.4752638046430202E-2</v>
      </c>
    </row>
    <row r="46" spans="2:4" x14ac:dyDescent="0.2">
      <c r="B46" s="16">
        <v>41729</v>
      </c>
      <c r="C46" s="23">
        <v>47.536102294921903</v>
      </c>
      <c r="D46" s="25">
        <f t="shared" si="1"/>
        <v>4.6462850157383767E-3</v>
      </c>
    </row>
    <row r="47" spans="2:4" x14ac:dyDescent="0.2">
      <c r="B47" s="16">
        <v>41759</v>
      </c>
      <c r="C47" s="23">
        <v>49.005912780761697</v>
      </c>
      <c r="D47" s="25">
        <f t="shared" si="1"/>
        <v>3.0919878048074802E-2</v>
      </c>
    </row>
    <row r="48" spans="2:4" x14ac:dyDescent="0.2">
      <c r="B48" s="16">
        <v>41790</v>
      </c>
      <c r="C48" s="23">
        <v>49.2697143554688</v>
      </c>
      <c r="D48" s="25">
        <f t="shared" si="1"/>
        <v>5.383056038304487E-3</v>
      </c>
    </row>
    <row r="49" spans="2:4" x14ac:dyDescent="0.2">
      <c r="B49" s="16">
        <v>41820</v>
      </c>
      <c r="C49" s="23">
        <v>50.545040130615199</v>
      </c>
      <c r="D49" s="25">
        <f t="shared" si="1"/>
        <v>2.5884578220714639E-2</v>
      </c>
    </row>
    <row r="50" spans="2:4" x14ac:dyDescent="0.2">
      <c r="B50" s="16">
        <v>41851</v>
      </c>
      <c r="C50" s="23">
        <v>51.222618103027301</v>
      </c>
      <c r="D50" s="25">
        <f t="shared" si="1"/>
        <v>1.3405429507250355E-2</v>
      </c>
    </row>
    <row r="51" spans="2:4" x14ac:dyDescent="0.2">
      <c r="B51" s="16">
        <v>41882</v>
      </c>
      <c r="C51" s="23">
        <v>54.402042388916001</v>
      </c>
      <c r="D51" s="25">
        <f t="shared" si="1"/>
        <v>6.2070710237686844E-2</v>
      </c>
    </row>
    <row r="52" spans="2:4" x14ac:dyDescent="0.2">
      <c r="B52" s="16">
        <v>41912</v>
      </c>
      <c r="C52" s="23">
        <v>58.350265502929702</v>
      </c>
      <c r="D52" s="25">
        <f t="shared" si="1"/>
        <v>7.257490602628773E-2</v>
      </c>
    </row>
    <row r="53" spans="2:4" x14ac:dyDescent="0.2">
      <c r="B53" s="16">
        <v>41943</v>
      </c>
      <c r="C53" s="23">
        <v>47.9910697937012</v>
      </c>
      <c r="D53" s="25">
        <f t="shared" si="1"/>
        <v>-0.17753467991860941</v>
      </c>
    </row>
    <row r="54" spans="2:4" x14ac:dyDescent="0.2">
      <c r="B54" s="16">
        <v>41973</v>
      </c>
      <c r="C54" s="23">
        <v>50.727462768554702</v>
      </c>
      <c r="D54" s="25">
        <f t="shared" si="1"/>
        <v>5.7018795092845617E-2</v>
      </c>
    </row>
    <row r="55" spans="2:4" x14ac:dyDescent="0.2">
      <c r="B55" s="16">
        <v>42004</v>
      </c>
      <c r="C55" s="23">
        <v>49.294120788574197</v>
      </c>
      <c r="D55" s="25">
        <f t="shared" si="1"/>
        <v>-2.8255739628062267E-2</v>
      </c>
    </row>
    <row r="56" spans="2:4" x14ac:dyDescent="0.2">
      <c r="B56" s="16">
        <v>42035</v>
      </c>
      <c r="C56" s="23">
        <v>53.424755096435597</v>
      </c>
      <c r="D56" s="25">
        <f t="shared" si="1"/>
        <v>8.3795678709393515E-2</v>
      </c>
    </row>
    <row r="57" spans="2:4" x14ac:dyDescent="0.2">
      <c r="B57" s="16">
        <v>42063</v>
      </c>
      <c r="C57" s="23">
        <v>57.138431549072301</v>
      </c>
      <c r="D57" s="25">
        <f t="shared" si="1"/>
        <v>6.9512278454683538E-2</v>
      </c>
    </row>
    <row r="58" spans="2:4" x14ac:dyDescent="0.2">
      <c r="B58" s="16">
        <v>42094</v>
      </c>
      <c r="C58" s="23">
        <v>59.894367218017599</v>
      </c>
      <c r="D58" s="25">
        <f t="shared" si="1"/>
        <v>4.8232609720454317E-2</v>
      </c>
    </row>
    <row r="59" spans="2:4" x14ac:dyDescent="0.2">
      <c r="B59" s="16">
        <v>42124</v>
      </c>
      <c r="C59" s="23">
        <v>59.4187622070313</v>
      </c>
      <c r="D59" s="25">
        <f t="shared" si="1"/>
        <v>-7.9407302068169577E-3</v>
      </c>
    </row>
    <row r="60" spans="2:4" x14ac:dyDescent="0.2">
      <c r="B60" s="16">
        <v>42155</v>
      </c>
      <c r="C60" s="23">
        <v>58.083137512207003</v>
      </c>
      <c r="D60" s="25">
        <f t="shared" si="1"/>
        <v>-2.2478164223122207E-2</v>
      </c>
    </row>
    <row r="61" spans="2:4" x14ac:dyDescent="0.2">
      <c r="B61" s="16">
        <v>42185</v>
      </c>
      <c r="C61" s="23">
        <v>59.344959259033203</v>
      </c>
      <c r="D61" s="25">
        <f t="shared" si="1"/>
        <v>2.1724407476455803E-2</v>
      </c>
    </row>
    <row r="62" spans="2:4" x14ac:dyDescent="0.2">
      <c r="B62" s="16">
        <v>42216</v>
      </c>
      <c r="C62" s="23">
        <v>65.888771057128906</v>
      </c>
      <c r="D62" s="25">
        <f t="shared" si="1"/>
        <v>0.11026735682019423</v>
      </c>
    </row>
    <row r="63" spans="2:4" x14ac:dyDescent="0.2">
      <c r="B63" s="16">
        <v>42247</v>
      </c>
      <c r="C63" s="23">
        <v>59.297874450683601</v>
      </c>
      <c r="D63" s="25">
        <f t="shared" si="1"/>
        <v>-0.10003065015024584</v>
      </c>
    </row>
    <row r="64" spans="2:4" x14ac:dyDescent="0.2">
      <c r="B64" s="16">
        <v>42277</v>
      </c>
      <c r="C64" s="23">
        <v>57.0919380187988</v>
      </c>
      <c r="D64" s="25">
        <f t="shared" si="1"/>
        <v>-3.7200935991717837E-2</v>
      </c>
    </row>
    <row r="65" spans="2:4" x14ac:dyDescent="0.2">
      <c r="B65" s="16">
        <v>42308</v>
      </c>
      <c r="C65" s="23">
        <v>61.772811889648402</v>
      </c>
      <c r="D65" s="25">
        <f t="shared" si="1"/>
        <v>8.198835130291636E-2</v>
      </c>
    </row>
    <row r="66" spans="2:4" x14ac:dyDescent="0.2">
      <c r="B66" s="16">
        <v>42338</v>
      </c>
      <c r="C66" s="23">
        <v>56.748954772949197</v>
      </c>
      <c r="D66" s="25">
        <f t="shared" si="1"/>
        <v>-8.1327965540469088E-2</v>
      </c>
    </row>
    <row r="67" spans="2:4" x14ac:dyDescent="0.2">
      <c r="B67" s="16">
        <v>42369</v>
      </c>
      <c r="C67" s="23">
        <v>52.861656188964801</v>
      </c>
      <c r="D67" s="25">
        <f t="shared" si="1"/>
        <v>-6.8499915100416517E-2</v>
      </c>
    </row>
    <row r="68" spans="2:4" x14ac:dyDescent="0.2">
      <c r="B68" s="16">
        <v>42400</v>
      </c>
      <c r="C68" s="23">
        <v>51.482955932617202</v>
      </c>
      <c r="D68" s="25">
        <f t="shared" ref="D68:D99" si="2">(C68-C67)/C67</f>
        <v>-2.6081291350750598E-2</v>
      </c>
    </row>
    <row r="69" spans="2:4" x14ac:dyDescent="0.2">
      <c r="B69" s="16">
        <v>42429</v>
      </c>
      <c r="C69" s="23">
        <v>49.223213195800803</v>
      </c>
      <c r="D69" s="25">
        <f t="shared" si="2"/>
        <v>-4.3893026262400978E-2</v>
      </c>
    </row>
    <row r="70" spans="2:4" x14ac:dyDescent="0.2">
      <c r="B70" s="16">
        <v>42460</v>
      </c>
      <c r="C70" s="23">
        <v>47.656204223632798</v>
      </c>
      <c r="D70" s="25">
        <f t="shared" si="2"/>
        <v>-3.1834755807889532E-2</v>
      </c>
    </row>
    <row r="71" spans="2:4" x14ac:dyDescent="0.2">
      <c r="B71" s="16">
        <v>42490</v>
      </c>
      <c r="C71" s="23">
        <v>48.496875762939503</v>
      </c>
      <c r="D71" s="25">
        <f t="shared" si="2"/>
        <v>1.7640337769280711E-2</v>
      </c>
    </row>
    <row r="72" spans="2:4" x14ac:dyDescent="0.2">
      <c r="B72" s="16">
        <v>42521</v>
      </c>
      <c r="C72" s="23">
        <v>49.559490203857401</v>
      </c>
      <c r="D72" s="25">
        <f t="shared" si="2"/>
        <v>2.1910987547159269E-2</v>
      </c>
    </row>
    <row r="73" spans="2:4" x14ac:dyDescent="0.2">
      <c r="B73" s="16">
        <v>42551</v>
      </c>
      <c r="C73" s="23">
        <v>52.542251586914098</v>
      </c>
      <c r="D73" s="25">
        <f t="shared" si="2"/>
        <v>6.0185473474150833E-2</v>
      </c>
    </row>
    <row r="74" spans="2:4" x14ac:dyDescent="0.2">
      <c r="B74" s="16">
        <v>42582</v>
      </c>
      <c r="C74" s="23">
        <v>53.404872894287102</v>
      </c>
      <c r="D74" s="25">
        <f t="shared" si="2"/>
        <v>1.6417669234179609E-2</v>
      </c>
    </row>
    <row r="75" spans="2:4" x14ac:dyDescent="0.2">
      <c r="B75" s="16">
        <v>42613</v>
      </c>
      <c r="C75" s="23">
        <v>48.439586639404297</v>
      </c>
      <c r="D75" s="25">
        <f t="shared" si="2"/>
        <v>-9.2974404502589106E-2</v>
      </c>
    </row>
    <row r="76" spans="2:4" x14ac:dyDescent="0.2">
      <c r="B76" s="16">
        <v>42643</v>
      </c>
      <c r="C76" s="23">
        <v>47.4367065429688</v>
      </c>
      <c r="D76" s="25">
        <f t="shared" si="2"/>
        <v>-2.0703729449658044E-2</v>
      </c>
    </row>
    <row r="77" spans="2:4" x14ac:dyDescent="0.2">
      <c r="B77" s="16">
        <v>42674</v>
      </c>
      <c r="C77" s="23">
        <v>49.765064239502003</v>
      </c>
      <c r="D77" s="25">
        <f t="shared" si="2"/>
        <v>4.9083460177070805E-2</v>
      </c>
    </row>
    <row r="78" spans="2:4" x14ac:dyDescent="0.2">
      <c r="B78" s="16">
        <v>42704</v>
      </c>
      <c r="C78" s="23">
        <v>53.376827239990199</v>
      </c>
      <c r="D78" s="25">
        <f t="shared" si="2"/>
        <v>7.2576275258201872E-2</v>
      </c>
    </row>
    <row r="79" spans="2:4" x14ac:dyDescent="0.2">
      <c r="B79" s="16">
        <v>42735</v>
      </c>
      <c r="C79" s="23">
        <v>53.930862426757798</v>
      </c>
      <c r="D79" s="25">
        <f t="shared" si="2"/>
        <v>1.0379694999040958E-2</v>
      </c>
    </row>
    <row r="80" spans="2:4" x14ac:dyDescent="0.2">
      <c r="B80" s="16">
        <v>42766</v>
      </c>
      <c r="C80" s="23">
        <v>52.240695953369098</v>
      </c>
      <c r="D80" s="25">
        <f t="shared" si="2"/>
        <v>-3.1339503900648255E-2</v>
      </c>
    </row>
    <row r="81" spans="2:4" x14ac:dyDescent="0.2">
      <c r="B81" s="16">
        <v>42794</v>
      </c>
      <c r="C81" s="23">
        <v>57.037666320800803</v>
      </c>
      <c r="D81" s="25">
        <f t="shared" si="2"/>
        <v>9.1824396285102305E-2</v>
      </c>
    </row>
    <row r="82" spans="2:4" x14ac:dyDescent="0.2">
      <c r="B82" s="16">
        <v>42825</v>
      </c>
      <c r="C82" s="23">
        <v>59.344978332519503</v>
      </c>
      <c r="D82" s="25">
        <f t="shared" si="2"/>
        <v>4.0452426625267754E-2</v>
      </c>
    </row>
    <row r="83" spans="2:4" x14ac:dyDescent="0.2">
      <c r="B83" s="16">
        <v>42855</v>
      </c>
      <c r="C83" s="23">
        <v>60.740596771240199</v>
      </c>
      <c r="D83" s="25">
        <f t="shared" si="2"/>
        <v>2.3517043529796579E-2</v>
      </c>
    </row>
    <row r="84" spans="2:4" x14ac:dyDescent="0.2">
      <c r="B84" s="16">
        <v>42886</v>
      </c>
      <c r="C84" s="23">
        <v>61.834640502929702</v>
      </c>
      <c r="D84" s="25">
        <f t="shared" si="2"/>
        <v>1.8011738274647918E-2</v>
      </c>
    </row>
    <row r="85" spans="2:4" x14ac:dyDescent="0.2">
      <c r="B85" s="16">
        <v>42916</v>
      </c>
      <c r="C85" s="23">
        <v>60.684501647949197</v>
      </c>
      <c r="D85" s="25">
        <f t="shared" si="2"/>
        <v>-1.8600235169573133E-2</v>
      </c>
    </row>
    <row r="86" spans="2:4" x14ac:dyDescent="0.2">
      <c r="B86" s="16">
        <v>42947</v>
      </c>
      <c r="C86" s="23">
        <v>58.482009887695298</v>
      </c>
      <c r="D86" s="25">
        <f t="shared" si="2"/>
        <v>-3.6294139367433219E-2</v>
      </c>
    </row>
    <row r="87" spans="2:4" x14ac:dyDescent="0.2">
      <c r="B87" s="16">
        <v>42978</v>
      </c>
      <c r="C87" s="23">
        <v>59.163036346435597</v>
      </c>
      <c r="D87" s="25">
        <f t="shared" si="2"/>
        <v>1.1645059054025216E-2</v>
      </c>
    </row>
    <row r="88" spans="2:4" x14ac:dyDescent="0.2">
      <c r="B88" s="16">
        <v>43008</v>
      </c>
      <c r="C88" s="23">
        <v>60.865627288818402</v>
      </c>
      <c r="D88" s="25">
        <f t="shared" si="2"/>
        <v>2.877795068551078E-2</v>
      </c>
    </row>
    <row r="89" spans="2:4" x14ac:dyDescent="0.2">
      <c r="B89" s="16">
        <v>43039</v>
      </c>
      <c r="C89" s="23">
        <v>58.894981384277301</v>
      </c>
      <c r="D89" s="25">
        <f t="shared" si="2"/>
        <v>-3.2376991617781736E-2</v>
      </c>
    </row>
    <row r="90" spans="2:4" x14ac:dyDescent="0.2">
      <c r="B90" s="16">
        <v>43069</v>
      </c>
      <c r="C90" s="23">
        <v>55.497043609619098</v>
      </c>
      <c r="D90" s="25">
        <f t="shared" si="2"/>
        <v>-5.7694861171402323E-2</v>
      </c>
    </row>
    <row r="91" spans="2:4" x14ac:dyDescent="0.2">
      <c r="B91" s="16">
        <v>43100</v>
      </c>
      <c r="C91" s="23">
        <v>52.0556449890137</v>
      </c>
      <c r="D91" s="25">
        <f t="shared" si="2"/>
        <v>-6.2010485546096956E-2</v>
      </c>
    </row>
    <row r="92" spans="2:4" x14ac:dyDescent="0.2">
      <c r="B92" s="16">
        <v>43131</v>
      </c>
      <c r="C92" s="23">
        <v>51.526763916015597</v>
      </c>
      <c r="D92" s="25">
        <f t="shared" si="2"/>
        <v>-1.0159917778556458E-2</v>
      </c>
    </row>
    <row r="93" spans="2:4" x14ac:dyDescent="0.2">
      <c r="B93" s="16">
        <v>43159</v>
      </c>
      <c r="C93" s="23">
        <v>47.114528656005902</v>
      </c>
      <c r="D93" s="25">
        <f t="shared" si="2"/>
        <v>-8.5629970226759763E-2</v>
      </c>
    </row>
    <row r="94" spans="2:4" x14ac:dyDescent="0.2">
      <c r="B94" s="16">
        <v>43190</v>
      </c>
      <c r="C94" s="23">
        <v>47.331878662109403</v>
      </c>
      <c r="D94" s="25">
        <f t="shared" si="2"/>
        <v>4.6132267965668132E-3</v>
      </c>
    </row>
    <row r="95" spans="2:4" x14ac:dyDescent="0.2">
      <c r="B95" s="16">
        <v>43220</v>
      </c>
      <c r="C95" s="23">
        <v>47.665153503417997</v>
      </c>
      <c r="D95" s="25">
        <f t="shared" si="2"/>
        <v>7.0412341687884515E-3</v>
      </c>
    </row>
    <row r="96" spans="2:4" x14ac:dyDescent="0.2">
      <c r="B96" s="16">
        <v>43251</v>
      </c>
      <c r="C96" s="23">
        <v>47.549232482910199</v>
      </c>
      <c r="D96" s="25">
        <f t="shared" si="2"/>
        <v>-2.4319867237915381E-3</v>
      </c>
    </row>
    <row r="97" spans="2:4" x14ac:dyDescent="0.2">
      <c r="B97" s="16">
        <v>43281</v>
      </c>
      <c r="C97" s="23">
        <v>52.139244079589801</v>
      </c>
      <c r="D97" s="25">
        <f t="shared" si="2"/>
        <v>9.6531770482926535E-2</v>
      </c>
    </row>
    <row r="98" spans="2:4" x14ac:dyDescent="0.2">
      <c r="B98" s="16">
        <v>43312</v>
      </c>
      <c r="C98" s="23">
        <v>56.483551025390597</v>
      </c>
      <c r="D98" s="25">
        <f t="shared" si="2"/>
        <v>8.3321249137583847E-2</v>
      </c>
    </row>
    <row r="99" spans="2:4" x14ac:dyDescent="0.2">
      <c r="B99" s="16">
        <v>43343</v>
      </c>
      <c r="C99" s="23">
        <v>56.194942474365199</v>
      </c>
      <c r="D99" s="25">
        <f t="shared" si="2"/>
        <v>-5.1096035179456377E-3</v>
      </c>
    </row>
    <row r="100" spans="2:4" x14ac:dyDescent="0.2">
      <c r="B100" s="16">
        <v>43373</v>
      </c>
      <c r="C100" s="23">
        <v>58.146842956542997</v>
      </c>
      <c r="D100" s="25">
        <f t="shared" ref="D100:D131" si="3">(C100-C99)/C99</f>
        <v>3.4734451113073196E-2</v>
      </c>
    </row>
    <row r="101" spans="2:4" x14ac:dyDescent="0.2">
      <c r="B101" s="16">
        <v>43404</v>
      </c>
      <c r="C101" s="23">
        <v>59.878471374511697</v>
      </c>
      <c r="D101" s="25">
        <f t="shared" si="3"/>
        <v>2.9780265443867027E-2</v>
      </c>
    </row>
    <row r="102" spans="2:4" x14ac:dyDescent="0.2">
      <c r="B102" s="16">
        <v>43434</v>
      </c>
      <c r="C102" s="23">
        <v>60.615192413330099</v>
      </c>
      <c r="D102" s="25">
        <f t="shared" si="3"/>
        <v>1.2303604649667125E-2</v>
      </c>
    </row>
    <row r="103" spans="2:4" x14ac:dyDescent="0.2">
      <c r="B103" s="16">
        <v>43465</v>
      </c>
      <c r="C103" s="23">
        <v>57.463298797607401</v>
      </c>
      <c r="D103" s="25">
        <f t="shared" si="3"/>
        <v>-5.1998409808389143E-2</v>
      </c>
    </row>
    <row r="104" spans="2:4" x14ac:dyDescent="0.2">
      <c r="B104" s="16">
        <v>43496</v>
      </c>
      <c r="C104" s="23">
        <v>57.584812164306598</v>
      </c>
      <c r="D104" s="25">
        <f t="shared" si="3"/>
        <v>2.1146256696327513E-3</v>
      </c>
    </row>
    <row r="105" spans="2:4" x14ac:dyDescent="0.2">
      <c r="B105" s="16">
        <v>43524</v>
      </c>
      <c r="C105" s="23">
        <v>55.822795867919901</v>
      </c>
      <c r="D105" s="25">
        <f t="shared" si="3"/>
        <v>-3.0598628877335585E-2</v>
      </c>
    </row>
    <row r="106" spans="2:4" x14ac:dyDescent="0.2">
      <c r="B106" s="16">
        <v>43555</v>
      </c>
      <c r="C106" s="23">
        <v>59.802532196044901</v>
      </c>
      <c r="D106" s="25">
        <f t="shared" si="3"/>
        <v>7.129231465835742E-2</v>
      </c>
    </row>
    <row r="107" spans="2:4" x14ac:dyDescent="0.2">
      <c r="B107" s="16">
        <v>43585</v>
      </c>
      <c r="C107" s="23">
        <v>58.8531684875488</v>
      </c>
      <c r="D107" s="25">
        <f t="shared" si="3"/>
        <v>-1.5874975082725475E-2</v>
      </c>
    </row>
    <row r="108" spans="2:4" x14ac:dyDescent="0.2">
      <c r="B108" s="16">
        <v>43616</v>
      </c>
      <c r="C108" s="23">
        <v>54.865829467773402</v>
      </c>
      <c r="D108" s="25">
        <f t="shared" si="3"/>
        <v>-6.7750626215119999E-2</v>
      </c>
    </row>
    <row r="109" spans="2:4" x14ac:dyDescent="0.2">
      <c r="B109" s="16">
        <v>43646</v>
      </c>
      <c r="C109" s="23">
        <v>60.082908630371101</v>
      </c>
      <c r="D109" s="25">
        <f t="shared" si="3"/>
        <v>9.5087948422652752E-2</v>
      </c>
    </row>
    <row r="110" spans="2:4" x14ac:dyDescent="0.2">
      <c r="B110" s="16">
        <v>43677</v>
      </c>
      <c r="C110" s="23">
        <v>59.726737976074197</v>
      </c>
      <c r="D110" s="25">
        <f t="shared" si="3"/>
        <v>-5.9279862179785342E-3</v>
      </c>
    </row>
    <row r="111" spans="2:4" x14ac:dyDescent="0.2">
      <c r="B111" s="16">
        <v>43708</v>
      </c>
      <c r="C111" s="23">
        <v>61.8321342468262</v>
      </c>
      <c r="D111" s="25">
        <f t="shared" si="3"/>
        <v>3.5250481477749528E-2</v>
      </c>
    </row>
    <row r="112" spans="2:4" x14ac:dyDescent="0.2">
      <c r="B112" s="16">
        <v>43738</v>
      </c>
      <c r="C112" s="23">
        <v>67.325149536132798</v>
      </c>
      <c r="D112" s="25">
        <f t="shared" si="3"/>
        <v>8.8837549539842228E-2</v>
      </c>
    </row>
    <row r="113" spans="2:4" x14ac:dyDescent="0.2">
      <c r="B113" s="16">
        <v>43769</v>
      </c>
      <c r="C113" s="23">
        <v>65.393882751464801</v>
      </c>
      <c r="D113" s="25">
        <f t="shared" si="3"/>
        <v>-2.868566647046961E-2</v>
      </c>
    </row>
    <row r="114" spans="2:4" x14ac:dyDescent="0.2">
      <c r="B114" s="16">
        <v>43799</v>
      </c>
      <c r="C114" s="23">
        <v>66.889823913574205</v>
      </c>
      <c r="D114" s="25">
        <f t="shared" si="3"/>
        <v>2.2875857789250095E-2</v>
      </c>
    </row>
    <row r="115" spans="2:4" x14ac:dyDescent="0.2">
      <c r="B115" s="16">
        <v>43830</v>
      </c>
      <c r="C115" s="23">
        <v>70.934410095214801</v>
      </c>
      <c r="D115" s="25">
        <f t="shared" si="3"/>
        <v>6.0466390027673754E-2</v>
      </c>
    </row>
    <row r="116" spans="2:4" x14ac:dyDescent="0.2">
      <c r="B116" s="16">
        <v>43861</v>
      </c>
      <c r="C116" s="23">
        <v>68.821090698242202</v>
      </c>
      <c r="D116" s="25">
        <f t="shared" si="3"/>
        <v>-2.9792584362595027E-2</v>
      </c>
    </row>
    <row r="117" spans="2:4" x14ac:dyDescent="0.2">
      <c r="B117" s="16">
        <v>43890</v>
      </c>
      <c r="C117" s="23">
        <v>66.430755615234403</v>
      </c>
      <c r="D117" s="25">
        <f t="shared" si="3"/>
        <v>-3.4732595179123645E-2</v>
      </c>
    </row>
    <row r="118" spans="2:4" x14ac:dyDescent="0.2">
      <c r="B118" s="16">
        <v>43921</v>
      </c>
      <c r="C118" s="23">
        <v>63.430965423583999</v>
      </c>
      <c r="D118" s="25">
        <f t="shared" si="3"/>
        <v>-4.5156647156403412E-2</v>
      </c>
    </row>
    <row r="119" spans="2:4" x14ac:dyDescent="0.2">
      <c r="B119" s="16">
        <v>43951</v>
      </c>
      <c r="C119" s="23">
        <v>70.594055175781307</v>
      </c>
      <c r="D119" s="25">
        <f t="shared" si="3"/>
        <v>0.11292733295738283</v>
      </c>
    </row>
    <row r="120" spans="2:4" x14ac:dyDescent="0.2">
      <c r="B120" s="16">
        <v>43982</v>
      </c>
      <c r="C120" s="23">
        <v>69.280166625976605</v>
      </c>
      <c r="D120" s="25">
        <f t="shared" si="3"/>
        <v>-1.8611886603384378E-2</v>
      </c>
    </row>
    <row r="121" spans="2:4" x14ac:dyDescent="0.2">
      <c r="B121" s="16">
        <v>44012</v>
      </c>
      <c r="C121" s="23">
        <v>74.391342163085895</v>
      </c>
      <c r="D121" s="25">
        <f t="shared" si="3"/>
        <v>7.3775450984450347E-2</v>
      </c>
    </row>
    <row r="122" spans="2:4" x14ac:dyDescent="0.2">
      <c r="B122" s="16">
        <v>44043</v>
      </c>
      <c r="C122" s="23">
        <v>72.667991638183594</v>
      </c>
      <c r="D122" s="25">
        <f t="shared" si="3"/>
        <v>-2.3166009306892887E-2</v>
      </c>
    </row>
    <row r="123" spans="2:4" x14ac:dyDescent="0.2">
      <c r="B123" s="16">
        <v>44074</v>
      </c>
      <c r="C123" s="23">
        <v>69.648033142089801</v>
      </c>
      <c r="D123" s="25">
        <f t="shared" si="3"/>
        <v>-4.1558304117310256E-2</v>
      </c>
    </row>
    <row r="124" spans="2:4" x14ac:dyDescent="0.2">
      <c r="B124" s="16">
        <v>44104</v>
      </c>
      <c r="C124" s="23">
        <v>70.025520324707003</v>
      </c>
      <c r="D124" s="25">
        <f t="shared" si="3"/>
        <v>5.4199259560867357E-3</v>
      </c>
    </row>
    <row r="125" spans="2:4" x14ac:dyDescent="0.2">
      <c r="B125" s="16">
        <v>44135</v>
      </c>
      <c r="C125" s="23">
        <v>63.493194580078097</v>
      </c>
      <c r="D125" s="25">
        <f t="shared" si="3"/>
        <v>-9.3284929756160845E-2</v>
      </c>
    </row>
    <row r="126" spans="2:4" x14ac:dyDescent="0.2">
      <c r="B126" s="16">
        <v>44165</v>
      </c>
      <c r="C126" s="23">
        <v>69.516716003417997</v>
      </c>
      <c r="D126" s="25">
        <f t="shared" si="3"/>
        <v>9.486877236493417E-2</v>
      </c>
    </row>
    <row r="127" spans="2:4" x14ac:dyDescent="0.2">
      <c r="B127" s="16">
        <v>44196</v>
      </c>
      <c r="C127" s="23">
        <v>64.584663391113295</v>
      </c>
      <c r="D127" s="25">
        <f t="shared" si="3"/>
        <v>-7.0947721581989032E-2</v>
      </c>
    </row>
    <row r="128" spans="2:4" x14ac:dyDescent="0.2">
      <c r="B128" s="16">
        <v>44227</v>
      </c>
      <c r="C128" s="23">
        <v>63.312656402587898</v>
      </c>
      <c r="D128" s="25">
        <f t="shared" si="3"/>
        <v>-1.9695186468997268E-2</v>
      </c>
    </row>
    <row r="129" spans="2:4" x14ac:dyDescent="0.2">
      <c r="B129" s="16">
        <v>44255</v>
      </c>
      <c r="C129" s="23">
        <v>62.204792022705099</v>
      </c>
      <c r="D129" s="25">
        <f t="shared" si="3"/>
        <v>-1.7498308281968002E-2</v>
      </c>
    </row>
    <row r="130" spans="2:4" x14ac:dyDescent="0.2">
      <c r="B130" s="16">
        <v>44286</v>
      </c>
      <c r="C130" s="23">
        <v>69.139228820800795</v>
      </c>
      <c r="D130" s="25">
        <f t="shared" si="3"/>
        <v>0.11147753368525994</v>
      </c>
    </row>
    <row r="131" spans="2:4" x14ac:dyDescent="0.2">
      <c r="B131" s="16">
        <v>44316</v>
      </c>
      <c r="C131" s="23">
        <v>71.617576599121094</v>
      </c>
      <c r="D131" s="25">
        <f t="shared" si="3"/>
        <v>3.5845753859127194E-2</v>
      </c>
    </row>
    <row r="132" spans="2:4" x14ac:dyDescent="0.2">
      <c r="B132" s="16">
        <v>44347</v>
      </c>
      <c r="C132" s="23">
        <v>71.371383666992202</v>
      </c>
      <c r="D132" s="25">
        <f t="shared" ref="D132:D163" si="4">(C132-C131)/C131</f>
        <v>-3.4376048984030181E-3</v>
      </c>
    </row>
    <row r="133" spans="2:4" x14ac:dyDescent="0.2">
      <c r="B133" s="16">
        <v>44377</v>
      </c>
      <c r="C133" s="23">
        <v>75.301734924316406</v>
      </c>
      <c r="D133" s="25">
        <f t="shared" si="4"/>
        <v>5.5069007428279845E-2</v>
      </c>
    </row>
    <row r="134" spans="2:4" x14ac:dyDescent="0.2">
      <c r="B134" s="16">
        <v>44408</v>
      </c>
      <c r="C134" s="23">
        <v>74.040458679199205</v>
      </c>
      <c r="D134" s="25">
        <f t="shared" si="4"/>
        <v>-1.6749630621191849E-2</v>
      </c>
    </row>
    <row r="135" spans="2:4" x14ac:dyDescent="0.2">
      <c r="B135" s="16">
        <v>44439</v>
      </c>
      <c r="C135" s="23">
        <v>74.671096801757798</v>
      </c>
      <c r="D135" s="25">
        <f t="shared" si="4"/>
        <v>8.517479953642753E-3</v>
      </c>
    </row>
    <row r="136" spans="2:4" x14ac:dyDescent="0.2">
      <c r="B136" s="16">
        <v>44469</v>
      </c>
      <c r="C136" s="23">
        <v>70.802032470703097</v>
      </c>
      <c r="D136" s="25">
        <f t="shared" si="4"/>
        <v>-5.1814751580877033E-2</v>
      </c>
    </row>
    <row r="137" spans="2:4" x14ac:dyDescent="0.2">
      <c r="B137" s="16">
        <v>44500</v>
      </c>
      <c r="C137" s="23">
        <v>73.656951904296903</v>
      </c>
      <c r="D137" s="25">
        <f t="shared" si="4"/>
        <v>4.0322563265046567E-2</v>
      </c>
    </row>
    <row r="138" spans="2:4" x14ac:dyDescent="0.2">
      <c r="B138" s="16">
        <v>44530</v>
      </c>
      <c r="C138" s="23">
        <v>71.466766357421903</v>
      </c>
      <c r="D138" s="25">
        <f t="shared" si="4"/>
        <v>-2.9734946807474825E-2</v>
      </c>
    </row>
    <row r="139" spans="2:4" x14ac:dyDescent="0.2">
      <c r="B139" s="16">
        <v>44561</v>
      </c>
      <c r="C139" s="23">
        <v>75.489212036132798</v>
      </c>
      <c r="D139" s="25">
        <f t="shared" si="4"/>
        <v>5.6284142738370298E-2</v>
      </c>
    </row>
    <row r="140" spans="2:4" x14ac:dyDescent="0.2">
      <c r="B140" s="16">
        <v>44592</v>
      </c>
      <c r="C140" s="23">
        <v>79.042953491210895</v>
      </c>
      <c r="D140" s="25">
        <f t="shared" si="4"/>
        <v>4.7076149812997167E-2</v>
      </c>
    </row>
    <row r="141" spans="2:4" x14ac:dyDescent="0.2">
      <c r="B141" s="16">
        <v>44620</v>
      </c>
      <c r="C141" s="23">
        <v>79.656555175781307</v>
      </c>
      <c r="D141" s="25">
        <f t="shared" si="4"/>
        <v>7.7628891313966508E-3</v>
      </c>
    </row>
    <row r="142" spans="2:4" x14ac:dyDescent="0.2">
      <c r="B142" s="16">
        <v>44651</v>
      </c>
      <c r="C142" s="23">
        <v>78.838432312011705</v>
      </c>
      <c r="D142" s="25">
        <f t="shared" si="4"/>
        <v>-1.0270628223430172E-2</v>
      </c>
    </row>
    <row r="143" spans="2:4" x14ac:dyDescent="0.2">
      <c r="B143" s="16">
        <v>44681</v>
      </c>
      <c r="C143" s="23">
        <v>86.227127075195298</v>
      </c>
      <c r="D143" s="25">
        <f t="shared" si="4"/>
        <v>9.3719453146176565E-2</v>
      </c>
    </row>
    <row r="144" spans="2:4" x14ac:dyDescent="0.2">
      <c r="B144" s="16">
        <v>44712</v>
      </c>
      <c r="C144" s="23">
        <v>85.155822753906307</v>
      </c>
      <c r="D144" s="25">
        <f t="shared" si="4"/>
        <v>-1.2424214485944185E-2</v>
      </c>
    </row>
    <row r="145" spans="2:4" x14ac:dyDescent="0.2">
      <c r="B145" s="16">
        <v>44742</v>
      </c>
      <c r="C145" s="23">
        <v>85.410049438476605</v>
      </c>
      <c r="D145" s="25">
        <f t="shared" si="4"/>
        <v>2.9854292560239082E-3</v>
      </c>
    </row>
    <row r="146" spans="2:4" x14ac:dyDescent="0.2">
      <c r="B146" s="16">
        <v>44773</v>
      </c>
      <c r="C146" s="23">
        <v>86.181358337402301</v>
      </c>
      <c r="D146" s="25">
        <f t="shared" si="4"/>
        <v>9.0306574460104101E-3</v>
      </c>
    </row>
    <row r="147" spans="2:4" x14ac:dyDescent="0.2">
      <c r="B147" s="16">
        <v>44804</v>
      </c>
      <c r="C147" s="23">
        <v>72.856529235839801</v>
      </c>
      <c r="D147" s="25">
        <f t="shared" si="4"/>
        <v>-0.15461382088450545</v>
      </c>
    </row>
    <row r="148" spans="2:4" x14ac:dyDescent="0.2">
      <c r="B148" s="16">
        <v>44834</v>
      </c>
      <c r="C148" s="23">
        <v>69.505386352539105</v>
      </c>
      <c r="D148" s="25">
        <f t="shared" si="4"/>
        <v>-4.599646618428526E-2</v>
      </c>
    </row>
    <row r="149" spans="2:4" x14ac:dyDescent="0.2">
      <c r="B149" s="16">
        <v>44865</v>
      </c>
      <c r="C149" s="23">
        <v>77.422256469726605</v>
      </c>
      <c r="D149" s="25">
        <f t="shared" si="4"/>
        <v>0.11390297259887526</v>
      </c>
    </row>
    <row r="150" spans="2:4" x14ac:dyDescent="0.2">
      <c r="B150" s="16">
        <v>44895</v>
      </c>
      <c r="C150" s="23">
        <v>76.668685913085895</v>
      </c>
      <c r="D150" s="25">
        <f t="shared" si="4"/>
        <v>-9.7332548933828731E-3</v>
      </c>
    </row>
    <row r="151" spans="2:4" x14ac:dyDescent="0.2">
      <c r="B151" s="16">
        <v>44926</v>
      </c>
      <c r="C151" s="23">
        <v>79.647483825683594</v>
      </c>
      <c r="D151" s="25">
        <f t="shared" si="4"/>
        <v>3.8852862509924334E-2</v>
      </c>
    </row>
    <row r="152" spans="2:4" x14ac:dyDescent="0.2">
      <c r="B152" s="16">
        <v>44957</v>
      </c>
      <c r="C152" s="23">
        <v>79.496772766113295</v>
      </c>
      <c r="D152" s="25">
        <f t="shared" si="4"/>
        <v>-1.8922262491071829E-3</v>
      </c>
    </row>
    <row r="153" spans="2:4" x14ac:dyDescent="0.2">
      <c r="B153" s="16">
        <v>44985</v>
      </c>
      <c r="C153" s="23">
        <v>78.805267333984403</v>
      </c>
      <c r="D153" s="25">
        <f t="shared" si="4"/>
        <v>-8.6985346457190606E-3</v>
      </c>
    </row>
    <row r="154" spans="2:4" x14ac:dyDescent="0.2">
      <c r="B154" s="16">
        <v>45016</v>
      </c>
      <c r="C154" s="23">
        <v>88.867591857910199</v>
      </c>
      <c r="D154" s="25">
        <f t="shared" si="4"/>
        <v>0.12768593857160188</v>
      </c>
    </row>
    <row r="155" spans="2:4" x14ac:dyDescent="0.2">
      <c r="B155" s="16">
        <v>45046</v>
      </c>
      <c r="C155" s="23">
        <v>88.654823303222699</v>
      </c>
      <c r="D155" s="25">
        <f t="shared" si="4"/>
        <v>-2.3942198752014594E-3</v>
      </c>
    </row>
    <row r="156" spans="2:4" x14ac:dyDescent="0.2">
      <c r="B156" s="16">
        <v>45077</v>
      </c>
      <c r="C156" s="23">
        <v>84.115699768066406</v>
      </c>
      <c r="D156" s="25">
        <f t="shared" si="4"/>
        <v>-5.1199961446331037E-2</v>
      </c>
    </row>
    <row r="157" spans="2:4" x14ac:dyDescent="0.2">
      <c r="B157" s="16">
        <v>45107</v>
      </c>
      <c r="C157" s="23">
        <v>90.308120727539105</v>
      </c>
      <c r="D157" s="25">
        <f t="shared" si="4"/>
        <v>7.3617897450145006E-2</v>
      </c>
    </row>
    <row r="158" spans="2:4" x14ac:dyDescent="0.2">
      <c r="B158" s="16">
        <v>45138</v>
      </c>
      <c r="C158" s="23">
        <v>89.287322998046903</v>
      </c>
      <c r="D158" s="25">
        <f t="shared" si="4"/>
        <v>-1.1303498747050259E-2</v>
      </c>
    </row>
    <row r="159" spans="2:4" x14ac:dyDescent="0.2">
      <c r="B159" s="16">
        <v>45169</v>
      </c>
      <c r="C159" s="23">
        <v>90.712760925292997</v>
      </c>
      <c r="D159" s="25">
        <f t="shared" si="4"/>
        <v>1.5964617141419665E-2</v>
      </c>
    </row>
    <row r="160" spans="2:4" x14ac:dyDescent="0.2">
      <c r="B160" s="16">
        <v>45199</v>
      </c>
      <c r="C160" s="23">
        <v>93.324531555175795</v>
      </c>
      <c r="D160" s="25">
        <f t="shared" si="4"/>
        <v>2.8791656248162666E-2</v>
      </c>
    </row>
    <row r="161" spans="2:4" x14ac:dyDescent="0.2">
      <c r="B161" s="16">
        <v>45230</v>
      </c>
      <c r="C161" s="23">
        <v>78.812690734863295</v>
      </c>
      <c r="D161" s="25">
        <f t="shared" si="4"/>
        <v>-0.15549867305503418</v>
      </c>
    </row>
    <row r="162" spans="2:4" x14ac:dyDescent="0.2">
      <c r="B162" s="16">
        <v>45260</v>
      </c>
      <c r="C162" s="23">
        <v>78.591979980468807</v>
      </c>
      <c r="D162" s="25">
        <f t="shared" si="4"/>
        <v>-2.8004468866186776E-3</v>
      </c>
    </row>
    <row r="163" spans="2:4" x14ac:dyDescent="0.2">
      <c r="B163" s="16">
        <v>45291</v>
      </c>
      <c r="C163" s="23">
        <v>82.546409606933594</v>
      </c>
      <c r="D163" s="25">
        <f t="shared" si="4"/>
        <v>5.0315943528175741E-2</v>
      </c>
    </row>
    <row r="164" spans="2:4" x14ac:dyDescent="0.2">
      <c r="B164" s="16">
        <v>45322</v>
      </c>
      <c r="C164" s="23">
        <v>85.857086181640597</v>
      </c>
      <c r="D164" s="25">
        <f t="shared" ref="D164:D183" si="5">(C164-C163)/C163</f>
        <v>4.0106851290948431E-2</v>
      </c>
    </row>
    <row r="165" spans="2:4" x14ac:dyDescent="0.2">
      <c r="B165" s="16">
        <v>45351</v>
      </c>
      <c r="C165" s="23">
        <v>80.826690673828097</v>
      </c>
      <c r="D165" s="25">
        <f t="shared" si="5"/>
        <v>-5.8590335772286943E-2</v>
      </c>
    </row>
    <row r="166" spans="2:4" x14ac:dyDescent="0.2">
      <c r="B166" s="16">
        <v>45382</v>
      </c>
      <c r="C166" s="23">
        <v>83.649963378906307</v>
      </c>
      <c r="D166" s="25">
        <f t="shared" si="5"/>
        <v>3.4929955458295088E-2</v>
      </c>
    </row>
    <row r="167" spans="2:4" x14ac:dyDescent="0.2">
      <c r="B167" s="16">
        <v>45412</v>
      </c>
      <c r="C167" s="23">
        <v>85.599594116210895</v>
      </c>
      <c r="D167" s="25">
        <f t="shared" si="5"/>
        <v>2.3307012442712185E-2</v>
      </c>
    </row>
    <row r="168" spans="2:4" x14ac:dyDescent="0.2">
      <c r="B168" s="16">
        <v>45443</v>
      </c>
      <c r="C168" s="23">
        <v>82.546409606933594</v>
      </c>
      <c r="D168" s="25">
        <f t="shared" si="5"/>
        <v>-3.5668212458253787E-2</v>
      </c>
    </row>
    <row r="169" spans="2:4" x14ac:dyDescent="0.2">
      <c r="B169" s="16">
        <v>45473</v>
      </c>
      <c r="C169" s="23">
        <v>86.145713806152301</v>
      </c>
      <c r="D169" s="25">
        <f t="shared" si="5"/>
        <v>4.3603401000209936E-2</v>
      </c>
    </row>
    <row r="170" spans="2:4" x14ac:dyDescent="0.2">
      <c r="B170" s="16">
        <v>45504</v>
      </c>
      <c r="C170" s="23">
        <v>91.308326721191406</v>
      </c>
      <c r="D170" s="25">
        <f t="shared" si="5"/>
        <v>5.9928842503483959E-2</v>
      </c>
    </row>
    <row r="171" spans="2:4" x14ac:dyDescent="0.2">
      <c r="B171" s="16">
        <v>45535</v>
      </c>
      <c r="C171" s="23">
        <v>96.930686950683594</v>
      </c>
      <c r="D171" s="25">
        <f t="shared" si="5"/>
        <v>6.1575547722607815E-2</v>
      </c>
    </row>
    <row r="172" spans="2:4" x14ac:dyDescent="0.2">
      <c r="B172" s="16">
        <v>45565</v>
      </c>
      <c r="C172" s="23">
        <v>98.558975219726605</v>
      </c>
      <c r="D172" s="25">
        <f t="shared" si="5"/>
        <v>1.6798480649079194E-2</v>
      </c>
    </row>
    <row r="173" spans="2:4" x14ac:dyDescent="0.2">
      <c r="B173" s="16">
        <v>45596</v>
      </c>
      <c r="C173" s="23">
        <v>93.013236999511705</v>
      </c>
      <c r="D173" s="25">
        <f t="shared" si="5"/>
        <v>-5.6268221213251007E-2</v>
      </c>
    </row>
    <row r="174" spans="2:4" x14ac:dyDescent="0.2">
      <c r="B174" s="16">
        <v>45626</v>
      </c>
      <c r="C174" s="23">
        <v>88.205009460449205</v>
      </c>
      <c r="D174" s="25">
        <f t="shared" si="5"/>
        <v>-5.1694013606770207E-2</v>
      </c>
    </row>
    <row r="175" spans="2:4" x14ac:dyDescent="0.2">
      <c r="B175" s="16">
        <v>45657</v>
      </c>
      <c r="C175" s="23">
        <v>89.785400390625</v>
      </c>
      <c r="D175" s="25">
        <f t="shared" si="5"/>
        <v>1.7917246875694025E-2</v>
      </c>
    </row>
    <row r="176" spans="2:4" x14ac:dyDescent="0.2">
      <c r="B176" s="16">
        <v>45688</v>
      </c>
      <c r="C176" s="23">
        <v>99.995697021484403</v>
      </c>
      <c r="D176" s="25">
        <f t="shared" si="5"/>
        <v>0.11371889623967772</v>
      </c>
    </row>
    <row r="177" spans="2:4" x14ac:dyDescent="0.2">
      <c r="B177" s="16">
        <v>45716</v>
      </c>
      <c r="C177" s="23">
        <v>99.957382202148395</v>
      </c>
      <c r="D177" s="25">
        <f t="shared" si="5"/>
        <v>-3.8316468085398205E-4</v>
      </c>
    </row>
    <row r="178" spans="2:4" x14ac:dyDescent="0.2">
      <c r="B178" s="16">
        <v>45747</v>
      </c>
      <c r="C178" s="23">
        <v>97.620315551757798</v>
      </c>
      <c r="D178" s="25">
        <f t="shared" si="5"/>
        <v>-2.3380630813882655E-2</v>
      </c>
    </row>
    <row r="179" spans="2:4" x14ac:dyDescent="0.2">
      <c r="B179" s="16">
        <v>45777</v>
      </c>
      <c r="C179" s="23">
        <v>91.854278564453097</v>
      </c>
      <c r="D179" s="25">
        <f t="shared" si="5"/>
        <v>-5.9065953174957504E-2</v>
      </c>
    </row>
    <row r="180" spans="2:4" x14ac:dyDescent="0.2">
      <c r="B180" s="16">
        <v>45808</v>
      </c>
      <c r="C180" s="23">
        <v>83.827804565429702</v>
      </c>
      <c r="D180" s="25">
        <f t="shared" si="5"/>
        <v>-8.7382690544908145E-2</v>
      </c>
    </row>
    <row r="181" spans="2:4" x14ac:dyDescent="0.2">
      <c r="B181" s="16">
        <v>45838</v>
      </c>
      <c r="C181" s="23">
        <v>82.209999084472699</v>
      </c>
      <c r="D181" s="25">
        <f t="shared" si="5"/>
        <v>-1.9299151270200154E-2</v>
      </c>
    </row>
    <row r="182" spans="2:4" x14ac:dyDescent="0.2">
      <c r="B182" s="16">
        <v>45869</v>
      </c>
      <c r="C182" s="23">
        <v>78.839996337890597</v>
      </c>
      <c r="D182" s="25">
        <f t="shared" si="5"/>
        <v>-4.0992613843960093E-2</v>
      </c>
    </row>
    <row r="183" spans="2:4" x14ac:dyDescent="0.2">
      <c r="B183" s="16">
        <v>45900</v>
      </c>
      <c r="C183" s="23">
        <v>84.489997863769503</v>
      </c>
      <c r="D183" s="25">
        <f t="shared" si="5"/>
        <v>7.166415256622112E-2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7" tint="0.79998168889431442"/>
  </sheetPr>
  <dimension ref="B2:D183"/>
  <sheetViews>
    <sheetView showGridLines="0" workbookViewId="0">
      <selection activeCell="D2" sqref="D2"/>
    </sheetView>
  </sheetViews>
  <sheetFormatPr baseColWidth="10" defaultColWidth="10.83203125" defaultRowHeight="15" x14ac:dyDescent="0.2"/>
  <cols>
    <col min="3" max="3" width="12.6640625" bestFit="1" customWidth="1"/>
  </cols>
  <sheetData>
    <row r="2" spans="2:4" x14ac:dyDescent="0.2">
      <c r="B2" s="21" t="s">
        <v>308</v>
      </c>
      <c r="C2" t="s">
        <v>31</v>
      </c>
      <c r="D2" t="s">
        <v>310</v>
      </c>
    </row>
    <row r="3" spans="2:4" x14ac:dyDescent="0.2">
      <c r="B3" s="16" t="s">
        <v>237</v>
      </c>
      <c r="C3" s="23">
        <v>27.676612854003899</v>
      </c>
    </row>
    <row r="4" spans="2:4" x14ac:dyDescent="0.2">
      <c r="B4" s="16">
        <v>40451</v>
      </c>
      <c r="C4" s="23">
        <v>30.758771896362301</v>
      </c>
      <c r="D4" s="25">
        <f t="shared" ref="D4:D35" si="0">(C4-C3)/C3</f>
        <v>0.11136330368954504</v>
      </c>
    </row>
    <row r="5" spans="2:4" x14ac:dyDescent="0.2">
      <c r="B5" s="16">
        <v>40482</v>
      </c>
      <c r="C5" s="23">
        <v>33.731803894042997</v>
      </c>
      <c r="D5" s="25">
        <f t="shared" si="0"/>
        <v>9.6656394725314204E-2</v>
      </c>
    </row>
    <row r="6" spans="2:4" x14ac:dyDescent="0.2">
      <c r="B6" s="16">
        <v>40512</v>
      </c>
      <c r="C6" s="23">
        <v>35.765625</v>
      </c>
      <c r="D6" s="25">
        <f t="shared" si="0"/>
        <v>6.0293873175166109E-2</v>
      </c>
    </row>
    <row r="7" spans="2:4" x14ac:dyDescent="0.2">
      <c r="B7" s="16">
        <v>40543</v>
      </c>
      <c r="C7" s="23">
        <v>37.038829803466797</v>
      </c>
      <c r="D7" s="25">
        <f t="shared" si="0"/>
        <v>3.5598561564820885E-2</v>
      </c>
    </row>
    <row r="8" spans="2:4" x14ac:dyDescent="0.2">
      <c r="B8" s="16">
        <v>40574</v>
      </c>
      <c r="C8" s="23">
        <v>37.667179107666001</v>
      </c>
      <c r="D8" s="25">
        <f t="shared" si="0"/>
        <v>1.6964610046627113E-2</v>
      </c>
    </row>
    <row r="9" spans="2:4" x14ac:dyDescent="0.2">
      <c r="B9" s="16">
        <v>40602</v>
      </c>
      <c r="C9" s="23">
        <v>39.651397705078097</v>
      </c>
      <c r="D9" s="25">
        <f t="shared" si="0"/>
        <v>5.2677653182907666E-2</v>
      </c>
    </row>
    <row r="10" spans="2:4" x14ac:dyDescent="0.2">
      <c r="B10" s="16">
        <v>40633</v>
      </c>
      <c r="C10" s="23">
        <v>39.882884979248097</v>
      </c>
      <c r="D10" s="25">
        <f t="shared" si="0"/>
        <v>5.8380608898524096E-3</v>
      </c>
    </row>
    <row r="11" spans="2:4" x14ac:dyDescent="0.2">
      <c r="B11" s="16">
        <v>40663</v>
      </c>
      <c r="C11" s="23">
        <v>39.452976226806598</v>
      </c>
      <c r="D11" s="25">
        <f t="shared" si="0"/>
        <v>-1.0779279198713663E-2</v>
      </c>
    </row>
    <row r="12" spans="2:4" x14ac:dyDescent="0.2">
      <c r="B12" s="16">
        <v>40694</v>
      </c>
      <c r="C12" s="23">
        <v>38.925991058349602</v>
      </c>
      <c r="D12" s="25">
        <f t="shared" si="0"/>
        <v>-1.3357298202991641E-2</v>
      </c>
    </row>
    <row r="13" spans="2:4" x14ac:dyDescent="0.2">
      <c r="B13" s="16">
        <v>40724</v>
      </c>
      <c r="C13" s="23">
        <v>39.129787445068402</v>
      </c>
      <c r="D13" s="25">
        <f t="shared" si="0"/>
        <v>5.23548357223099E-3</v>
      </c>
    </row>
    <row r="14" spans="2:4" x14ac:dyDescent="0.2">
      <c r="B14" s="16">
        <v>40755</v>
      </c>
      <c r="C14" s="23">
        <v>34.357456207275398</v>
      </c>
      <c r="D14" s="25">
        <f t="shared" si="0"/>
        <v>-0.12196159369617199</v>
      </c>
    </row>
    <row r="15" spans="2:4" x14ac:dyDescent="0.2">
      <c r="B15" s="16">
        <v>40786</v>
      </c>
      <c r="C15" s="23">
        <v>31.5381984710693</v>
      </c>
      <c r="D15" s="25">
        <f t="shared" si="0"/>
        <v>-8.2056649339746601E-2</v>
      </c>
    </row>
    <row r="16" spans="2:4" x14ac:dyDescent="0.2">
      <c r="B16" s="16">
        <v>40816</v>
      </c>
      <c r="C16" s="23">
        <v>27.5606899261475</v>
      </c>
      <c r="D16" s="25">
        <f t="shared" si="0"/>
        <v>-0.12611717655878343</v>
      </c>
    </row>
    <row r="17" spans="2:4" x14ac:dyDescent="0.2">
      <c r="B17" s="16">
        <v>40847</v>
      </c>
      <c r="C17" s="23">
        <v>28.973705291748001</v>
      </c>
      <c r="D17" s="25">
        <f t="shared" si="0"/>
        <v>5.1269230537655683E-2</v>
      </c>
    </row>
    <row r="18" spans="2:4" x14ac:dyDescent="0.2">
      <c r="B18" s="16">
        <v>40877</v>
      </c>
      <c r="C18" s="23">
        <v>28.532138824462901</v>
      </c>
      <c r="D18" s="25">
        <f t="shared" si="0"/>
        <v>-1.5240248454203126E-2</v>
      </c>
    </row>
    <row r="19" spans="2:4" x14ac:dyDescent="0.2">
      <c r="B19" s="16">
        <v>40908</v>
      </c>
      <c r="C19" s="23">
        <v>27.6354160308838</v>
      </c>
      <c r="D19" s="25">
        <f t="shared" si="0"/>
        <v>-3.1428516421288015E-2</v>
      </c>
    </row>
    <row r="20" spans="2:4" x14ac:dyDescent="0.2">
      <c r="B20" s="16">
        <v>40939</v>
      </c>
      <c r="C20" s="23">
        <v>32.254905700683601</v>
      </c>
      <c r="D20" s="25">
        <f t="shared" si="0"/>
        <v>0.16715831832013375</v>
      </c>
    </row>
    <row r="21" spans="2:4" x14ac:dyDescent="0.2">
      <c r="B21" s="16">
        <v>40968</v>
      </c>
      <c r="C21" s="23">
        <v>34.652957916259801</v>
      </c>
      <c r="D21" s="25">
        <f t="shared" si="0"/>
        <v>7.4346898974979078E-2</v>
      </c>
    </row>
    <row r="22" spans="2:4" x14ac:dyDescent="0.2">
      <c r="B22" s="16">
        <v>40999</v>
      </c>
      <c r="C22" s="23">
        <v>33.280696868896499</v>
      </c>
      <c r="D22" s="25">
        <f t="shared" si="0"/>
        <v>-3.9600112945031241E-2</v>
      </c>
    </row>
    <row r="23" spans="2:4" x14ac:dyDescent="0.2">
      <c r="B23" s="16">
        <v>41029</v>
      </c>
      <c r="C23" s="23">
        <v>31.528017044067401</v>
      </c>
      <c r="D23" s="25">
        <f t="shared" si="0"/>
        <v>-5.26635554457731E-2</v>
      </c>
    </row>
    <row r="24" spans="2:4" x14ac:dyDescent="0.2">
      <c r="B24" s="16">
        <v>41060</v>
      </c>
      <c r="C24" s="23">
        <v>29.259029388427699</v>
      </c>
      <c r="D24" s="25">
        <f t="shared" si="0"/>
        <v>-7.1967344234440372E-2</v>
      </c>
    </row>
    <row r="25" spans="2:4" x14ac:dyDescent="0.2">
      <c r="B25" s="16">
        <v>41090</v>
      </c>
      <c r="C25" s="23">
        <v>30.868108749389702</v>
      </c>
      <c r="D25" s="25">
        <f t="shared" si="0"/>
        <v>5.4994283631240801E-2</v>
      </c>
    </row>
    <row r="26" spans="2:4" x14ac:dyDescent="0.2">
      <c r="B26" s="16">
        <v>41121</v>
      </c>
      <c r="C26" s="23">
        <v>32.491626739502003</v>
      </c>
      <c r="D26" s="25">
        <f t="shared" si="0"/>
        <v>5.259531781792106E-2</v>
      </c>
    </row>
    <row r="27" spans="2:4" x14ac:dyDescent="0.2">
      <c r="B27" s="16">
        <v>41152</v>
      </c>
      <c r="C27" s="23">
        <v>35.4421997070313</v>
      </c>
      <c r="D27" s="25">
        <f t="shared" si="0"/>
        <v>9.0810256783545706E-2</v>
      </c>
    </row>
    <row r="28" spans="2:4" x14ac:dyDescent="0.2">
      <c r="B28" s="16">
        <v>41182</v>
      </c>
      <c r="C28" s="23">
        <v>32.509281158447301</v>
      </c>
      <c r="D28" s="25">
        <f t="shared" si="0"/>
        <v>-8.2752159087973967E-2</v>
      </c>
    </row>
    <row r="29" spans="2:4" x14ac:dyDescent="0.2">
      <c r="B29" s="16">
        <v>41213</v>
      </c>
      <c r="C29" s="23">
        <v>34.048088073730497</v>
      </c>
      <c r="D29" s="25">
        <f t="shared" si="0"/>
        <v>4.7334387610208604E-2</v>
      </c>
    </row>
    <row r="30" spans="2:4" x14ac:dyDescent="0.2">
      <c r="B30" s="16">
        <v>41243</v>
      </c>
      <c r="C30" s="23">
        <v>38.145717620849602</v>
      </c>
      <c r="D30" s="25">
        <f t="shared" si="0"/>
        <v>0.12034830085747443</v>
      </c>
    </row>
    <row r="31" spans="2:4" x14ac:dyDescent="0.2">
      <c r="B31" s="16">
        <v>41274</v>
      </c>
      <c r="C31" s="23">
        <v>38.703365325927699</v>
      </c>
      <c r="D31" s="25">
        <f t="shared" si="0"/>
        <v>1.4618880961182881E-2</v>
      </c>
    </row>
    <row r="32" spans="2:4" x14ac:dyDescent="0.2">
      <c r="B32" s="16">
        <v>41305</v>
      </c>
      <c r="C32" s="23">
        <v>39.599822998046903</v>
      </c>
      <c r="D32" s="25">
        <f t="shared" si="0"/>
        <v>2.3162266758199972E-2</v>
      </c>
    </row>
    <row r="33" spans="2:4" x14ac:dyDescent="0.2">
      <c r="B33" s="16">
        <v>41333</v>
      </c>
      <c r="C33" s="23">
        <v>41.590412139892599</v>
      </c>
      <c r="D33" s="25">
        <f t="shared" si="0"/>
        <v>5.0267627255401459E-2</v>
      </c>
    </row>
    <row r="34" spans="2:4" x14ac:dyDescent="0.2">
      <c r="B34" s="16">
        <v>41364</v>
      </c>
      <c r="C34" s="23">
        <v>40.235130310058601</v>
      </c>
      <c r="D34" s="25">
        <f t="shared" si="0"/>
        <v>-3.2586400569328391E-2</v>
      </c>
    </row>
    <row r="35" spans="2:4" x14ac:dyDescent="0.2">
      <c r="B35" s="16">
        <v>41394</v>
      </c>
      <c r="C35" s="23">
        <v>40.8704223632813</v>
      </c>
      <c r="D35" s="25">
        <f t="shared" si="0"/>
        <v>1.5789486658227096E-2</v>
      </c>
    </row>
    <row r="36" spans="2:4" x14ac:dyDescent="0.2">
      <c r="B36" s="16">
        <v>41425</v>
      </c>
      <c r="C36" s="23">
        <v>43.298629760742202</v>
      </c>
      <c r="D36" s="25">
        <f t="shared" ref="D36:D67" si="1">(C36-C35)/C35</f>
        <v>5.9412339218751158E-2</v>
      </c>
    </row>
    <row r="37" spans="2:4" x14ac:dyDescent="0.2">
      <c r="B37" s="16">
        <v>41455</v>
      </c>
      <c r="C37" s="23">
        <v>40.651580810546903</v>
      </c>
      <c r="D37" s="25">
        <f t="shared" si="1"/>
        <v>-6.1134704835285852E-2</v>
      </c>
    </row>
    <row r="38" spans="2:4" x14ac:dyDescent="0.2">
      <c r="B38" s="16">
        <v>41486</v>
      </c>
      <c r="C38" s="23">
        <v>43.627689361572301</v>
      </c>
      <c r="D38" s="25">
        <f t="shared" si="1"/>
        <v>7.3210155464686316E-2</v>
      </c>
    </row>
    <row r="39" spans="2:4" x14ac:dyDescent="0.2">
      <c r="B39" s="16">
        <v>41517</v>
      </c>
      <c r="C39" s="23">
        <v>42.234470367431598</v>
      </c>
      <c r="D39" s="25">
        <f t="shared" si="1"/>
        <v>-3.1934283353724072E-2</v>
      </c>
    </row>
    <row r="40" spans="2:4" x14ac:dyDescent="0.2">
      <c r="B40" s="16">
        <v>41547</v>
      </c>
      <c r="C40" s="23">
        <v>45.597171783447301</v>
      </c>
      <c r="D40" s="25">
        <f t="shared" si="1"/>
        <v>7.9619831544254283E-2</v>
      </c>
    </row>
    <row r="41" spans="2:4" x14ac:dyDescent="0.2">
      <c r="B41" s="16">
        <v>41578</v>
      </c>
      <c r="C41" s="23">
        <v>45.261631011962898</v>
      </c>
      <c r="D41" s="25">
        <f t="shared" si="1"/>
        <v>-7.3588066619125602E-3</v>
      </c>
    </row>
    <row r="42" spans="2:4" x14ac:dyDescent="0.2">
      <c r="B42" s="16">
        <v>41608</v>
      </c>
      <c r="C42" s="23">
        <v>45.451290130615199</v>
      </c>
      <c r="D42" s="25">
        <f t="shared" si="1"/>
        <v>4.1902846718487267E-3</v>
      </c>
    </row>
    <row r="43" spans="2:4" x14ac:dyDescent="0.2">
      <c r="B43" s="16">
        <v>41639</v>
      </c>
      <c r="C43" s="23">
        <v>46.246376037597699</v>
      </c>
      <c r="D43" s="25">
        <f t="shared" si="1"/>
        <v>1.7493142762232485E-2</v>
      </c>
    </row>
    <row r="44" spans="2:4" x14ac:dyDescent="0.2">
      <c r="B44" s="16">
        <v>41670</v>
      </c>
      <c r="C44" s="23">
        <v>43.686042785644503</v>
      </c>
      <c r="D44" s="25">
        <f t="shared" si="1"/>
        <v>-5.5362894810864288E-2</v>
      </c>
    </row>
    <row r="45" spans="2:4" x14ac:dyDescent="0.2">
      <c r="B45" s="16">
        <v>41698</v>
      </c>
      <c r="C45" s="23">
        <v>47.231113433837898</v>
      </c>
      <c r="D45" s="25">
        <f t="shared" si="1"/>
        <v>8.1148816009453853E-2</v>
      </c>
    </row>
    <row r="46" spans="2:4" x14ac:dyDescent="0.2">
      <c r="B46" s="16">
        <v>41729</v>
      </c>
      <c r="C46" s="23">
        <v>46.939334869384801</v>
      </c>
      <c r="D46" s="25">
        <f t="shared" si="1"/>
        <v>-6.1776770277038812E-3</v>
      </c>
    </row>
    <row r="47" spans="2:4" x14ac:dyDescent="0.2">
      <c r="B47" s="16">
        <v>41759</v>
      </c>
      <c r="C47" s="23">
        <v>49.273551940917997</v>
      </c>
      <c r="D47" s="25">
        <f t="shared" si="1"/>
        <v>4.9728379791244982E-2</v>
      </c>
    </row>
    <row r="48" spans="2:4" x14ac:dyDescent="0.2">
      <c r="B48" s="16">
        <v>41790</v>
      </c>
      <c r="C48" s="23">
        <v>50.389583587646499</v>
      </c>
      <c r="D48" s="25">
        <f t="shared" si="1"/>
        <v>2.2649709687393587E-2</v>
      </c>
    </row>
    <row r="49" spans="2:4" x14ac:dyDescent="0.2">
      <c r="B49" s="16">
        <v>41820</v>
      </c>
      <c r="C49" s="23">
        <v>51.854534149169901</v>
      </c>
      <c r="D49" s="25">
        <f t="shared" si="1"/>
        <v>2.9072487947341342E-2</v>
      </c>
    </row>
    <row r="50" spans="2:4" x14ac:dyDescent="0.2">
      <c r="B50" s="16">
        <v>41851</v>
      </c>
      <c r="C50" s="23">
        <v>47.683540344238303</v>
      </c>
      <c r="D50" s="25">
        <f t="shared" si="1"/>
        <v>-8.0436433831088006E-2</v>
      </c>
    </row>
    <row r="51" spans="2:4" x14ac:dyDescent="0.2">
      <c r="B51" s="16">
        <v>41882</v>
      </c>
      <c r="C51" s="23">
        <v>48.513217926025398</v>
      </c>
      <c r="D51" s="25">
        <f t="shared" si="1"/>
        <v>1.7399664030763328E-2</v>
      </c>
    </row>
    <row r="52" spans="2:4" x14ac:dyDescent="0.2">
      <c r="B52" s="16">
        <v>41912</v>
      </c>
      <c r="C52" s="23">
        <v>45.858261108398402</v>
      </c>
      <c r="D52" s="25">
        <f t="shared" si="1"/>
        <v>-5.4726462830714799E-2</v>
      </c>
    </row>
    <row r="53" spans="2:4" x14ac:dyDescent="0.2">
      <c r="B53" s="16">
        <v>41943</v>
      </c>
      <c r="C53" s="23">
        <v>47.427097320556598</v>
      </c>
      <c r="D53" s="25">
        <f t="shared" si="1"/>
        <v>3.4210547330825028E-2</v>
      </c>
    </row>
    <row r="54" spans="2:4" x14ac:dyDescent="0.2">
      <c r="B54" s="16">
        <v>41973</v>
      </c>
      <c r="C54" s="23">
        <v>49.478652954101598</v>
      </c>
      <c r="D54" s="25">
        <f t="shared" si="1"/>
        <v>4.3257035522934743E-2</v>
      </c>
    </row>
    <row r="55" spans="2:4" x14ac:dyDescent="0.2">
      <c r="B55" s="16">
        <v>42004</v>
      </c>
      <c r="C55" s="23">
        <v>45.714958190917997</v>
      </c>
      <c r="D55" s="25">
        <f t="shared" si="1"/>
        <v>-7.6067041814476169E-2</v>
      </c>
    </row>
    <row r="56" spans="2:4" x14ac:dyDescent="0.2">
      <c r="B56" s="16">
        <v>42035</v>
      </c>
      <c r="C56" s="23">
        <v>50.534595489502003</v>
      </c>
      <c r="D56" s="25">
        <f t="shared" si="1"/>
        <v>0.10542801501547699</v>
      </c>
    </row>
    <row r="57" spans="2:4" x14ac:dyDescent="0.2">
      <c r="B57" s="16">
        <v>42063</v>
      </c>
      <c r="C57" s="23">
        <v>54.290760040283203</v>
      </c>
      <c r="D57" s="25">
        <f t="shared" si="1"/>
        <v>7.4328576580008465E-2</v>
      </c>
    </row>
    <row r="58" spans="2:4" x14ac:dyDescent="0.2">
      <c r="B58" s="16">
        <v>42094</v>
      </c>
      <c r="C58" s="23">
        <v>54.569820404052699</v>
      </c>
      <c r="D58" s="25">
        <f t="shared" si="1"/>
        <v>5.1401078850698669E-3</v>
      </c>
    </row>
    <row r="59" spans="2:4" x14ac:dyDescent="0.2">
      <c r="B59" s="16">
        <v>42124</v>
      </c>
      <c r="C59" s="23">
        <v>50.413917541503899</v>
      </c>
      <c r="D59" s="25">
        <f t="shared" si="1"/>
        <v>-7.6157532346215237E-2</v>
      </c>
    </row>
    <row r="60" spans="2:4" x14ac:dyDescent="0.2">
      <c r="B60" s="16">
        <v>42155</v>
      </c>
      <c r="C60" s="23">
        <v>53.410472869873097</v>
      </c>
      <c r="D60" s="25">
        <f t="shared" si="1"/>
        <v>5.9439049264565585E-2</v>
      </c>
    </row>
    <row r="61" spans="2:4" x14ac:dyDescent="0.2">
      <c r="B61" s="16">
        <v>42185</v>
      </c>
      <c r="C61" s="23">
        <v>48.091175079345703</v>
      </c>
      <c r="D61" s="25">
        <f t="shared" si="1"/>
        <v>-9.9592785922099858E-2</v>
      </c>
    </row>
    <row r="62" spans="2:4" x14ac:dyDescent="0.2">
      <c r="B62" s="16">
        <v>42216</v>
      </c>
      <c r="C62" s="23">
        <v>49.3802299499512</v>
      </c>
      <c r="D62" s="25">
        <f t="shared" si="1"/>
        <v>2.6804395369393316E-2</v>
      </c>
    </row>
    <row r="63" spans="2:4" x14ac:dyDescent="0.2">
      <c r="B63" s="16">
        <v>42247</v>
      </c>
      <c r="C63" s="23">
        <v>43.742542266845703</v>
      </c>
      <c r="D63" s="25">
        <f t="shared" si="1"/>
        <v>-0.11416892324761377</v>
      </c>
    </row>
    <row r="64" spans="2:4" x14ac:dyDescent="0.2">
      <c r="B64" s="16">
        <v>42277</v>
      </c>
      <c r="C64" s="23">
        <v>38.834796905517599</v>
      </c>
      <c r="D64" s="25">
        <f t="shared" si="1"/>
        <v>-0.11219616206550227</v>
      </c>
    </row>
    <row r="65" spans="2:4" x14ac:dyDescent="0.2">
      <c r="B65" s="16">
        <v>42308</v>
      </c>
      <c r="C65" s="23">
        <v>42.7718696594238</v>
      </c>
      <c r="D65" s="25">
        <f t="shared" si="1"/>
        <v>0.10138002687344622</v>
      </c>
    </row>
    <row r="66" spans="2:4" x14ac:dyDescent="0.2">
      <c r="B66" s="16">
        <v>42338</v>
      </c>
      <c r="C66" s="23">
        <v>46.592445373535199</v>
      </c>
      <c r="D66" s="25">
        <f t="shared" si="1"/>
        <v>8.9324496322774685E-2</v>
      </c>
    </row>
    <row r="67" spans="2:4" x14ac:dyDescent="0.2">
      <c r="B67" s="16">
        <v>42369</v>
      </c>
      <c r="C67" s="23">
        <v>40.814979553222699</v>
      </c>
      <c r="D67" s="25">
        <f t="shared" si="1"/>
        <v>-0.1240000556741359</v>
      </c>
    </row>
    <row r="68" spans="2:4" x14ac:dyDescent="0.2">
      <c r="B68" s="16">
        <v>42400</v>
      </c>
      <c r="C68" s="23">
        <v>38.135913848877003</v>
      </c>
      <c r="D68" s="25">
        <f t="shared" ref="D68:D99" si="2">(C68-C67)/C67</f>
        <v>-6.5639275914672376E-2</v>
      </c>
    </row>
    <row r="69" spans="2:4" x14ac:dyDescent="0.2">
      <c r="B69" s="16">
        <v>42429</v>
      </c>
      <c r="C69" s="23">
        <v>42.531139373779297</v>
      </c>
      <c r="D69" s="25">
        <f t="shared" si="2"/>
        <v>0.11525161144215562</v>
      </c>
    </row>
    <row r="70" spans="2:4" x14ac:dyDescent="0.2">
      <c r="B70" s="16">
        <v>42460</v>
      </c>
      <c r="C70" s="23">
        <v>43.129077911377003</v>
      </c>
      <c r="D70" s="25">
        <f t="shared" si="2"/>
        <v>1.4058841272574483E-2</v>
      </c>
    </row>
    <row r="71" spans="2:4" x14ac:dyDescent="0.2">
      <c r="B71" s="16">
        <v>42490</v>
      </c>
      <c r="C71" s="23">
        <v>44.138576507568402</v>
      </c>
      <c r="D71" s="25">
        <f t="shared" si="2"/>
        <v>2.3406449780024253E-2</v>
      </c>
    </row>
    <row r="72" spans="2:4" x14ac:dyDescent="0.2">
      <c r="B72" s="16">
        <v>42521</v>
      </c>
      <c r="C72" s="23">
        <v>45.124790191650398</v>
      </c>
      <c r="D72" s="25">
        <f t="shared" si="2"/>
        <v>2.2343577027521277E-2</v>
      </c>
    </row>
    <row r="73" spans="2:4" x14ac:dyDescent="0.2">
      <c r="B73" s="16">
        <v>42551</v>
      </c>
      <c r="C73" s="23">
        <v>42.7607421875</v>
      </c>
      <c r="D73" s="25">
        <f t="shared" si="2"/>
        <v>-5.238911902105256E-2</v>
      </c>
    </row>
    <row r="74" spans="2:4" x14ac:dyDescent="0.2">
      <c r="B74" s="16">
        <v>42582</v>
      </c>
      <c r="C74" s="23">
        <v>47.160923004150398</v>
      </c>
      <c r="D74" s="25">
        <f t="shared" si="2"/>
        <v>0.10290234901340597</v>
      </c>
    </row>
    <row r="75" spans="2:4" x14ac:dyDescent="0.2">
      <c r="B75" s="16">
        <v>42613</v>
      </c>
      <c r="C75" s="23">
        <v>49.232070922851598</v>
      </c>
      <c r="D75" s="25">
        <f t="shared" si="2"/>
        <v>4.3916611185046757E-2</v>
      </c>
    </row>
    <row r="76" spans="2:4" x14ac:dyDescent="0.2">
      <c r="B76" s="16">
        <v>42643</v>
      </c>
      <c r="C76" s="23">
        <v>50.013786315917997</v>
      </c>
      <c r="D76" s="25">
        <f t="shared" si="2"/>
        <v>1.587817409288703E-2</v>
      </c>
    </row>
    <row r="77" spans="2:4" x14ac:dyDescent="0.2">
      <c r="B77" s="16">
        <v>42674</v>
      </c>
      <c r="C77" s="23">
        <v>49.272361755371101</v>
      </c>
      <c r="D77" s="25">
        <f t="shared" si="2"/>
        <v>-1.4824403732674834E-2</v>
      </c>
    </row>
    <row r="78" spans="2:4" x14ac:dyDescent="0.2">
      <c r="B78" s="16">
        <v>42704</v>
      </c>
      <c r="C78" s="23">
        <v>50.626262664794901</v>
      </c>
      <c r="D78" s="25">
        <f t="shared" si="2"/>
        <v>2.7477897571577502E-2</v>
      </c>
    </row>
    <row r="79" spans="2:4" x14ac:dyDescent="0.2">
      <c r="B79" s="16">
        <v>42735</v>
      </c>
      <c r="C79" s="23">
        <v>53.277652740478501</v>
      </c>
      <c r="D79" s="25">
        <f t="shared" si="2"/>
        <v>5.2371831064025119E-2</v>
      </c>
    </row>
    <row r="80" spans="2:4" x14ac:dyDescent="0.2">
      <c r="B80" s="16">
        <v>42766</v>
      </c>
      <c r="C80" s="23">
        <v>53.366310119628899</v>
      </c>
      <c r="D80" s="25">
        <f t="shared" si="2"/>
        <v>1.6640631595062549E-3</v>
      </c>
    </row>
    <row r="81" spans="2:4" x14ac:dyDescent="0.2">
      <c r="B81" s="16">
        <v>42794</v>
      </c>
      <c r="C81" s="23">
        <v>51.488574981689503</v>
      </c>
      <c r="D81" s="25">
        <f t="shared" si="2"/>
        <v>-3.5185777951111108E-2</v>
      </c>
    </row>
    <row r="82" spans="2:4" x14ac:dyDescent="0.2">
      <c r="B82" s="16">
        <v>42825</v>
      </c>
      <c r="C82" s="23">
        <v>55.308509826660199</v>
      </c>
      <c r="D82" s="25">
        <f t="shared" si="2"/>
        <v>7.4189950806157506E-2</v>
      </c>
    </row>
    <row r="83" spans="2:4" x14ac:dyDescent="0.2">
      <c r="B83" s="16">
        <v>42855</v>
      </c>
      <c r="C83" s="23">
        <v>58.427322387695298</v>
      </c>
      <c r="D83" s="25">
        <f t="shared" si="2"/>
        <v>5.6389379695992954E-2</v>
      </c>
    </row>
    <row r="84" spans="2:4" x14ac:dyDescent="0.2">
      <c r="B84" s="16">
        <v>42886</v>
      </c>
      <c r="C84" s="23">
        <v>55.252101898193402</v>
      </c>
      <c r="D84" s="25">
        <f t="shared" si="2"/>
        <v>-5.4344788700612996E-2</v>
      </c>
    </row>
    <row r="85" spans="2:4" x14ac:dyDescent="0.2">
      <c r="B85" s="16">
        <v>42916</v>
      </c>
      <c r="C85" s="23">
        <v>55.738761901855497</v>
      </c>
      <c r="D85" s="25">
        <f t="shared" si="2"/>
        <v>8.8079907721665823E-3</v>
      </c>
    </row>
    <row r="86" spans="2:4" x14ac:dyDescent="0.2">
      <c r="B86" s="16">
        <v>42947</v>
      </c>
      <c r="C86" s="23">
        <v>54.976467132568402</v>
      </c>
      <c r="D86" s="25">
        <f t="shared" si="2"/>
        <v>-1.3676205629205391E-2</v>
      </c>
    </row>
    <row r="87" spans="2:4" x14ac:dyDescent="0.2">
      <c r="B87" s="16">
        <v>42978</v>
      </c>
      <c r="C87" s="23">
        <v>56.119911193847699</v>
      </c>
      <c r="D87" s="25">
        <f t="shared" si="2"/>
        <v>2.0798791208646316E-2</v>
      </c>
    </row>
    <row r="88" spans="2:4" x14ac:dyDescent="0.2">
      <c r="B88" s="16">
        <v>43008</v>
      </c>
      <c r="C88" s="23">
        <v>61.008548736572301</v>
      </c>
      <c r="D88" s="25">
        <f t="shared" si="2"/>
        <v>8.7110571608683032E-2</v>
      </c>
    </row>
    <row r="89" spans="2:4" x14ac:dyDescent="0.2">
      <c r="B89" s="16">
        <v>43039</v>
      </c>
      <c r="C89" s="23">
        <v>62.5165824890137</v>
      </c>
      <c r="D89" s="25">
        <f t="shared" si="2"/>
        <v>2.4718400677795346E-2</v>
      </c>
    </row>
    <row r="90" spans="2:4" x14ac:dyDescent="0.2">
      <c r="B90" s="16">
        <v>43069</v>
      </c>
      <c r="C90" s="23">
        <v>59.831974029541001</v>
      </c>
      <c r="D90" s="25">
        <f t="shared" si="2"/>
        <v>-4.2942341896959522E-2</v>
      </c>
    </row>
    <row r="91" spans="2:4" x14ac:dyDescent="0.2">
      <c r="B91" s="16">
        <v>43100</v>
      </c>
      <c r="C91" s="23">
        <v>58.713375091552699</v>
      </c>
      <c r="D91" s="25">
        <f t="shared" si="2"/>
        <v>-1.8695671605887743E-2</v>
      </c>
    </row>
    <row r="92" spans="2:4" x14ac:dyDescent="0.2">
      <c r="B92" s="16">
        <v>43131</v>
      </c>
      <c r="C92" s="23">
        <v>62.541431427002003</v>
      </c>
      <c r="D92" s="25">
        <f t="shared" si="2"/>
        <v>6.5199050973992811E-2</v>
      </c>
    </row>
    <row r="93" spans="2:4" x14ac:dyDescent="0.2">
      <c r="B93" s="16">
        <v>43159</v>
      </c>
      <c r="C93" s="23">
        <v>59.309959411621101</v>
      </c>
      <c r="D93" s="25">
        <f t="shared" si="2"/>
        <v>-5.1669300520450309E-2</v>
      </c>
    </row>
    <row r="94" spans="2:4" x14ac:dyDescent="0.2">
      <c r="B94" s="16">
        <v>43190</v>
      </c>
      <c r="C94" s="23">
        <v>59.111095428466797</v>
      </c>
      <c r="D94" s="25">
        <f t="shared" si="2"/>
        <v>-3.3529610393788077E-3</v>
      </c>
    </row>
    <row r="95" spans="2:4" x14ac:dyDescent="0.2">
      <c r="B95" s="16">
        <v>43220</v>
      </c>
      <c r="C95" s="23">
        <v>62.3757133483887</v>
      </c>
      <c r="D95" s="25">
        <f t="shared" si="2"/>
        <v>5.522851329785583E-2</v>
      </c>
    </row>
    <row r="96" spans="2:4" x14ac:dyDescent="0.2">
      <c r="B96" s="16">
        <v>43251</v>
      </c>
      <c r="C96" s="23">
        <v>61.132843017578097</v>
      </c>
      <c r="D96" s="25">
        <f t="shared" si="2"/>
        <v>-1.9925548969175994E-2</v>
      </c>
    </row>
    <row r="97" spans="2:4" x14ac:dyDescent="0.2">
      <c r="B97" s="16">
        <v>43281</v>
      </c>
      <c r="C97" s="23">
        <v>60.958858489990199</v>
      </c>
      <c r="D97" s="25">
        <f t="shared" si="2"/>
        <v>-2.8460074650523016E-3</v>
      </c>
    </row>
    <row r="98" spans="2:4" x14ac:dyDescent="0.2">
      <c r="B98" s="16">
        <v>43312</v>
      </c>
      <c r="C98" s="23">
        <v>58.756759643554702</v>
      </c>
      <c r="D98" s="25">
        <f t="shared" si="2"/>
        <v>-3.6124345189257355E-2</v>
      </c>
    </row>
    <row r="99" spans="2:4" x14ac:dyDescent="0.2">
      <c r="B99" s="16">
        <v>43343</v>
      </c>
      <c r="C99" s="23">
        <v>59.951686859130902</v>
      </c>
      <c r="D99" s="25">
        <f t="shared" si="2"/>
        <v>2.0336846736021076E-2</v>
      </c>
    </row>
    <row r="100" spans="2:4" x14ac:dyDescent="0.2">
      <c r="B100" s="16">
        <v>43373</v>
      </c>
      <c r="C100" s="23">
        <v>59.149379730224602</v>
      </c>
      <c r="D100" s="25">
        <f t="shared" ref="D100:D131" si="3">(C100-C99)/C99</f>
        <v>-1.3382561374653046E-2</v>
      </c>
    </row>
    <row r="101" spans="2:4" x14ac:dyDescent="0.2">
      <c r="B101" s="16">
        <v>43404</v>
      </c>
      <c r="C101" s="23">
        <v>54.591548919677699</v>
      </c>
      <c r="D101" s="25">
        <f t="shared" si="3"/>
        <v>-7.7056273985201373E-2</v>
      </c>
    </row>
    <row r="102" spans="2:4" x14ac:dyDescent="0.2">
      <c r="B102" s="16">
        <v>43434</v>
      </c>
      <c r="C102" s="23">
        <v>54.864681243896499</v>
      </c>
      <c r="D102" s="25">
        <f t="shared" si="3"/>
        <v>5.003197923925333E-3</v>
      </c>
    </row>
    <row r="103" spans="2:4" x14ac:dyDescent="0.2">
      <c r="B103" s="16">
        <v>43465</v>
      </c>
      <c r="C103" s="23">
        <v>50.972599029541001</v>
      </c>
      <c r="D103" s="25">
        <f t="shared" si="3"/>
        <v>-7.0939666942628557E-2</v>
      </c>
    </row>
    <row r="104" spans="2:4" x14ac:dyDescent="0.2">
      <c r="B104" s="16">
        <v>43496</v>
      </c>
      <c r="C104" s="23">
        <v>52.9869194030762</v>
      </c>
      <c r="D104" s="25">
        <f t="shared" si="3"/>
        <v>3.9517709747698096E-2</v>
      </c>
    </row>
    <row r="105" spans="2:4" x14ac:dyDescent="0.2">
      <c r="B105" s="16">
        <v>43524</v>
      </c>
      <c r="C105" s="23">
        <v>58.398277282714801</v>
      </c>
      <c r="D105" s="25">
        <f t="shared" si="3"/>
        <v>0.102126297218261</v>
      </c>
    </row>
    <row r="106" spans="2:4" x14ac:dyDescent="0.2">
      <c r="B106" s="16">
        <v>43555</v>
      </c>
      <c r="C106" s="23">
        <v>59.695636749267599</v>
      </c>
      <c r="D106" s="25">
        <f t="shared" si="3"/>
        <v>2.2215714690898961E-2</v>
      </c>
    </row>
    <row r="107" spans="2:4" x14ac:dyDescent="0.2">
      <c r="B107" s="16">
        <v>43585</v>
      </c>
      <c r="C107" s="23">
        <v>64.407096862792997</v>
      </c>
      <c r="D107" s="25">
        <f t="shared" si="3"/>
        <v>7.8924698187145176E-2</v>
      </c>
    </row>
    <row r="108" spans="2:4" x14ac:dyDescent="0.2">
      <c r="B108" s="16">
        <v>43616</v>
      </c>
      <c r="C108" s="23">
        <v>62.338150024414098</v>
      </c>
      <c r="D108" s="25">
        <f t="shared" si="3"/>
        <v>-3.2122963759512319E-2</v>
      </c>
    </row>
    <row r="109" spans="2:4" x14ac:dyDescent="0.2">
      <c r="B109" s="16">
        <v>43646</v>
      </c>
      <c r="C109" s="23">
        <v>70.227287292480497</v>
      </c>
      <c r="D109" s="25">
        <f t="shared" si="3"/>
        <v>0.12655392027156243</v>
      </c>
    </row>
    <row r="110" spans="2:4" x14ac:dyDescent="0.2">
      <c r="B110" s="16">
        <v>43677</v>
      </c>
      <c r="C110" s="23">
        <v>68.748062133789105</v>
      </c>
      <c r="D110" s="25">
        <f t="shared" si="3"/>
        <v>-2.1063395949365942E-2</v>
      </c>
    </row>
    <row r="111" spans="2:4" x14ac:dyDescent="0.2">
      <c r="B111" s="16">
        <v>43708</v>
      </c>
      <c r="C111" s="23">
        <v>67.057548522949205</v>
      </c>
      <c r="D111" s="25">
        <f t="shared" si="3"/>
        <v>-2.4589982006329558E-2</v>
      </c>
    </row>
    <row r="112" spans="2:4" x14ac:dyDescent="0.2">
      <c r="B112" s="16">
        <v>43738</v>
      </c>
      <c r="C112" s="23">
        <v>70.878822326660199</v>
      </c>
      <c r="D112" s="25">
        <f t="shared" si="3"/>
        <v>5.6984991069323601E-2</v>
      </c>
    </row>
    <row r="113" spans="2:4" x14ac:dyDescent="0.2">
      <c r="B113" s="16">
        <v>43769</v>
      </c>
      <c r="C113" s="23">
        <v>73.308967590332003</v>
      </c>
      <c r="D113" s="25">
        <f t="shared" si="3"/>
        <v>3.4285914803606078E-2</v>
      </c>
    </row>
    <row r="114" spans="2:4" x14ac:dyDescent="0.2">
      <c r="B114" s="16">
        <v>43799</v>
      </c>
      <c r="C114" s="23">
        <v>77.130256652832003</v>
      </c>
      <c r="D114" s="25">
        <f t="shared" si="3"/>
        <v>5.212580654326323E-2</v>
      </c>
    </row>
    <row r="115" spans="2:4" x14ac:dyDescent="0.2">
      <c r="B115" s="16">
        <v>43830</v>
      </c>
      <c r="C115" s="23">
        <v>80.564125061035199</v>
      </c>
      <c r="D115" s="25">
        <f t="shared" si="3"/>
        <v>4.4520380940248232E-2</v>
      </c>
    </row>
    <row r="116" spans="2:4" x14ac:dyDescent="0.2">
      <c r="B116" s="16">
        <v>43861</v>
      </c>
      <c r="C116" s="23">
        <v>79.701255798339801</v>
      </c>
      <c r="D116" s="25">
        <f t="shared" si="3"/>
        <v>-1.0710341135607071E-2</v>
      </c>
    </row>
    <row r="117" spans="2:4" x14ac:dyDescent="0.2">
      <c r="B117" s="16">
        <v>43890</v>
      </c>
      <c r="C117" s="23">
        <v>79.683662414550795</v>
      </c>
      <c r="D117" s="25">
        <f t="shared" si="3"/>
        <v>-2.2074161332564764E-4</v>
      </c>
    </row>
    <row r="118" spans="2:4" x14ac:dyDescent="0.2">
      <c r="B118" s="16">
        <v>43921</v>
      </c>
      <c r="C118" s="23">
        <v>69.188308715820298</v>
      </c>
      <c r="D118" s="25">
        <f t="shared" si="3"/>
        <v>-0.13171274237031017</v>
      </c>
    </row>
    <row r="119" spans="2:4" x14ac:dyDescent="0.2">
      <c r="B119" s="16">
        <v>43951</v>
      </c>
      <c r="C119" s="23">
        <v>73.485061645507798</v>
      </c>
      <c r="D119" s="25">
        <f t="shared" si="3"/>
        <v>6.2102297475368454E-2</v>
      </c>
    </row>
    <row r="120" spans="2:4" x14ac:dyDescent="0.2">
      <c r="B120" s="16">
        <v>43982</v>
      </c>
      <c r="C120" s="23">
        <v>78.574234008789105</v>
      </c>
      <c r="D120" s="25">
        <f t="shared" si="3"/>
        <v>6.9254515806647793E-2</v>
      </c>
    </row>
    <row r="121" spans="2:4" x14ac:dyDescent="0.2">
      <c r="B121" s="16">
        <v>44012</v>
      </c>
      <c r="C121" s="23">
        <v>89.908714294433594</v>
      </c>
      <c r="D121" s="25">
        <f t="shared" si="3"/>
        <v>0.14425187122252625</v>
      </c>
    </row>
    <row r="122" spans="2:4" x14ac:dyDescent="0.2">
      <c r="B122" s="16">
        <v>44043</v>
      </c>
      <c r="C122" s="23">
        <v>89.3267822265625</v>
      </c>
      <c r="D122" s="25">
        <f t="shared" si="3"/>
        <v>-6.4724768053670435E-3</v>
      </c>
    </row>
    <row r="123" spans="2:4" x14ac:dyDescent="0.2">
      <c r="B123" s="16">
        <v>44074</v>
      </c>
      <c r="C123" s="23">
        <v>94.336868286132798</v>
      </c>
      <c r="D123" s="25">
        <f t="shared" si="3"/>
        <v>5.6087165961749855E-2</v>
      </c>
    </row>
    <row r="124" spans="2:4" x14ac:dyDescent="0.2">
      <c r="B124" s="16">
        <v>44104</v>
      </c>
      <c r="C124" s="23">
        <v>96.428192138671903</v>
      </c>
      <c r="D124" s="25">
        <f t="shared" si="3"/>
        <v>2.2168680077400055E-2</v>
      </c>
    </row>
    <row r="125" spans="2:4" x14ac:dyDescent="0.2">
      <c r="B125" s="16">
        <v>44135</v>
      </c>
      <c r="C125" s="23">
        <v>94.746032714843807</v>
      </c>
      <c r="D125" s="25">
        <f t="shared" si="3"/>
        <v>-1.7444684863623793E-2</v>
      </c>
    </row>
    <row r="126" spans="2:4" x14ac:dyDescent="0.2">
      <c r="B126" s="16">
        <v>44165</v>
      </c>
      <c r="C126" s="23">
        <v>106.06646728515599</v>
      </c>
      <c r="D126" s="25">
        <f t="shared" si="3"/>
        <v>0.11948188484454211</v>
      </c>
    </row>
    <row r="127" spans="2:4" x14ac:dyDescent="0.2">
      <c r="B127" s="16">
        <v>44196</v>
      </c>
      <c r="C127" s="23">
        <v>107.566757202148</v>
      </c>
      <c r="D127" s="25">
        <f t="shared" si="3"/>
        <v>1.4144808961710073E-2</v>
      </c>
    </row>
    <row r="128" spans="2:4" x14ac:dyDescent="0.2">
      <c r="B128" s="16">
        <v>44227</v>
      </c>
      <c r="C128" s="23">
        <v>109.976318359375</v>
      </c>
      <c r="D128" s="25">
        <f t="shared" si="3"/>
        <v>2.2400611675024881E-2</v>
      </c>
    </row>
    <row r="129" spans="2:4" x14ac:dyDescent="0.2">
      <c r="B129" s="16">
        <v>44255</v>
      </c>
      <c r="C129" s="23">
        <v>111.703941345215</v>
      </c>
      <c r="D129" s="25">
        <f t="shared" si="3"/>
        <v>1.5709045470994599E-2</v>
      </c>
    </row>
    <row r="130" spans="2:4" x14ac:dyDescent="0.2">
      <c r="B130" s="16">
        <v>44286</v>
      </c>
      <c r="C130" s="23">
        <v>118.43255615234401</v>
      </c>
      <c r="D130" s="25">
        <f t="shared" si="3"/>
        <v>6.0236144992723083E-2</v>
      </c>
    </row>
    <row r="131" spans="2:4" x14ac:dyDescent="0.2">
      <c r="B131" s="16">
        <v>44316</v>
      </c>
      <c r="C131" s="23">
        <v>120.95123291015599</v>
      </c>
      <c r="D131" s="25">
        <f t="shared" si="3"/>
        <v>2.1266760083875291E-2</v>
      </c>
    </row>
    <row r="132" spans="2:4" x14ac:dyDescent="0.2">
      <c r="B132" s="16">
        <v>44347</v>
      </c>
      <c r="C132" s="23">
        <v>117.659660339355</v>
      </c>
      <c r="D132" s="25">
        <f t="shared" ref="D132:D163" si="4">(C132-C131)/C131</f>
        <v>-2.721404727842678E-2</v>
      </c>
    </row>
    <row r="133" spans="2:4" x14ac:dyDescent="0.2">
      <c r="B133" s="16">
        <v>44377</v>
      </c>
      <c r="C133" s="23">
        <v>123.01188659668</v>
      </c>
      <c r="D133" s="25">
        <f t="shared" si="4"/>
        <v>4.548905072382551E-2</v>
      </c>
    </row>
    <row r="134" spans="2:4" x14ac:dyDescent="0.2">
      <c r="B134" s="16">
        <v>44408</v>
      </c>
      <c r="C134" s="23">
        <v>131.00378417968801</v>
      </c>
      <c r="D134" s="25">
        <f t="shared" si="4"/>
        <v>6.496849860705825E-2</v>
      </c>
    </row>
    <row r="135" spans="2:4" x14ac:dyDescent="0.2">
      <c r="B135" s="16">
        <v>44439</v>
      </c>
      <c r="C135" s="23">
        <v>140.27510070800801</v>
      </c>
      <c r="D135" s="25">
        <f t="shared" si="4"/>
        <v>7.0771364250083291E-2</v>
      </c>
    </row>
    <row r="136" spans="2:4" x14ac:dyDescent="0.2">
      <c r="B136" s="16">
        <v>44469</v>
      </c>
      <c r="C136" s="23">
        <v>133.414306640625</v>
      </c>
      <c r="D136" s="25">
        <f t="shared" si="4"/>
        <v>-4.8909564368548999E-2</v>
      </c>
    </row>
    <row r="137" spans="2:4" x14ac:dyDescent="0.2">
      <c r="B137" s="16">
        <v>44500</v>
      </c>
      <c r="C137" s="23">
        <v>138.04997253418</v>
      </c>
      <c r="D137" s="25">
        <f t="shared" si="4"/>
        <v>3.4746392724147528E-2</v>
      </c>
    </row>
    <row r="138" spans="2:4" x14ac:dyDescent="0.2">
      <c r="B138" s="16">
        <v>44530</v>
      </c>
      <c r="C138" s="23">
        <v>144.83659362793</v>
      </c>
      <c r="D138" s="25">
        <f t="shared" si="4"/>
        <v>4.9160611691318447E-2</v>
      </c>
    </row>
    <row r="139" spans="2:4" x14ac:dyDescent="0.2">
      <c r="B139" s="16">
        <v>44561</v>
      </c>
      <c r="C139" s="23">
        <v>159.89321899414099</v>
      </c>
      <c r="D139" s="25">
        <f t="shared" si="4"/>
        <v>0.10395594779652084</v>
      </c>
    </row>
    <row r="140" spans="2:4" x14ac:dyDescent="0.2">
      <c r="B140" s="16">
        <v>44592</v>
      </c>
      <c r="C140" s="23">
        <v>138.47645568847699</v>
      </c>
      <c r="D140" s="25">
        <f t="shared" si="4"/>
        <v>-0.13394416248789628</v>
      </c>
    </row>
    <row r="141" spans="2:4" x14ac:dyDescent="0.2">
      <c r="B141" s="16">
        <v>44620</v>
      </c>
      <c r="C141" s="23">
        <v>129.59451293945301</v>
      </c>
      <c r="D141" s="25">
        <f t="shared" si="4"/>
        <v>-6.4140454092825747E-2</v>
      </c>
    </row>
    <row r="142" spans="2:4" x14ac:dyDescent="0.2">
      <c r="B142" s="16">
        <v>44651</v>
      </c>
      <c r="C142" s="23">
        <v>141.07243347168</v>
      </c>
      <c r="D142" s="25">
        <f t="shared" si="4"/>
        <v>8.8567951465580275E-2</v>
      </c>
    </row>
    <row r="143" spans="2:4" x14ac:dyDescent="0.2">
      <c r="B143" s="16">
        <v>44681</v>
      </c>
      <c r="C143" s="23">
        <v>127.666091918945</v>
      </c>
      <c r="D143" s="25">
        <f t="shared" si="4"/>
        <v>-9.503161760817215E-2</v>
      </c>
    </row>
    <row r="144" spans="2:4" x14ac:dyDescent="0.2">
      <c r="B144" s="16">
        <v>44712</v>
      </c>
      <c r="C144" s="23">
        <v>119.63712310791</v>
      </c>
      <c r="D144" s="25">
        <f t="shared" si="4"/>
        <v>-6.2890378254333815E-2</v>
      </c>
    </row>
    <row r="145" spans="2:4" x14ac:dyDescent="0.2">
      <c r="B145" s="16">
        <v>44742</v>
      </c>
      <c r="C145" s="23">
        <v>107.107093811035</v>
      </c>
      <c r="D145" s="25">
        <f t="shared" si="4"/>
        <v>-0.10473362256941932</v>
      </c>
    </row>
    <row r="146" spans="2:4" x14ac:dyDescent="0.2">
      <c r="B146" s="16">
        <v>44773</v>
      </c>
      <c r="C146" s="23">
        <v>127.63673400878901</v>
      </c>
      <c r="D146" s="25">
        <f t="shared" si="4"/>
        <v>0.19167395423849026</v>
      </c>
    </row>
    <row r="147" spans="2:4" x14ac:dyDescent="0.2">
      <c r="B147" s="16">
        <v>44804</v>
      </c>
      <c r="C147" s="23">
        <v>112.685386657715</v>
      </c>
      <c r="D147" s="25">
        <f t="shared" si="4"/>
        <v>-0.11713984588515453</v>
      </c>
    </row>
    <row r="148" spans="2:4" x14ac:dyDescent="0.2">
      <c r="B148" s="16">
        <v>44834</v>
      </c>
      <c r="C148" s="23">
        <v>110.939804077148</v>
      </c>
      <c r="D148" s="25">
        <f t="shared" si="4"/>
        <v>-1.549076266534239E-2</v>
      </c>
    </row>
    <row r="149" spans="2:4" x14ac:dyDescent="0.2">
      <c r="B149" s="16">
        <v>44865</v>
      </c>
      <c r="C149" s="23">
        <v>121.67896270752</v>
      </c>
      <c r="D149" s="25">
        <f t="shared" si="4"/>
        <v>9.6801672940615147E-2</v>
      </c>
    </row>
    <row r="150" spans="2:4" x14ac:dyDescent="0.2">
      <c r="B150" s="16">
        <v>44895</v>
      </c>
      <c r="C150" s="23">
        <v>131.79200744628901</v>
      </c>
      <c r="D150" s="25">
        <f t="shared" si="4"/>
        <v>8.3112516031861275E-2</v>
      </c>
    </row>
    <row r="151" spans="2:4" x14ac:dyDescent="0.2">
      <c r="B151" s="16">
        <v>44926</v>
      </c>
      <c r="C151" s="23">
        <v>124.012748718262</v>
      </c>
      <c r="D151" s="25">
        <f t="shared" si="4"/>
        <v>-5.9026786819355415E-2</v>
      </c>
    </row>
    <row r="152" spans="2:4" x14ac:dyDescent="0.2">
      <c r="B152" s="16">
        <v>44957</v>
      </c>
      <c r="C152" s="23">
        <v>140.70970153808599</v>
      </c>
      <c r="D152" s="25">
        <f t="shared" si="4"/>
        <v>0.13463900278314864</v>
      </c>
    </row>
    <row r="153" spans="2:4" x14ac:dyDescent="0.2">
      <c r="B153" s="16">
        <v>44985</v>
      </c>
      <c r="C153" s="23">
        <v>144.314697265625</v>
      </c>
      <c r="D153" s="25">
        <f t="shared" si="4"/>
        <v>2.5620093626332077E-2</v>
      </c>
    </row>
    <row r="154" spans="2:4" x14ac:dyDescent="0.2">
      <c r="B154" s="16">
        <v>45016</v>
      </c>
      <c r="C154" s="23">
        <v>145.79466247558599</v>
      </c>
      <c r="D154" s="25">
        <f t="shared" si="4"/>
        <v>1.0255124654677249E-2</v>
      </c>
    </row>
    <row r="155" spans="2:4" x14ac:dyDescent="0.2">
      <c r="B155" s="16">
        <v>45046</v>
      </c>
      <c r="C155" s="23">
        <v>149.72225952148401</v>
      </c>
      <c r="D155" s="25">
        <f t="shared" si="4"/>
        <v>2.6939237549630502E-2</v>
      </c>
    </row>
    <row r="156" spans="2:4" x14ac:dyDescent="0.2">
      <c r="B156" s="16">
        <v>45077</v>
      </c>
      <c r="C156" s="23">
        <v>153.06163024902301</v>
      </c>
      <c r="D156" s="25">
        <f t="shared" si="4"/>
        <v>2.2303769247216252E-2</v>
      </c>
    </row>
    <row r="157" spans="2:4" x14ac:dyDescent="0.2">
      <c r="B157" s="16">
        <v>45107</v>
      </c>
      <c r="C157" s="23">
        <v>161.11485290527301</v>
      </c>
      <c r="D157" s="25">
        <f t="shared" si="4"/>
        <v>5.2614248542550091E-2</v>
      </c>
    </row>
    <row r="158" spans="2:4" x14ac:dyDescent="0.2">
      <c r="B158" s="16">
        <v>45138</v>
      </c>
      <c r="C158" s="23">
        <v>156.83676147460901</v>
      </c>
      <c r="D158" s="25">
        <f t="shared" si="4"/>
        <v>-2.6553054256141715E-2</v>
      </c>
    </row>
    <row r="159" spans="2:4" x14ac:dyDescent="0.2">
      <c r="B159" s="16">
        <v>45169</v>
      </c>
      <c r="C159" s="23">
        <v>153.487869262695</v>
      </c>
      <c r="D159" s="25">
        <f t="shared" si="4"/>
        <v>-2.1352724835855354E-2</v>
      </c>
    </row>
    <row r="160" spans="2:4" x14ac:dyDescent="0.2">
      <c r="B160" s="16">
        <v>45199</v>
      </c>
      <c r="C160" s="23">
        <v>151.93923950195301</v>
      </c>
      <c r="D160" s="25">
        <f t="shared" si="4"/>
        <v>-1.0089590585764818E-2</v>
      </c>
    </row>
    <row r="161" spans="2:4" x14ac:dyDescent="0.2">
      <c r="B161" s="16">
        <v>45230</v>
      </c>
      <c r="C161" s="23">
        <v>140.32458496093801</v>
      </c>
      <c r="D161" s="25">
        <f t="shared" si="4"/>
        <v>-7.6442758164955188E-2</v>
      </c>
    </row>
    <row r="162" spans="2:4" x14ac:dyDescent="0.2">
      <c r="B162" s="16">
        <v>45260</v>
      </c>
      <c r="C162" s="23">
        <v>163.20547485351599</v>
      </c>
      <c r="D162" s="25">
        <f t="shared" si="4"/>
        <v>0.16305688628223849</v>
      </c>
    </row>
    <row r="163" spans="2:4" x14ac:dyDescent="0.2">
      <c r="B163" s="16">
        <v>45291</v>
      </c>
      <c r="C163" s="23">
        <v>175.94290161132801</v>
      </c>
      <c r="D163" s="25">
        <f t="shared" si="4"/>
        <v>7.8045339895885302E-2</v>
      </c>
    </row>
    <row r="164" spans="2:4" x14ac:dyDescent="0.2">
      <c r="B164" s="16">
        <v>45322</v>
      </c>
      <c r="C164" s="23">
        <v>177.026931762695</v>
      </c>
      <c r="D164" s="25">
        <f t="shared" ref="D164:D183" si="5">(C164-C163)/C163</f>
        <v>6.1612610764013552E-3</v>
      </c>
    </row>
    <row r="165" spans="2:4" x14ac:dyDescent="0.2">
      <c r="B165" s="16">
        <v>45351</v>
      </c>
      <c r="C165" s="23">
        <v>203.06315612793</v>
      </c>
      <c r="D165" s="25">
        <f t="shared" si="5"/>
        <v>0.14707493433901131</v>
      </c>
    </row>
    <row r="166" spans="2:4" x14ac:dyDescent="0.2">
      <c r="B166" s="16">
        <v>45382</v>
      </c>
      <c r="C166" s="23">
        <v>202.91796875</v>
      </c>
      <c r="D166" s="25">
        <f t="shared" si="5"/>
        <v>-7.149863160726801E-4</v>
      </c>
    </row>
    <row r="167" spans="2:4" x14ac:dyDescent="0.2">
      <c r="B167" s="16">
        <v>45412</v>
      </c>
      <c r="C167" s="23">
        <v>208.19297790527301</v>
      </c>
      <c r="D167" s="25">
        <f t="shared" si="5"/>
        <v>2.5995771531558912E-2</v>
      </c>
    </row>
    <row r="168" spans="2:4" x14ac:dyDescent="0.2">
      <c r="B168" s="16">
        <v>45443</v>
      </c>
      <c r="C168" s="23">
        <v>220.14639282226599</v>
      </c>
      <c r="D168" s="25">
        <f t="shared" si="5"/>
        <v>5.7415072483528916E-2</v>
      </c>
    </row>
    <row r="169" spans="2:4" x14ac:dyDescent="0.2">
      <c r="B169" s="16">
        <v>45473</v>
      </c>
      <c r="C169" s="23">
        <v>220.34265136718801</v>
      </c>
      <c r="D169" s="25">
        <f t="shared" si="5"/>
        <v>8.9149107739623689E-4</v>
      </c>
    </row>
    <row r="170" spans="2:4" x14ac:dyDescent="0.2">
      <c r="B170" s="16">
        <v>45504</v>
      </c>
      <c r="C170" s="23">
        <v>218.91824340820301</v>
      </c>
      <c r="D170" s="25">
        <f t="shared" si="5"/>
        <v>-6.4645131124037736E-3</v>
      </c>
    </row>
    <row r="171" spans="2:4" x14ac:dyDescent="0.2">
      <c r="B171" s="16">
        <v>45535</v>
      </c>
      <c r="C171" s="23">
        <v>225.647384643555</v>
      </c>
      <c r="D171" s="25">
        <f t="shared" si="5"/>
        <v>3.0738147404209638E-2</v>
      </c>
    </row>
    <row r="172" spans="2:4" x14ac:dyDescent="0.2">
      <c r="B172" s="16">
        <v>45565</v>
      </c>
      <c r="C172" s="23">
        <v>232.03269958496099</v>
      </c>
      <c r="D172" s="25">
        <f t="shared" si="5"/>
        <v>2.8297757368172419E-2</v>
      </c>
    </row>
    <row r="173" spans="2:4" x14ac:dyDescent="0.2">
      <c r="B173" s="16">
        <v>45596</v>
      </c>
      <c r="C173" s="23">
        <v>233.015060424805</v>
      </c>
      <c r="D173" s="25">
        <f t="shared" si="5"/>
        <v>4.2337172372737273E-3</v>
      </c>
    </row>
    <row r="174" spans="2:4" x14ac:dyDescent="0.2">
      <c r="B174" s="16">
        <v>45626</v>
      </c>
      <c r="C174" s="23">
        <v>239.20390319824199</v>
      </c>
      <c r="D174" s="25">
        <f t="shared" si="5"/>
        <v>2.655984021871477E-2</v>
      </c>
    </row>
    <row r="175" spans="2:4" x14ac:dyDescent="0.2">
      <c r="B175" s="16">
        <v>45657</v>
      </c>
      <c r="C175" s="23">
        <v>236.64978027343801</v>
      </c>
      <c r="D175" s="25">
        <f t="shared" si="5"/>
        <v>-1.067759719074161E-2</v>
      </c>
    </row>
    <row r="176" spans="2:4" x14ac:dyDescent="0.2">
      <c r="B176" s="16">
        <v>45688</v>
      </c>
      <c r="C176" s="23">
        <v>241.02127075195301</v>
      </c>
      <c r="D176" s="25">
        <f t="shared" si="5"/>
        <v>1.8472404552685163E-2</v>
      </c>
    </row>
    <row r="177" spans="2:4" x14ac:dyDescent="0.2">
      <c r="B177" s="16">
        <v>45716</v>
      </c>
      <c r="C177" s="23">
        <v>229.82238769531301</v>
      </c>
      <c r="D177" s="25">
        <f t="shared" si="5"/>
        <v>-4.6464293469622137E-2</v>
      </c>
    </row>
    <row r="178" spans="2:4" x14ac:dyDescent="0.2">
      <c r="B178" s="16">
        <v>45747</v>
      </c>
      <c r="C178" s="23">
        <v>207.03172302246099</v>
      </c>
      <c r="D178" s="25">
        <f t="shared" si="5"/>
        <v>-9.9166425435744485E-2</v>
      </c>
    </row>
    <row r="179" spans="2:4" x14ac:dyDescent="0.2">
      <c r="B179" s="16">
        <v>45777</v>
      </c>
      <c r="C179" s="23">
        <v>200.59727478027301</v>
      </c>
      <c r="D179" s="25">
        <f t="shared" si="5"/>
        <v>-3.1079528046481581E-2</v>
      </c>
    </row>
    <row r="180" spans="2:4" x14ac:dyDescent="0.2">
      <c r="B180" s="16">
        <v>45808</v>
      </c>
      <c r="C180" s="23">
        <v>217.44470214843801</v>
      </c>
      <c r="D180" s="25">
        <f t="shared" si="5"/>
        <v>8.3986322279896677E-2</v>
      </c>
    </row>
    <row r="181" spans="2:4" x14ac:dyDescent="0.2">
      <c r="B181" s="16">
        <v>45838</v>
      </c>
      <c r="C181" s="23">
        <v>225.80000305175801</v>
      </c>
      <c r="D181" s="25">
        <f t="shared" si="5"/>
        <v>3.8424945840328073E-2</v>
      </c>
    </row>
    <row r="182" spans="2:4" x14ac:dyDescent="0.2">
      <c r="B182" s="16">
        <v>45869</v>
      </c>
      <c r="C182" s="23">
        <v>228.25</v>
      </c>
      <c r="D182" s="25">
        <f t="shared" si="5"/>
        <v>1.085029634689774E-2</v>
      </c>
    </row>
    <row r="183" spans="2:4" x14ac:dyDescent="0.2">
      <c r="B183" s="16">
        <v>45900</v>
      </c>
      <c r="C183" s="23">
        <v>210.05000305175801</v>
      </c>
      <c r="D183" s="25">
        <f t="shared" si="5"/>
        <v>-7.9737116969296779E-2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7" tint="0.79998168889431442"/>
  </sheetPr>
  <dimension ref="B2:F183"/>
  <sheetViews>
    <sheetView showGridLines="0" workbookViewId="0">
      <selection activeCell="D2" sqref="D2"/>
    </sheetView>
  </sheetViews>
  <sheetFormatPr baseColWidth="10" defaultColWidth="10.83203125" defaultRowHeight="15" x14ac:dyDescent="0.2"/>
  <cols>
    <col min="3" max="3" width="11.6640625" bestFit="1" customWidth="1"/>
  </cols>
  <sheetData>
    <row r="2" spans="2:4" x14ac:dyDescent="0.2">
      <c r="B2" s="21" t="s">
        <v>308</v>
      </c>
      <c r="C2" t="s">
        <v>32</v>
      </c>
      <c r="D2" t="s">
        <v>310</v>
      </c>
    </row>
    <row r="3" spans="2:4" x14ac:dyDescent="0.2">
      <c r="B3" s="16" t="s">
        <v>237</v>
      </c>
      <c r="C3" s="23">
        <v>15.063585281372101</v>
      </c>
    </row>
    <row r="4" spans="2:4" x14ac:dyDescent="0.2">
      <c r="B4" s="16">
        <v>40451</v>
      </c>
      <c r="C4" s="23">
        <v>15.445585250854499</v>
      </c>
      <c r="D4" s="25">
        <f t="shared" ref="D4:D35" si="0">(C4-C3)/C3</f>
        <v>2.5359166649043825E-2</v>
      </c>
    </row>
    <row r="5" spans="2:4" x14ac:dyDescent="0.2">
      <c r="B5" s="16">
        <v>40482</v>
      </c>
      <c r="C5" s="23">
        <v>15.9522047042847</v>
      </c>
      <c r="D5" s="25">
        <f t="shared" si="0"/>
        <v>3.2800275625824722E-2</v>
      </c>
    </row>
    <row r="6" spans="2:4" x14ac:dyDescent="0.2">
      <c r="B6" s="16">
        <v>40512</v>
      </c>
      <c r="C6" s="23">
        <v>15.245397567749</v>
      </c>
      <c r="D6" s="25">
        <f t="shared" si="0"/>
        <v>-4.4307802566365885E-2</v>
      </c>
    </row>
    <row r="7" spans="2:4" x14ac:dyDescent="0.2">
      <c r="B7" s="16">
        <v>40543</v>
      </c>
      <c r="C7" s="23">
        <v>16.664608001708999</v>
      </c>
      <c r="D7" s="25">
        <f t="shared" si="0"/>
        <v>9.3091074053869113E-2</v>
      </c>
    </row>
    <row r="8" spans="2:4" x14ac:dyDescent="0.2">
      <c r="B8" s="16">
        <v>40574</v>
      </c>
      <c r="C8" s="23">
        <v>17.952804565429702</v>
      </c>
      <c r="D8" s="25">
        <f t="shared" si="0"/>
        <v>7.730134207708908E-2</v>
      </c>
    </row>
    <row r="9" spans="2:4" x14ac:dyDescent="0.2">
      <c r="B9" s="16">
        <v>40602</v>
      </c>
      <c r="C9" s="23">
        <v>18.6652011871338</v>
      </c>
      <c r="D9" s="25">
        <f t="shared" si="0"/>
        <v>3.9681634092753618E-2</v>
      </c>
    </row>
    <row r="10" spans="2:4" x14ac:dyDescent="0.2">
      <c r="B10" s="16">
        <v>40633</v>
      </c>
      <c r="C10" s="23">
        <v>18.053668975830099</v>
      </c>
      <c r="D10" s="25">
        <f t="shared" si="0"/>
        <v>-3.2763226346857625E-2</v>
      </c>
    </row>
    <row r="11" spans="2:4" x14ac:dyDescent="0.2">
      <c r="B11" s="16">
        <v>40663</v>
      </c>
      <c r="C11" s="23">
        <v>18.165054321289102</v>
      </c>
      <c r="D11" s="25">
        <f t="shared" si="0"/>
        <v>6.169679172035483E-3</v>
      </c>
    </row>
    <row r="12" spans="2:4" x14ac:dyDescent="0.2">
      <c r="B12" s="16">
        <v>40694</v>
      </c>
      <c r="C12" s="23">
        <v>16.824316024780298</v>
      </c>
      <c r="D12" s="25">
        <f t="shared" si="0"/>
        <v>-7.3808658801393354E-2</v>
      </c>
    </row>
    <row r="13" spans="2:4" x14ac:dyDescent="0.2">
      <c r="B13" s="16">
        <v>40724</v>
      </c>
      <c r="C13" s="23">
        <v>17.2398071289063</v>
      </c>
      <c r="D13" s="25">
        <f t="shared" si="0"/>
        <v>2.4695868974051037E-2</v>
      </c>
    </row>
    <row r="14" spans="2:4" x14ac:dyDescent="0.2">
      <c r="B14" s="16">
        <v>40755</v>
      </c>
      <c r="C14" s="23">
        <v>16.331995010376001</v>
      </c>
      <c r="D14" s="25">
        <f t="shared" si="0"/>
        <v>-5.2657904566006025E-2</v>
      </c>
    </row>
    <row r="15" spans="2:4" x14ac:dyDescent="0.2">
      <c r="B15" s="16">
        <v>40786</v>
      </c>
      <c r="C15" s="23">
        <v>14.6784753799438</v>
      </c>
      <c r="D15" s="25">
        <f t="shared" si="0"/>
        <v>-0.10124419150150926</v>
      </c>
    </row>
    <row r="16" spans="2:4" x14ac:dyDescent="0.2">
      <c r="B16" s="16">
        <v>40816</v>
      </c>
      <c r="C16" s="23">
        <v>14.3672332763672</v>
      </c>
      <c r="D16" s="25">
        <f t="shared" si="0"/>
        <v>-2.1203980353563901E-2</v>
      </c>
    </row>
    <row r="17" spans="2:4" x14ac:dyDescent="0.2">
      <c r="B17" s="16">
        <v>40847</v>
      </c>
      <c r="C17" s="23">
        <v>16.635114669799801</v>
      </c>
      <c r="D17" s="25">
        <f t="shared" si="0"/>
        <v>0.15785094804321589</v>
      </c>
    </row>
    <row r="18" spans="2:4" x14ac:dyDescent="0.2">
      <c r="B18" s="16">
        <v>40877</v>
      </c>
      <c r="C18" s="23">
        <v>16.863868713378899</v>
      </c>
      <c r="D18" s="25">
        <f t="shared" si="0"/>
        <v>1.3751275426696593E-2</v>
      </c>
    </row>
    <row r="19" spans="2:4" x14ac:dyDescent="0.2">
      <c r="B19" s="16">
        <v>40908</v>
      </c>
      <c r="C19" s="23">
        <v>17.376359939575199</v>
      </c>
      <c r="D19" s="25">
        <f t="shared" si="0"/>
        <v>3.0389896583440334E-2</v>
      </c>
    </row>
    <row r="20" spans="2:4" x14ac:dyDescent="0.2">
      <c r="B20" s="16">
        <v>40939</v>
      </c>
      <c r="C20" s="23">
        <v>18.053695678710898</v>
      </c>
      <c r="D20" s="25">
        <f t="shared" si="0"/>
        <v>3.8980300908307404E-2</v>
      </c>
    </row>
    <row r="21" spans="2:4" x14ac:dyDescent="0.2">
      <c r="B21" s="16">
        <v>40968</v>
      </c>
      <c r="C21" s="23">
        <v>18.761903762817401</v>
      </c>
      <c r="D21" s="25">
        <f t="shared" si="0"/>
        <v>3.9227873157385074E-2</v>
      </c>
    </row>
    <row r="22" spans="2:4" x14ac:dyDescent="0.2">
      <c r="B22" s="16">
        <v>40999</v>
      </c>
      <c r="C22" s="23">
        <v>17.0863361358643</v>
      </c>
      <c r="D22" s="25">
        <f t="shared" si="0"/>
        <v>-8.9306908730326345E-2</v>
      </c>
    </row>
    <row r="23" spans="2:4" x14ac:dyDescent="0.2">
      <c r="B23" s="16">
        <v>41029</v>
      </c>
      <c r="C23" s="23">
        <v>16.335676193237301</v>
      </c>
      <c r="D23" s="25">
        <f t="shared" si="0"/>
        <v>-4.3933347480584826E-2</v>
      </c>
    </row>
    <row r="24" spans="2:4" x14ac:dyDescent="0.2">
      <c r="B24" s="16">
        <v>41060</v>
      </c>
      <c r="C24" s="23">
        <v>15.7446537017822</v>
      </c>
      <c r="D24" s="25">
        <f t="shared" si="0"/>
        <v>-3.6179860843457139E-2</v>
      </c>
    </row>
    <row r="25" spans="2:4" x14ac:dyDescent="0.2">
      <c r="B25" s="16">
        <v>41090</v>
      </c>
      <c r="C25" s="23">
        <v>16.0775260925293</v>
      </c>
      <c r="D25" s="25">
        <f t="shared" si="0"/>
        <v>2.1141931544002224E-2</v>
      </c>
    </row>
    <row r="26" spans="2:4" x14ac:dyDescent="0.2">
      <c r="B26" s="16">
        <v>41121</v>
      </c>
      <c r="C26" s="23">
        <v>17.309326171875</v>
      </c>
      <c r="D26" s="25">
        <f t="shared" si="0"/>
        <v>7.6616269956985283E-2</v>
      </c>
    </row>
    <row r="27" spans="2:4" x14ac:dyDescent="0.2">
      <c r="B27" s="16">
        <v>41152</v>
      </c>
      <c r="C27" s="23">
        <v>18.2759494781494</v>
      </c>
      <c r="D27" s="25">
        <f t="shared" si="0"/>
        <v>5.5844074845906741E-2</v>
      </c>
    </row>
    <row r="28" spans="2:4" x14ac:dyDescent="0.2">
      <c r="B28" s="16">
        <v>41182</v>
      </c>
      <c r="C28" s="23">
        <v>17.767326354980501</v>
      </c>
      <c r="D28" s="25">
        <f t="shared" si="0"/>
        <v>-2.7830188728471015E-2</v>
      </c>
    </row>
    <row r="29" spans="2:4" x14ac:dyDescent="0.2">
      <c r="B29" s="16">
        <v>41213</v>
      </c>
      <c r="C29" s="23">
        <v>18.1217555999756</v>
      </c>
      <c r="D29" s="25">
        <f t="shared" si="0"/>
        <v>1.9948372530217331E-2</v>
      </c>
    </row>
    <row r="30" spans="2:4" x14ac:dyDescent="0.2">
      <c r="B30" s="16">
        <v>41243</v>
      </c>
      <c r="C30" s="23">
        <v>17.960700988769499</v>
      </c>
      <c r="D30" s="25">
        <f t="shared" si="0"/>
        <v>-8.8873625029088094E-3</v>
      </c>
    </row>
    <row r="31" spans="2:4" x14ac:dyDescent="0.2">
      <c r="B31" s="16">
        <v>41274</v>
      </c>
      <c r="C31" s="23">
        <v>18.21044921875</v>
      </c>
      <c r="D31" s="25">
        <f t="shared" si="0"/>
        <v>1.3905260720985432E-2</v>
      </c>
    </row>
    <row r="32" spans="2:4" x14ac:dyDescent="0.2">
      <c r="B32" s="16">
        <v>41305</v>
      </c>
      <c r="C32" s="23">
        <v>18.922853469848601</v>
      </c>
      <c r="D32" s="25">
        <f t="shared" si="0"/>
        <v>3.9120630278855997E-2</v>
      </c>
    </row>
    <row r="33" spans="2:4" x14ac:dyDescent="0.2">
      <c r="B33" s="16">
        <v>41333</v>
      </c>
      <c r="C33" s="23">
        <v>18.148025512695298</v>
      </c>
      <c r="D33" s="25">
        <f t="shared" si="0"/>
        <v>-4.0946676376683998E-2</v>
      </c>
    </row>
    <row r="34" spans="2:4" x14ac:dyDescent="0.2">
      <c r="B34" s="16">
        <v>41364</v>
      </c>
      <c r="C34" s="23">
        <v>17.702562332153299</v>
      </c>
      <c r="D34" s="25">
        <f t="shared" si="0"/>
        <v>-2.45460962257508E-2</v>
      </c>
    </row>
    <row r="35" spans="2:4" x14ac:dyDescent="0.2">
      <c r="B35" s="16">
        <v>41394</v>
      </c>
      <c r="C35" s="23">
        <v>18.413570404052699</v>
      </c>
      <c r="D35" s="25">
        <f t="shared" si="0"/>
        <v>4.0164133223131795E-2</v>
      </c>
    </row>
    <row r="36" spans="2:4" x14ac:dyDescent="0.2">
      <c r="B36" s="16">
        <v>41425</v>
      </c>
      <c r="C36" s="23">
        <v>18.565126419067401</v>
      </c>
      <c r="D36" s="25">
        <f t="shared" ref="D36:D67" si="1">(C36-C35)/C35</f>
        <v>8.230669646846182E-3</v>
      </c>
    </row>
    <row r="37" spans="2:4" x14ac:dyDescent="0.2">
      <c r="B37" s="16">
        <v>41455</v>
      </c>
      <c r="C37" s="23">
        <v>18.045495986938501</v>
      </c>
      <c r="D37" s="25">
        <f t="shared" si="1"/>
        <v>-2.7989598368433961E-2</v>
      </c>
    </row>
    <row r="38" spans="2:4" x14ac:dyDescent="0.2">
      <c r="B38" s="16">
        <v>41486</v>
      </c>
      <c r="C38" s="23">
        <v>19.611021041870099</v>
      </c>
      <c r="D38" s="25">
        <f t="shared" si="1"/>
        <v>8.6754337817300214E-2</v>
      </c>
    </row>
    <row r="39" spans="2:4" x14ac:dyDescent="0.2">
      <c r="B39" s="16">
        <v>41517</v>
      </c>
      <c r="C39" s="23">
        <v>20.498659133911101</v>
      </c>
      <c r="D39" s="25">
        <f t="shared" si="1"/>
        <v>4.5262206906303774E-2</v>
      </c>
    </row>
    <row r="40" spans="2:4" x14ac:dyDescent="0.2">
      <c r="B40" s="16">
        <v>41547</v>
      </c>
      <c r="C40" s="23">
        <v>20.9779357910156</v>
      </c>
      <c r="D40" s="25">
        <f t="shared" si="1"/>
        <v>2.3380878425927284E-2</v>
      </c>
    </row>
    <row r="41" spans="2:4" x14ac:dyDescent="0.2">
      <c r="B41" s="16">
        <v>41578</v>
      </c>
      <c r="C41" s="23">
        <v>22.447069168090799</v>
      </c>
      <c r="D41" s="25">
        <f t="shared" si="1"/>
        <v>7.003231355605527E-2</v>
      </c>
    </row>
    <row r="42" spans="2:4" x14ac:dyDescent="0.2">
      <c r="B42" s="16">
        <v>41608</v>
      </c>
      <c r="C42" s="23">
        <v>22.114820480346701</v>
      </c>
      <c r="D42" s="25">
        <f t="shared" si="1"/>
        <v>-1.4801428429525212E-2</v>
      </c>
    </row>
    <row r="43" spans="2:4" x14ac:dyDescent="0.2">
      <c r="B43" s="16">
        <v>41639</v>
      </c>
      <c r="C43" s="23">
        <v>22.082588195800799</v>
      </c>
      <c r="D43" s="25">
        <f t="shared" si="1"/>
        <v>-1.4574970018204133E-3</v>
      </c>
    </row>
    <row r="44" spans="2:4" x14ac:dyDescent="0.2">
      <c r="B44" s="16">
        <v>41670</v>
      </c>
      <c r="C44" s="23">
        <v>21.2989177703857</v>
      </c>
      <c r="D44" s="25">
        <f t="shared" si="1"/>
        <v>-3.5488160104535274E-2</v>
      </c>
    </row>
    <row r="45" spans="2:4" x14ac:dyDescent="0.2">
      <c r="B45" s="16">
        <v>41698</v>
      </c>
      <c r="C45" s="23">
        <v>23.658199310302699</v>
      </c>
      <c r="D45" s="25">
        <f t="shared" si="1"/>
        <v>0.11077001964848072</v>
      </c>
    </row>
    <row r="46" spans="2:4" x14ac:dyDescent="0.2">
      <c r="B46" s="16">
        <v>41729</v>
      </c>
      <c r="C46" s="23">
        <v>23.944940567016602</v>
      </c>
      <c r="D46" s="25">
        <f t="shared" si="1"/>
        <v>1.2120164047693702E-2</v>
      </c>
    </row>
    <row r="47" spans="2:4" x14ac:dyDescent="0.2">
      <c r="B47" s="16">
        <v>41759</v>
      </c>
      <c r="C47" s="23">
        <v>26.2220153808594</v>
      </c>
      <c r="D47" s="25">
        <f t="shared" si="1"/>
        <v>9.5096281716372133E-2</v>
      </c>
    </row>
    <row r="48" spans="2:4" x14ac:dyDescent="0.2">
      <c r="B48" s="16">
        <v>41790</v>
      </c>
      <c r="C48" s="23">
        <v>26.2220153808594</v>
      </c>
      <c r="D48" s="25">
        <f t="shared" si="1"/>
        <v>0</v>
      </c>
    </row>
    <row r="49" spans="2:4" x14ac:dyDescent="0.2">
      <c r="B49" s="16">
        <v>41820</v>
      </c>
      <c r="C49" s="23">
        <v>26.884183883666999</v>
      </c>
      <c r="D49" s="25">
        <f t="shared" si="1"/>
        <v>2.5252387857683328E-2</v>
      </c>
    </row>
    <row r="50" spans="2:4" x14ac:dyDescent="0.2">
      <c r="B50" s="16">
        <v>41851</v>
      </c>
      <c r="C50" s="23">
        <v>24.7890014648438</v>
      </c>
      <c r="D50" s="25">
        <f t="shared" si="1"/>
        <v>-7.7933644104260485E-2</v>
      </c>
    </row>
    <row r="51" spans="2:4" x14ac:dyDescent="0.2">
      <c r="B51" s="16">
        <v>41882</v>
      </c>
      <c r="C51" s="23">
        <v>25.871498107910199</v>
      </c>
      <c r="D51" s="25">
        <f t="shared" si="1"/>
        <v>4.366842466815838E-2</v>
      </c>
    </row>
    <row r="52" spans="2:4" x14ac:dyDescent="0.2">
      <c r="B52" s="16">
        <v>41912</v>
      </c>
      <c r="C52" s="23">
        <v>26.520988464355501</v>
      </c>
      <c r="D52" s="25">
        <f t="shared" si="1"/>
        <v>2.510447418762814E-2</v>
      </c>
    </row>
    <row r="53" spans="2:4" x14ac:dyDescent="0.2">
      <c r="B53" s="16">
        <v>41943</v>
      </c>
      <c r="C53" s="23">
        <v>24.7447395324707</v>
      </c>
      <c r="D53" s="25">
        <f t="shared" si="1"/>
        <v>-6.6975216035861526E-2</v>
      </c>
    </row>
    <row r="54" spans="2:4" x14ac:dyDescent="0.2">
      <c r="B54" s="16">
        <v>41973</v>
      </c>
      <c r="C54" s="23">
        <v>23.476718902587901</v>
      </c>
      <c r="D54" s="25">
        <f t="shared" si="1"/>
        <v>-5.1244048385268644E-2</v>
      </c>
    </row>
    <row r="55" spans="2:4" x14ac:dyDescent="0.2">
      <c r="B55" s="16">
        <v>42004</v>
      </c>
      <c r="C55" s="23">
        <v>22.187822341918899</v>
      </c>
      <c r="D55" s="25">
        <f t="shared" si="1"/>
        <v>-5.4901051804429266E-2</v>
      </c>
    </row>
    <row r="56" spans="2:4" x14ac:dyDescent="0.2">
      <c r="B56" s="16">
        <v>42035</v>
      </c>
      <c r="C56" s="23">
        <v>24.100234985351602</v>
      </c>
      <c r="D56" s="25">
        <f t="shared" si="1"/>
        <v>8.6191993696453431E-2</v>
      </c>
    </row>
    <row r="57" spans="2:4" x14ac:dyDescent="0.2">
      <c r="B57" s="16">
        <v>42063</v>
      </c>
      <c r="C57" s="23">
        <v>25.5488986968994</v>
      </c>
      <c r="D57" s="25">
        <f t="shared" si="1"/>
        <v>6.0109941352369078E-2</v>
      </c>
    </row>
    <row r="58" spans="2:4" x14ac:dyDescent="0.2">
      <c r="B58" s="16">
        <v>42094</v>
      </c>
      <c r="C58" s="23">
        <v>24.5107307434082</v>
      </c>
      <c r="D58" s="25">
        <f t="shared" si="1"/>
        <v>-4.0634548119179471E-2</v>
      </c>
    </row>
    <row r="59" spans="2:4" x14ac:dyDescent="0.2">
      <c r="B59" s="16">
        <v>42124</v>
      </c>
      <c r="C59" s="23">
        <v>26.014448165893601</v>
      </c>
      <c r="D59" s="25">
        <f t="shared" si="1"/>
        <v>6.1349350952737462E-2</v>
      </c>
    </row>
    <row r="60" spans="2:4" x14ac:dyDescent="0.2">
      <c r="B60" s="16">
        <v>42155</v>
      </c>
      <c r="C60" s="23">
        <v>24.6677150726318</v>
      </c>
      <c r="D60" s="25">
        <f t="shared" si="1"/>
        <v>-5.1768658888080625E-2</v>
      </c>
    </row>
    <row r="61" spans="2:4" x14ac:dyDescent="0.2">
      <c r="B61" s="16">
        <v>42185</v>
      </c>
      <c r="C61" s="23">
        <v>23.377315521240199</v>
      </c>
      <c r="D61" s="25">
        <f t="shared" si="1"/>
        <v>-5.2311271943596707E-2</v>
      </c>
    </row>
    <row r="62" spans="2:4" x14ac:dyDescent="0.2">
      <c r="B62" s="16">
        <v>42216</v>
      </c>
      <c r="C62" s="23">
        <v>24.513065338134801</v>
      </c>
      <c r="D62" s="25">
        <f t="shared" si="1"/>
        <v>4.8583414800672083E-2</v>
      </c>
    </row>
    <row r="63" spans="2:4" x14ac:dyDescent="0.2">
      <c r="B63" s="16">
        <v>42247</v>
      </c>
      <c r="C63" s="23">
        <v>22.190923690795898</v>
      </c>
      <c r="D63" s="25">
        <f t="shared" si="1"/>
        <v>-9.4730773785617242E-2</v>
      </c>
    </row>
    <row r="64" spans="2:4" x14ac:dyDescent="0.2">
      <c r="B64" s="16">
        <v>42277</v>
      </c>
      <c r="C64" s="23">
        <v>21.861900329589801</v>
      </c>
      <c r="D64" s="25">
        <f t="shared" si="1"/>
        <v>-1.4826934010978818E-2</v>
      </c>
    </row>
    <row r="65" spans="2:4" x14ac:dyDescent="0.2">
      <c r="B65" s="16">
        <v>42308</v>
      </c>
      <c r="C65" s="23">
        <v>24.3754787445068</v>
      </c>
      <c r="D65" s="25">
        <f t="shared" si="1"/>
        <v>0.1149752938684339</v>
      </c>
    </row>
    <row r="66" spans="2:4" x14ac:dyDescent="0.2">
      <c r="B66" s="16">
        <v>42338</v>
      </c>
      <c r="C66" s="23">
        <v>25.9519233703613</v>
      </c>
      <c r="D66" s="25">
        <f t="shared" si="1"/>
        <v>6.4673381080146503E-2</v>
      </c>
    </row>
    <row r="67" spans="2:4" x14ac:dyDescent="0.2">
      <c r="B67" s="16">
        <v>42369</v>
      </c>
      <c r="C67" s="23">
        <v>22.7852382659912</v>
      </c>
      <c r="D67" s="25">
        <f t="shared" si="1"/>
        <v>-0.12202121049673911</v>
      </c>
    </row>
    <row r="68" spans="2:4" x14ac:dyDescent="0.2">
      <c r="B68" s="16">
        <v>42400</v>
      </c>
      <c r="C68" s="23">
        <v>22.927656173706101</v>
      </c>
      <c r="D68" s="25">
        <f t="shared" ref="D68:D99" si="2">(C68-C67)/C67</f>
        <v>6.2504462780830676E-3</v>
      </c>
    </row>
    <row r="69" spans="2:4" x14ac:dyDescent="0.2">
      <c r="B69" s="16">
        <v>42429</v>
      </c>
      <c r="C69" s="23">
        <v>23.182601928710898</v>
      </c>
      <c r="D69" s="25">
        <f t="shared" si="2"/>
        <v>1.1119573369090143E-2</v>
      </c>
    </row>
    <row r="70" spans="2:4" x14ac:dyDescent="0.2">
      <c r="B70" s="16">
        <v>42460</v>
      </c>
      <c r="C70" s="23">
        <v>22.445796966552699</v>
      </c>
      <c r="D70" s="25">
        <f t="shared" si="2"/>
        <v>-3.1782668935262638E-2</v>
      </c>
    </row>
    <row r="71" spans="2:4" x14ac:dyDescent="0.2">
      <c r="B71" s="16">
        <v>42490</v>
      </c>
      <c r="C71" s="23">
        <v>24.969301223754901</v>
      </c>
      <c r="D71" s="25">
        <f t="shared" si="2"/>
        <v>0.11242658306865055</v>
      </c>
    </row>
    <row r="72" spans="2:4" x14ac:dyDescent="0.2">
      <c r="B72" s="16">
        <v>42521</v>
      </c>
      <c r="C72" s="23">
        <v>24.8243618011475</v>
      </c>
      <c r="D72" s="25">
        <f t="shared" si="2"/>
        <v>-5.8047047976460941E-3</v>
      </c>
    </row>
    <row r="73" spans="2:4" x14ac:dyDescent="0.2">
      <c r="B73" s="16">
        <v>42551</v>
      </c>
      <c r="C73" s="23">
        <v>24.656688690185501</v>
      </c>
      <c r="D73" s="25">
        <f t="shared" si="2"/>
        <v>-6.7543775064641811E-3</v>
      </c>
    </row>
    <row r="74" spans="2:4" x14ac:dyDescent="0.2">
      <c r="B74" s="16">
        <v>42582</v>
      </c>
      <c r="C74" s="23">
        <v>24.6599426269531</v>
      </c>
      <c r="D74" s="25">
        <f t="shared" si="2"/>
        <v>1.3196973886013568E-4</v>
      </c>
    </row>
    <row r="75" spans="2:4" x14ac:dyDescent="0.2">
      <c r="B75" s="16">
        <v>42613</v>
      </c>
      <c r="C75" s="23">
        <v>24.654176712036101</v>
      </c>
      <c r="D75" s="25">
        <f t="shared" si="2"/>
        <v>-2.3381704508497917E-4</v>
      </c>
    </row>
    <row r="76" spans="2:4" x14ac:dyDescent="0.2">
      <c r="B76" s="16">
        <v>42643</v>
      </c>
      <c r="C76" s="23">
        <v>24.3196907043457</v>
      </c>
      <c r="D76" s="25">
        <f t="shared" si="2"/>
        <v>-1.3567113256193468E-2</v>
      </c>
    </row>
    <row r="77" spans="2:4" x14ac:dyDescent="0.2">
      <c r="B77" s="16">
        <v>42674</v>
      </c>
      <c r="C77" s="23">
        <v>25.587619781494102</v>
      </c>
      <c r="D77" s="25">
        <f t="shared" si="2"/>
        <v>5.2135904710409617E-2</v>
      </c>
    </row>
    <row r="78" spans="2:4" x14ac:dyDescent="0.2">
      <c r="B78" s="16">
        <v>42704</v>
      </c>
      <c r="C78" s="23">
        <v>26.310411453247099</v>
      </c>
      <c r="D78" s="25">
        <f t="shared" si="2"/>
        <v>2.824771033512646E-2</v>
      </c>
    </row>
    <row r="79" spans="2:4" x14ac:dyDescent="0.2">
      <c r="B79" s="16">
        <v>42735</v>
      </c>
      <c r="C79" s="23">
        <v>28.513917922973601</v>
      </c>
      <c r="D79" s="25">
        <f t="shared" si="2"/>
        <v>8.3750361473520649E-2</v>
      </c>
    </row>
    <row r="80" spans="2:4" x14ac:dyDescent="0.2">
      <c r="B80" s="16">
        <v>42766</v>
      </c>
      <c r="C80" s="23">
        <v>27.6578044891357</v>
      </c>
      <c r="D80" s="25">
        <f t="shared" si="2"/>
        <v>-3.0024405490349418E-2</v>
      </c>
    </row>
    <row r="81" spans="2:4" x14ac:dyDescent="0.2">
      <c r="B81" s="16">
        <v>42794</v>
      </c>
      <c r="C81" s="23">
        <v>27.888975143432599</v>
      </c>
      <c r="D81" s="25">
        <f t="shared" si="2"/>
        <v>8.3582431276389389E-3</v>
      </c>
    </row>
    <row r="82" spans="2:4" x14ac:dyDescent="0.2">
      <c r="B82" s="16">
        <v>42825</v>
      </c>
      <c r="C82" s="23">
        <v>28.105329513549801</v>
      </c>
      <c r="D82" s="25">
        <f t="shared" si="2"/>
        <v>7.7577024255819473E-3</v>
      </c>
    </row>
    <row r="83" spans="2:4" x14ac:dyDescent="0.2">
      <c r="B83" s="16">
        <v>42855</v>
      </c>
      <c r="C83" s="23">
        <v>28.324945449829102</v>
      </c>
      <c r="D83" s="25">
        <f t="shared" si="2"/>
        <v>7.8140317185543713E-3</v>
      </c>
    </row>
    <row r="84" spans="2:4" x14ac:dyDescent="0.2">
      <c r="B84" s="16">
        <v>42886</v>
      </c>
      <c r="C84" s="23">
        <v>28.384981155395501</v>
      </c>
      <c r="D84" s="25">
        <f t="shared" si="2"/>
        <v>2.1195347285924383E-3</v>
      </c>
    </row>
    <row r="85" spans="2:4" x14ac:dyDescent="0.2">
      <c r="B85" s="16">
        <v>42916</v>
      </c>
      <c r="C85" s="23">
        <v>25.9920539855957</v>
      </c>
      <c r="D85" s="25">
        <f t="shared" si="2"/>
        <v>-8.4302580885981901E-2</v>
      </c>
    </row>
    <row r="86" spans="2:4" x14ac:dyDescent="0.2">
      <c r="B86" s="16">
        <v>42947</v>
      </c>
      <c r="C86" s="23">
        <v>26.143230438232401</v>
      </c>
      <c r="D86" s="25">
        <f t="shared" si="2"/>
        <v>5.8162564882513748E-3</v>
      </c>
    </row>
    <row r="87" spans="2:4" x14ac:dyDescent="0.2">
      <c r="B87" s="16">
        <v>42978</v>
      </c>
      <c r="C87" s="23">
        <v>26.438379287719702</v>
      </c>
      <c r="D87" s="25">
        <f t="shared" si="2"/>
        <v>1.128968549562526E-2</v>
      </c>
    </row>
    <row r="88" spans="2:4" x14ac:dyDescent="0.2">
      <c r="B88" s="16">
        <v>43008</v>
      </c>
      <c r="C88" s="23">
        <v>27.655473709106399</v>
      </c>
      <c r="D88" s="25">
        <f t="shared" si="2"/>
        <v>4.6035137333551406E-2</v>
      </c>
    </row>
    <row r="89" spans="2:4" x14ac:dyDescent="0.2">
      <c r="B89" s="16">
        <v>43039</v>
      </c>
      <c r="C89" s="23">
        <v>29.5297737121582</v>
      </c>
      <c r="D89" s="25">
        <f t="shared" si="2"/>
        <v>6.7773201890034176E-2</v>
      </c>
    </row>
    <row r="90" spans="2:4" x14ac:dyDescent="0.2">
      <c r="B90" s="16">
        <v>43069</v>
      </c>
      <c r="C90" s="23">
        <v>29.2429294586182</v>
      </c>
      <c r="D90" s="25">
        <f t="shared" si="2"/>
        <v>-9.7137301604820134E-3</v>
      </c>
    </row>
    <row r="91" spans="2:4" x14ac:dyDescent="0.2">
      <c r="B91" s="16">
        <v>43100</v>
      </c>
      <c r="C91" s="23">
        <v>28.4039707183838</v>
      </c>
      <c r="D91" s="25">
        <f t="shared" si="2"/>
        <v>-2.8689285094423051E-2</v>
      </c>
    </row>
    <row r="92" spans="2:4" x14ac:dyDescent="0.2">
      <c r="B92" s="16">
        <v>43131</v>
      </c>
      <c r="C92" s="23">
        <v>29.149578094482401</v>
      </c>
      <c r="D92" s="25">
        <f t="shared" si="2"/>
        <v>2.6250110714838334E-2</v>
      </c>
    </row>
    <row r="93" spans="2:4" x14ac:dyDescent="0.2">
      <c r="B93" s="16">
        <v>43159</v>
      </c>
      <c r="C93" s="23">
        <v>29.358974456787099</v>
      </c>
      <c r="D93" s="25">
        <f t="shared" si="2"/>
        <v>7.1835126267002095E-3</v>
      </c>
    </row>
    <row r="94" spans="2:4" x14ac:dyDescent="0.2">
      <c r="B94" s="16">
        <v>43190</v>
      </c>
      <c r="C94" s="23">
        <v>28.833929061889702</v>
      </c>
      <c r="D94" s="25">
        <f t="shared" si="2"/>
        <v>-1.7883642212033021E-2</v>
      </c>
    </row>
    <row r="95" spans="2:4" x14ac:dyDescent="0.2">
      <c r="B95" s="16">
        <v>43220</v>
      </c>
      <c r="C95" s="23">
        <v>33.139305114746101</v>
      </c>
      <c r="D95" s="25">
        <f t="shared" si="2"/>
        <v>0.14931631563687547</v>
      </c>
    </row>
    <row r="96" spans="2:4" x14ac:dyDescent="0.2">
      <c r="B96" s="16">
        <v>43251</v>
      </c>
      <c r="C96" s="23">
        <v>32.961986541748097</v>
      </c>
      <c r="D96" s="25">
        <f t="shared" si="2"/>
        <v>-5.3507028099723866E-3</v>
      </c>
    </row>
    <row r="97" spans="2:4" x14ac:dyDescent="0.2">
      <c r="B97" s="16">
        <v>43281</v>
      </c>
      <c r="C97" s="23">
        <v>33.063316345214801</v>
      </c>
      <c r="D97" s="25">
        <f t="shared" si="2"/>
        <v>3.0741412790265222E-3</v>
      </c>
    </row>
    <row r="98" spans="2:4" x14ac:dyDescent="0.2">
      <c r="B98" s="16">
        <v>43312</v>
      </c>
      <c r="C98" s="23">
        <v>35.792686462402301</v>
      </c>
      <c r="D98" s="25">
        <f t="shared" si="2"/>
        <v>8.2549798958159171E-2</v>
      </c>
    </row>
    <row r="99" spans="2:4" x14ac:dyDescent="0.2">
      <c r="B99" s="16">
        <v>43343</v>
      </c>
      <c r="C99" s="23">
        <v>34.517585754394503</v>
      </c>
      <c r="D99" s="25">
        <f t="shared" si="2"/>
        <v>-3.5624615921110082E-2</v>
      </c>
    </row>
    <row r="100" spans="2:4" x14ac:dyDescent="0.2">
      <c r="B100" s="16">
        <v>43373</v>
      </c>
      <c r="C100" s="23">
        <v>35.779876708984403</v>
      </c>
      <c r="D100" s="25">
        <f t="shared" ref="D100:D131" si="3">(C100-C99)/C99</f>
        <v>3.6569502964997946E-2</v>
      </c>
    </row>
    <row r="101" spans="2:4" x14ac:dyDescent="0.2">
      <c r="B101" s="16">
        <v>43404</v>
      </c>
      <c r="C101" s="23">
        <v>33.681926727294901</v>
      </c>
      <c r="D101" s="25">
        <f t="shared" si="3"/>
        <v>-5.863491366259245E-2</v>
      </c>
    </row>
    <row r="102" spans="2:4" x14ac:dyDescent="0.2">
      <c r="B102" s="16">
        <v>43434</v>
      </c>
      <c r="C102" s="23">
        <v>31.8701362609863</v>
      </c>
      <c r="D102" s="25">
        <f t="shared" si="3"/>
        <v>-5.3791176525551196E-2</v>
      </c>
    </row>
    <row r="103" spans="2:4" x14ac:dyDescent="0.2">
      <c r="B103" s="16">
        <v>43465</v>
      </c>
      <c r="C103" s="23">
        <v>29.935165405273398</v>
      </c>
      <c r="D103" s="25">
        <f t="shared" si="3"/>
        <v>-6.0714232278999955E-2</v>
      </c>
    </row>
    <row r="104" spans="2:4" x14ac:dyDescent="0.2">
      <c r="B104" s="16">
        <v>43496</v>
      </c>
      <c r="C104" s="23">
        <v>31.516887664794901</v>
      </c>
      <c r="D104" s="25">
        <f t="shared" si="3"/>
        <v>5.283826690474424E-2</v>
      </c>
    </row>
    <row r="105" spans="2:4" x14ac:dyDescent="0.2">
      <c r="B105" s="16">
        <v>43524</v>
      </c>
      <c r="C105" s="23">
        <v>32.837203979492202</v>
      </c>
      <c r="D105" s="25">
        <f t="shared" si="3"/>
        <v>4.1892344470679611E-2</v>
      </c>
    </row>
    <row r="106" spans="2:4" x14ac:dyDescent="0.2">
      <c r="B106" s="16">
        <v>43555</v>
      </c>
      <c r="C106" s="23">
        <v>32.528472900390597</v>
      </c>
      <c r="D106" s="25">
        <f t="shared" si="3"/>
        <v>-9.4018686638002655E-3</v>
      </c>
    </row>
    <row r="107" spans="2:4" x14ac:dyDescent="0.2">
      <c r="B107" s="16">
        <v>43585</v>
      </c>
      <c r="C107" s="23">
        <v>32.948322296142599</v>
      </c>
      <c r="D107" s="25">
        <f t="shared" si="3"/>
        <v>1.2907135143960644E-2</v>
      </c>
    </row>
    <row r="108" spans="2:4" x14ac:dyDescent="0.2">
      <c r="B108" s="16">
        <v>43616</v>
      </c>
      <c r="C108" s="23">
        <v>31.016437530517599</v>
      </c>
      <c r="D108" s="25">
        <f t="shared" si="3"/>
        <v>-5.8633782572024132E-2</v>
      </c>
    </row>
    <row r="109" spans="2:4" x14ac:dyDescent="0.2">
      <c r="B109" s="16">
        <v>43646</v>
      </c>
      <c r="C109" s="23">
        <v>32.768768310546903</v>
      </c>
      <c r="D109" s="25">
        <f t="shared" si="3"/>
        <v>5.6496842305153713E-2</v>
      </c>
    </row>
    <row r="110" spans="2:4" x14ac:dyDescent="0.2">
      <c r="B110" s="16">
        <v>43677</v>
      </c>
      <c r="C110" s="23">
        <v>31.6996059417725</v>
      </c>
      <c r="D110" s="25">
        <f t="shared" si="3"/>
        <v>-3.2627481101579411E-2</v>
      </c>
    </row>
    <row r="111" spans="2:4" x14ac:dyDescent="0.2">
      <c r="B111" s="16">
        <v>43708</v>
      </c>
      <c r="C111" s="23">
        <v>30.590944290161101</v>
      </c>
      <c r="D111" s="25">
        <f t="shared" si="3"/>
        <v>-3.4973988435308849E-2</v>
      </c>
    </row>
    <row r="112" spans="2:4" x14ac:dyDescent="0.2">
      <c r="B112" s="16">
        <v>43738</v>
      </c>
      <c r="C112" s="23">
        <v>32.272453308105497</v>
      </c>
      <c r="D112" s="25">
        <f t="shared" si="3"/>
        <v>5.4967542093338269E-2</v>
      </c>
    </row>
    <row r="113" spans="2:4" x14ac:dyDescent="0.2">
      <c r="B113" s="16">
        <v>43769</v>
      </c>
      <c r="C113" s="23">
        <v>32.215751647949197</v>
      </c>
      <c r="D113" s="25">
        <f t="shared" si="3"/>
        <v>-1.7569677648912622E-3</v>
      </c>
    </row>
    <row r="114" spans="2:4" x14ac:dyDescent="0.2">
      <c r="B114" s="16">
        <v>43799</v>
      </c>
      <c r="C114" s="23">
        <v>32.560909271240199</v>
      </c>
      <c r="D114" s="25">
        <f t="shared" si="3"/>
        <v>1.0713939785197394E-2</v>
      </c>
    </row>
    <row r="115" spans="2:4" x14ac:dyDescent="0.2">
      <c r="B115" s="16">
        <v>43830</v>
      </c>
      <c r="C115" s="23">
        <v>33.6271362304688</v>
      </c>
      <c r="D115" s="25">
        <f t="shared" si="3"/>
        <v>3.2745613777142218E-2</v>
      </c>
    </row>
    <row r="116" spans="2:4" x14ac:dyDescent="0.2">
      <c r="B116" s="16">
        <v>43861</v>
      </c>
      <c r="C116" s="23">
        <v>30.1721515655518</v>
      </c>
      <c r="D116" s="25">
        <f t="shared" si="3"/>
        <v>-0.10274394587864175</v>
      </c>
    </row>
    <row r="117" spans="2:4" x14ac:dyDescent="0.2">
      <c r="B117" s="16">
        <v>43890</v>
      </c>
      <c r="C117" s="23">
        <v>26.580116271972699</v>
      </c>
      <c r="D117" s="25">
        <f t="shared" si="3"/>
        <v>-0.11905134725891428</v>
      </c>
    </row>
    <row r="118" spans="2:4" x14ac:dyDescent="0.2">
      <c r="B118" s="16">
        <v>43921</v>
      </c>
      <c r="C118" s="23">
        <v>24.509382247924801</v>
      </c>
      <c r="D118" s="25">
        <f t="shared" si="3"/>
        <v>-7.7905378699617472E-2</v>
      </c>
    </row>
    <row r="119" spans="2:4" x14ac:dyDescent="0.2">
      <c r="B119" s="16">
        <v>43951</v>
      </c>
      <c r="C119" s="23">
        <v>23.240327835083001</v>
      </c>
      <c r="D119" s="25">
        <f t="shared" si="3"/>
        <v>-5.1778310852745001E-2</v>
      </c>
    </row>
    <row r="120" spans="2:4" x14ac:dyDescent="0.2">
      <c r="B120" s="16">
        <v>43982</v>
      </c>
      <c r="C120" s="23">
        <v>23.788621902465799</v>
      </c>
      <c r="D120" s="25">
        <f t="shared" si="3"/>
        <v>2.3592355119668652E-2</v>
      </c>
    </row>
    <row r="121" spans="2:4" x14ac:dyDescent="0.2">
      <c r="B121" s="16">
        <v>44012</v>
      </c>
      <c r="C121" s="23">
        <v>24.0362339019775</v>
      </c>
      <c r="D121" s="25">
        <f t="shared" si="3"/>
        <v>1.040884169444195E-2</v>
      </c>
    </row>
    <row r="122" spans="2:4" x14ac:dyDescent="0.2">
      <c r="B122" s="16">
        <v>44043</v>
      </c>
      <c r="C122" s="23">
        <v>22.5806560516357</v>
      </c>
      <c r="D122" s="25">
        <f t="shared" si="3"/>
        <v>-6.0557650432168895E-2</v>
      </c>
    </row>
    <row r="123" spans="2:4" x14ac:dyDescent="0.2">
      <c r="B123" s="16">
        <v>44074</v>
      </c>
      <c r="C123" s="23">
        <v>23.879224777221701</v>
      </c>
      <c r="D123" s="25">
        <f t="shared" si="3"/>
        <v>5.7508015826313229E-2</v>
      </c>
    </row>
    <row r="124" spans="2:4" x14ac:dyDescent="0.2">
      <c r="B124" s="16">
        <v>44104</v>
      </c>
      <c r="C124" s="23">
        <v>21.065660476684599</v>
      </c>
      <c r="D124" s="25">
        <f t="shared" si="3"/>
        <v>-0.1178247755857196</v>
      </c>
    </row>
    <row r="125" spans="2:4" x14ac:dyDescent="0.2">
      <c r="B125" s="16">
        <v>44135</v>
      </c>
      <c r="C125" s="23">
        <v>19.0606575012207</v>
      </c>
      <c r="D125" s="25">
        <f t="shared" si="3"/>
        <v>-9.5178737817550499E-2</v>
      </c>
    </row>
    <row r="126" spans="2:4" x14ac:dyDescent="0.2">
      <c r="B126" s="16">
        <v>44165</v>
      </c>
      <c r="C126" s="23">
        <v>26.446477890014702</v>
      </c>
      <c r="D126" s="25">
        <f t="shared" si="3"/>
        <v>0.3874903259932661</v>
      </c>
    </row>
    <row r="127" spans="2:4" x14ac:dyDescent="0.2">
      <c r="B127" s="16">
        <v>44196</v>
      </c>
      <c r="C127" s="23">
        <v>26.0589199066162</v>
      </c>
      <c r="D127" s="25">
        <f t="shared" si="3"/>
        <v>-1.4654427141877757E-2</v>
      </c>
    </row>
    <row r="128" spans="2:4" x14ac:dyDescent="0.2">
      <c r="B128" s="16">
        <v>44227</v>
      </c>
      <c r="C128" s="23">
        <v>25.759944915771499</v>
      </c>
      <c r="D128" s="25">
        <f t="shared" si="3"/>
        <v>-1.1473038480339846E-2</v>
      </c>
    </row>
    <row r="129" spans="2:4" x14ac:dyDescent="0.2">
      <c r="B129" s="16">
        <v>44255</v>
      </c>
      <c r="C129" s="23">
        <v>28.868677139282202</v>
      </c>
      <c r="D129" s="25">
        <f t="shared" si="3"/>
        <v>0.12068085679823737</v>
      </c>
    </row>
    <row r="130" spans="2:4" x14ac:dyDescent="0.2">
      <c r="B130" s="16">
        <v>44286</v>
      </c>
      <c r="C130" s="23">
        <v>29.921871185302699</v>
      </c>
      <c r="D130" s="25">
        <f t="shared" si="3"/>
        <v>3.6482241321248297E-2</v>
      </c>
    </row>
    <row r="131" spans="2:4" x14ac:dyDescent="0.2">
      <c r="B131" s="16">
        <v>44316</v>
      </c>
      <c r="C131" s="23">
        <v>28.166643142700199</v>
      </c>
      <c r="D131" s="25">
        <f t="shared" si="3"/>
        <v>-5.8660370260020675E-2</v>
      </c>
    </row>
    <row r="132" spans="2:4" x14ac:dyDescent="0.2">
      <c r="B132" s="16">
        <v>44347</v>
      </c>
      <c r="C132" s="23">
        <v>28.9927082061768</v>
      </c>
      <c r="D132" s="25">
        <f t="shared" ref="D132:D163" si="4">(C132-C131)/C131</f>
        <v>2.9327778226589579E-2</v>
      </c>
    </row>
    <row r="133" spans="2:4" x14ac:dyDescent="0.2">
      <c r="B133" s="16">
        <v>44377</v>
      </c>
      <c r="C133" s="23">
        <v>29.183925628662099</v>
      </c>
      <c r="D133" s="25">
        <f t="shared" si="4"/>
        <v>6.5953625692876817E-3</v>
      </c>
    </row>
    <row r="134" spans="2:4" x14ac:dyDescent="0.2">
      <c r="B134" s="16">
        <v>44408</v>
      </c>
      <c r="C134" s="23">
        <v>28.541498184204102</v>
      </c>
      <c r="D134" s="25">
        <f t="shared" si="4"/>
        <v>-2.2013057894687639E-2</v>
      </c>
    </row>
    <row r="135" spans="2:4" x14ac:dyDescent="0.2">
      <c r="B135" s="16">
        <v>44439</v>
      </c>
      <c r="C135" s="23">
        <v>29.043113708496101</v>
      </c>
      <c r="D135" s="25">
        <f t="shared" si="4"/>
        <v>1.757495423171624E-2</v>
      </c>
    </row>
    <row r="136" spans="2:4" x14ac:dyDescent="0.2">
      <c r="B136" s="16">
        <v>44469</v>
      </c>
      <c r="C136" s="23">
        <v>32.146121978759801</v>
      </c>
      <c r="D136" s="25">
        <f t="shared" si="4"/>
        <v>0.10684144618267857</v>
      </c>
    </row>
    <row r="137" spans="2:4" x14ac:dyDescent="0.2">
      <c r="B137" s="16">
        <v>44500</v>
      </c>
      <c r="C137" s="23">
        <v>34.327388763427699</v>
      </c>
      <c r="D137" s="25">
        <f t="shared" si="4"/>
        <v>6.785474111338051E-2</v>
      </c>
    </row>
    <row r="138" spans="2:4" x14ac:dyDescent="0.2">
      <c r="B138" s="16">
        <v>44530</v>
      </c>
      <c r="C138" s="23">
        <v>32.142852783203097</v>
      </c>
      <c r="D138" s="25">
        <f t="shared" si="4"/>
        <v>-6.3638280070752146E-2</v>
      </c>
    </row>
    <row r="139" spans="2:4" x14ac:dyDescent="0.2">
      <c r="B139" s="16">
        <v>44561</v>
      </c>
      <c r="C139" s="23">
        <v>35.3246879577637</v>
      </c>
      <c r="D139" s="25">
        <f t="shared" si="4"/>
        <v>9.8990441079434513E-2</v>
      </c>
    </row>
    <row r="140" spans="2:4" x14ac:dyDescent="0.2">
      <c r="B140" s="16">
        <v>44592</v>
      </c>
      <c r="C140" s="23">
        <v>39.749168395996101</v>
      </c>
      <c r="D140" s="25">
        <f t="shared" si="4"/>
        <v>0.12525179114172424</v>
      </c>
    </row>
    <row r="141" spans="2:4" x14ac:dyDescent="0.2">
      <c r="B141" s="16">
        <v>44620</v>
      </c>
      <c r="C141" s="23">
        <v>36.626155853271499</v>
      </c>
      <c r="D141" s="25">
        <f t="shared" si="4"/>
        <v>-7.8567996985798083E-2</v>
      </c>
    </row>
    <row r="142" spans="2:4" x14ac:dyDescent="0.2">
      <c r="B142" s="16">
        <v>44651</v>
      </c>
      <c r="C142" s="23">
        <v>36.979644775390597</v>
      </c>
      <c r="D142" s="25">
        <f t="shared" si="4"/>
        <v>9.6512700796451151E-3</v>
      </c>
    </row>
    <row r="143" spans="2:4" x14ac:dyDescent="0.2">
      <c r="B143" s="16">
        <v>44681</v>
      </c>
      <c r="C143" s="23">
        <v>38.494724273681598</v>
      </c>
      <c r="D143" s="25">
        <f t="shared" si="4"/>
        <v>4.0970634182491236E-2</v>
      </c>
    </row>
    <row r="144" spans="2:4" x14ac:dyDescent="0.2">
      <c r="B144" s="16">
        <v>44712</v>
      </c>
      <c r="C144" s="23">
        <v>45.313320159912102</v>
      </c>
      <c r="D144" s="25">
        <f t="shared" si="4"/>
        <v>0.17713065919768908</v>
      </c>
    </row>
    <row r="145" spans="2:4" x14ac:dyDescent="0.2">
      <c r="B145" s="16">
        <v>44742</v>
      </c>
      <c r="C145" s="23">
        <v>41.058315277099602</v>
      </c>
      <c r="D145" s="25">
        <f t="shared" si="4"/>
        <v>-9.3901856403292822E-2</v>
      </c>
    </row>
    <row r="146" spans="2:4" x14ac:dyDescent="0.2">
      <c r="B146" s="16">
        <v>44773</v>
      </c>
      <c r="C146" s="23">
        <v>41.100917816162102</v>
      </c>
      <c r="D146" s="25">
        <f t="shared" si="4"/>
        <v>1.0376105004547445E-3</v>
      </c>
    </row>
    <row r="147" spans="2:4" x14ac:dyDescent="0.2">
      <c r="B147" s="16">
        <v>44804</v>
      </c>
      <c r="C147" s="23">
        <v>41.869083404541001</v>
      </c>
      <c r="D147" s="25">
        <f t="shared" si="4"/>
        <v>1.8689742935055178E-2</v>
      </c>
    </row>
    <row r="148" spans="2:4" x14ac:dyDescent="0.2">
      <c r="B148" s="16">
        <v>44834</v>
      </c>
      <c r="C148" s="23">
        <v>39.874336242675803</v>
      </c>
      <c r="D148" s="25">
        <f t="shared" si="4"/>
        <v>-4.7642484613094116E-2</v>
      </c>
    </row>
    <row r="149" spans="2:4" x14ac:dyDescent="0.2">
      <c r="B149" s="16">
        <v>44865</v>
      </c>
      <c r="C149" s="23">
        <v>46.163448333740199</v>
      </c>
      <c r="D149" s="25">
        <f t="shared" si="4"/>
        <v>0.15772330485424926</v>
      </c>
    </row>
    <row r="150" spans="2:4" x14ac:dyDescent="0.2">
      <c r="B150" s="16">
        <v>44895</v>
      </c>
      <c r="C150" s="23">
        <v>50.528453826904297</v>
      </c>
      <c r="D150" s="25">
        <f t="shared" si="4"/>
        <v>9.4555447019623498E-2</v>
      </c>
    </row>
    <row r="151" spans="2:4" x14ac:dyDescent="0.2">
      <c r="B151" s="16">
        <v>44926</v>
      </c>
      <c r="C151" s="23">
        <v>49.137687683105497</v>
      </c>
      <c r="D151" s="25">
        <f t="shared" si="4"/>
        <v>-2.7524415224799034E-2</v>
      </c>
    </row>
    <row r="152" spans="2:4" x14ac:dyDescent="0.2">
      <c r="B152" s="16">
        <v>44957</v>
      </c>
      <c r="C152" s="23">
        <v>48.565036773681598</v>
      </c>
      <c r="D152" s="25">
        <f t="shared" si="4"/>
        <v>-1.1654006047598121E-2</v>
      </c>
    </row>
    <row r="153" spans="2:4" x14ac:dyDescent="0.2">
      <c r="B153" s="16">
        <v>44985</v>
      </c>
      <c r="C153" s="23">
        <v>50.514514923095703</v>
      </c>
      <c r="D153" s="25">
        <f t="shared" si="4"/>
        <v>4.014159730793343E-2</v>
      </c>
    </row>
    <row r="154" spans="2:4" x14ac:dyDescent="0.2">
      <c r="B154" s="16">
        <v>45016</v>
      </c>
      <c r="C154" s="23">
        <v>46.883541107177699</v>
      </c>
      <c r="D154" s="25">
        <f t="shared" si="4"/>
        <v>-7.1879811603573165E-2</v>
      </c>
    </row>
    <row r="155" spans="2:4" x14ac:dyDescent="0.2">
      <c r="B155" s="16">
        <v>45046</v>
      </c>
      <c r="C155" s="23">
        <v>50.603591918945298</v>
      </c>
      <c r="D155" s="25">
        <f t="shared" si="4"/>
        <v>7.934662621288377E-2</v>
      </c>
    </row>
    <row r="156" spans="2:4" x14ac:dyDescent="0.2">
      <c r="B156" s="16">
        <v>45077</v>
      </c>
      <c r="C156" s="23">
        <v>46.358966827392599</v>
      </c>
      <c r="D156" s="25">
        <f t="shared" si="4"/>
        <v>-8.3879917029438547E-2</v>
      </c>
    </row>
    <row r="157" spans="2:4" x14ac:dyDescent="0.2">
      <c r="B157" s="16">
        <v>45107</v>
      </c>
      <c r="C157" s="23">
        <v>45.896076202392599</v>
      </c>
      <c r="D157" s="25">
        <f t="shared" si="4"/>
        <v>-9.9849210773715318E-3</v>
      </c>
    </row>
    <row r="158" spans="2:4" x14ac:dyDescent="0.2">
      <c r="B158" s="16">
        <v>45138</v>
      </c>
      <c r="C158" s="23">
        <v>48.944248199462898</v>
      </c>
      <c r="D158" s="25">
        <f t="shared" si="4"/>
        <v>6.6414653479928518E-2</v>
      </c>
    </row>
    <row r="159" spans="2:4" x14ac:dyDescent="0.2">
      <c r="B159" s="16">
        <v>45169</v>
      </c>
      <c r="C159" s="23">
        <v>51.4330863952637</v>
      </c>
      <c r="D159" s="25">
        <f t="shared" si="4"/>
        <v>5.0850473495026825E-2</v>
      </c>
    </row>
    <row r="160" spans="2:4" x14ac:dyDescent="0.2">
      <c r="B160" s="16">
        <v>45199</v>
      </c>
      <c r="C160" s="23">
        <v>55.1884956359863</v>
      </c>
      <c r="D160" s="25">
        <f t="shared" si="4"/>
        <v>7.3015436247831758E-2</v>
      </c>
    </row>
    <row r="161" spans="2:6" x14ac:dyDescent="0.2">
      <c r="B161" s="16">
        <v>45230</v>
      </c>
      <c r="C161" s="23">
        <v>56.641670227050803</v>
      </c>
      <c r="D161" s="25">
        <f t="shared" si="4"/>
        <v>2.6331114380239485E-2</v>
      </c>
    </row>
    <row r="162" spans="2:6" x14ac:dyDescent="0.2">
      <c r="B162" s="16">
        <v>45260</v>
      </c>
      <c r="C162" s="23">
        <v>55.7992134094238</v>
      </c>
      <c r="D162" s="25">
        <f t="shared" si="4"/>
        <v>-1.4873445896810158E-2</v>
      </c>
    </row>
    <row r="163" spans="2:6" x14ac:dyDescent="0.2">
      <c r="B163" s="16">
        <v>45291</v>
      </c>
      <c r="C163" s="23">
        <v>55.2077026367188</v>
      </c>
      <c r="D163" s="25">
        <f t="shared" si="4"/>
        <v>-1.0600700916065263E-2</v>
      </c>
    </row>
    <row r="164" spans="2:6" x14ac:dyDescent="0.2">
      <c r="B164" s="16">
        <v>45322</v>
      </c>
      <c r="C164" s="23">
        <v>53.863353729248097</v>
      </c>
      <c r="D164" s="25">
        <f t="shared" ref="D164:D183" si="5">(C164-C163)/C163</f>
        <v>-2.4350748958290702E-2</v>
      </c>
    </row>
    <row r="165" spans="2:6" x14ac:dyDescent="0.2">
      <c r="B165" s="16">
        <v>45351</v>
      </c>
      <c r="C165" s="23">
        <v>53.511375427246101</v>
      </c>
      <c r="D165" s="25">
        <f t="shared" si="5"/>
        <v>-6.5346525537801703E-3</v>
      </c>
    </row>
    <row r="166" spans="2:6" x14ac:dyDescent="0.2">
      <c r="B166" s="16">
        <v>45382</v>
      </c>
      <c r="C166" s="23">
        <v>57.575305938720703</v>
      </c>
      <c r="D166" s="25">
        <f t="shared" si="5"/>
        <v>7.594517014424175E-2</v>
      </c>
    </row>
    <row r="167" spans="2:6" x14ac:dyDescent="0.2">
      <c r="B167" s="16">
        <v>45412</v>
      </c>
      <c r="C167" s="23">
        <v>62.944179534912102</v>
      </c>
      <c r="D167" s="25">
        <f t="shared" si="5"/>
        <v>9.324958866750388E-2</v>
      </c>
    </row>
    <row r="168" spans="2:6" x14ac:dyDescent="0.2">
      <c r="B168" s="16">
        <v>45443</v>
      </c>
      <c r="C168" s="23">
        <v>61.494239807128899</v>
      </c>
      <c r="D168" s="25">
        <f t="shared" si="5"/>
        <v>-2.3035326514646067E-2</v>
      </c>
      <c r="F168" s="24"/>
    </row>
    <row r="169" spans="2:6" x14ac:dyDescent="0.2">
      <c r="B169" s="16">
        <v>45473</v>
      </c>
      <c r="C169" s="23">
        <v>57.199459075927699</v>
      </c>
      <c r="D169" s="25">
        <f t="shared" si="5"/>
        <v>-6.9840374393949578E-2</v>
      </c>
    </row>
    <row r="170" spans="2:6" x14ac:dyDescent="0.2">
      <c r="B170" s="16">
        <v>45504</v>
      </c>
      <c r="C170" s="23">
        <v>58.066871643066399</v>
      </c>
      <c r="D170" s="25">
        <f t="shared" si="5"/>
        <v>1.5164698777785287E-2</v>
      </c>
    </row>
    <row r="171" spans="2:6" x14ac:dyDescent="0.2">
      <c r="B171" s="16">
        <v>45535</v>
      </c>
      <c r="C171" s="23">
        <v>57.797355651855497</v>
      </c>
      <c r="D171" s="25">
        <f t="shared" si="5"/>
        <v>-4.6414760014557134E-3</v>
      </c>
    </row>
    <row r="172" spans="2:6" x14ac:dyDescent="0.2">
      <c r="B172" s="16">
        <v>45565</v>
      </c>
      <c r="C172" s="23">
        <v>54.367992401123097</v>
      </c>
      <c r="D172" s="25">
        <f t="shared" si="5"/>
        <v>-5.9334258670747785E-2</v>
      </c>
    </row>
    <row r="173" spans="2:6" x14ac:dyDescent="0.2">
      <c r="B173" s="16">
        <v>45596</v>
      </c>
      <c r="C173" s="23">
        <v>54.026409149169901</v>
      </c>
      <c r="D173" s="25">
        <f t="shared" si="5"/>
        <v>-6.2828005388357849E-3</v>
      </c>
    </row>
    <row r="174" spans="2:6" x14ac:dyDescent="0.2">
      <c r="B174" s="16">
        <v>45626</v>
      </c>
      <c r="C174" s="23">
        <v>51.739223480224602</v>
      </c>
      <c r="D174" s="25">
        <f t="shared" si="5"/>
        <v>-4.2334586084191758E-2</v>
      </c>
    </row>
    <row r="175" spans="2:6" x14ac:dyDescent="0.2">
      <c r="B175" s="16">
        <v>45657</v>
      </c>
      <c r="C175" s="23">
        <v>50.2332572937012</v>
      </c>
      <c r="D175" s="25">
        <f t="shared" si="5"/>
        <v>-2.9106857142898592E-2</v>
      </c>
    </row>
    <row r="176" spans="2:6" x14ac:dyDescent="0.2">
      <c r="B176" s="16">
        <v>45688</v>
      </c>
      <c r="C176" s="23">
        <v>53.075767517089801</v>
      </c>
      <c r="D176" s="25">
        <f t="shared" si="5"/>
        <v>5.6586221490061046E-2</v>
      </c>
    </row>
    <row r="177" spans="2:4" x14ac:dyDescent="0.2">
      <c r="B177" s="16">
        <v>45716</v>
      </c>
      <c r="C177" s="23">
        <v>55.201179504394503</v>
      </c>
      <c r="D177" s="25">
        <f t="shared" si="5"/>
        <v>4.0044865797189702E-2</v>
      </c>
    </row>
    <row r="178" spans="2:4" x14ac:dyDescent="0.2">
      <c r="B178" s="16">
        <v>45747</v>
      </c>
      <c r="C178" s="23">
        <v>56.997268676757798</v>
      </c>
      <c r="D178" s="25">
        <f t="shared" si="5"/>
        <v>3.2537152076982538E-2</v>
      </c>
    </row>
    <row r="179" spans="2:4" x14ac:dyDescent="0.2">
      <c r="B179" s="16">
        <v>45777</v>
      </c>
      <c r="C179" s="23">
        <v>49.536006927490199</v>
      </c>
      <c r="D179" s="25">
        <f t="shared" si="5"/>
        <v>-0.13090560166280624</v>
      </c>
    </row>
    <row r="180" spans="2:4" x14ac:dyDescent="0.2">
      <c r="B180" s="16">
        <v>45808</v>
      </c>
      <c r="C180" s="23">
        <v>50.020137786865199</v>
      </c>
      <c r="D180" s="25">
        <f t="shared" si="5"/>
        <v>9.7733121703503668E-3</v>
      </c>
    </row>
    <row r="181" spans="2:4" x14ac:dyDescent="0.2">
      <c r="B181" s="16">
        <v>45838</v>
      </c>
      <c r="C181" s="23">
        <v>50.4461669921875</v>
      </c>
      <c r="D181" s="25">
        <f t="shared" si="5"/>
        <v>8.5171537738980858E-3</v>
      </c>
    </row>
    <row r="182" spans="2:4" x14ac:dyDescent="0.2">
      <c r="B182" s="16">
        <v>45869</v>
      </c>
      <c r="C182" s="23">
        <v>51.165237426757798</v>
      </c>
      <c r="D182" s="25">
        <f t="shared" si="5"/>
        <v>1.4254213500138857E-2</v>
      </c>
    </row>
    <row r="183" spans="2:4" x14ac:dyDescent="0.2">
      <c r="B183" s="16">
        <v>45900</v>
      </c>
      <c r="C183" s="23">
        <v>52.620918273925803</v>
      </c>
      <c r="D183" s="25">
        <f t="shared" si="5"/>
        <v>2.8450583254925527E-2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7" tint="0.79998168889431442"/>
  </sheetPr>
  <dimension ref="B2:D183"/>
  <sheetViews>
    <sheetView showGridLines="0" workbookViewId="0">
      <selection activeCell="K21" sqref="K21"/>
    </sheetView>
  </sheetViews>
  <sheetFormatPr baseColWidth="10" defaultColWidth="10.83203125" defaultRowHeight="15" x14ac:dyDescent="0.2"/>
  <cols>
    <col min="3" max="3" width="12.6640625" bestFit="1" customWidth="1"/>
  </cols>
  <sheetData>
    <row r="2" spans="2:4" x14ac:dyDescent="0.2">
      <c r="B2" s="21" t="s">
        <v>308</v>
      </c>
      <c r="C2" t="s">
        <v>33</v>
      </c>
      <c r="D2" t="s">
        <v>310</v>
      </c>
    </row>
    <row r="3" spans="2:4" x14ac:dyDescent="0.2">
      <c r="B3" s="16" t="s">
        <v>237</v>
      </c>
      <c r="C3" s="23">
        <v>20.007875442504901</v>
      </c>
    </row>
    <row r="4" spans="2:4" x14ac:dyDescent="0.2">
      <c r="B4" s="16">
        <v>40451</v>
      </c>
      <c r="C4" s="23">
        <v>21.247350692748999</v>
      </c>
      <c r="D4" s="25">
        <f t="shared" ref="D4:D35" si="0">(C4-C3)/C3</f>
        <v>6.1949368577682476E-2</v>
      </c>
    </row>
    <row r="5" spans="2:4" x14ac:dyDescent="0.2">
      <c r="B5" s="16">
        <v>40482</v>
      </c>
      <c r="C5" s="23">
        <v>22.177684783935501</v>
      </c>
      <c r="D5" s="25">
        <f t="shared" si="0"/>
        <v>4.3785886750765293E-2</v>
      </c>
    </row>
    <row r="6" spans="2:4" x14ac:dyDescent="0.2">
      <c r="B6" s="16">
        <v>40512</v>
      </c>
      <c r="C6" s="23">
        <v>21.553613662719702</v>
      </c>
      <c r="D6" s="25">
        <f t="shared" si="0"/>
        <v>-2.8139597405940568E-2</v>
      </c>
    </row>
    <row r="7" spans="2:4" x14ac:dyDescent="0.2">
      <c r="B7" s="16">
        <v>40543</v>
      </c>
      <c r="C7" s="23">
        <v>23.5067253112793</v>
      </c>
      <c r="D7" s="25">
        <f t="shared" si="0"/>
        <v>9.0616435792286953E-2</v>
      </c>
    </row>
    <row r="8" spans="2:4" x14ac:dyDescent="0.2">
      <c r="B8" s="16">
        <v>40574</v>
      </c>
      <c r="C8" s="23">
        <v>24.753725051879901</v>
      </c>
      <c r="D8" s="25">
        <f t="shared" si="0"/>
        <v>5.3048637106515584E-2</v>
      </c>
    </row>
    <row r="9" spans="2:4" x14ac:dyDescent="0.2">
      <c r="B9" s="16">
        <v>40602</v>
      </c>
      <c r="C9" s="23">
        <v>25.535240173339801</v>
      </c>
      <c r="D9" s="25">
        <f t="shared" si="0"/>
        <v>3.1571616789875794E-2</v>
      </c>
    </row>
    <row r="10" spans="2:4" x14ac:dyDescent="0.2">
      <c r="B10" s="16">
        <v>40633</v>
      </c>
      <c r="C10" s="23">
        <v>25.813310623168899</v>
      </c>
      <c r="D10" s="25">
        <f t="shared" si="0"/>
        <v>1.0889674345785826E-2</v>
      </c>
    </row>
    <row r="11" spans="2:4" x14ac:dyDescent="0.2">
      <c r="B11" s="16">
        <v>40663</v>
      </c>
      <c r="C11" s="23">
        <v>26.401628494262699</v>
      </c>
      <c r="D11" s="25">
        <f t="shared" si="0"/>
        <v>2.2791259892318939E-2</v>
      </c>
    </row>
    <row r="12" spans="2:4" x14ac:dyDescent="0.2">
      <c r="B12" s="16">
        <v>40694</v>
      </c>
      <c r="C12" s="23">
        <v>26.246501922607401</v>
      </c>
      <c r="D12" s="25">
        <f t="shared" si="0"/>
        <v>-5.8756440607066586E-3</v>
      </c>
    </row>
    <row r="13" spans="2:4" x14ac:dyDescent="0.2">
      <c r="B13" s="16">
        <v>40724</v>
      </c>
      <c r="C13" s="23">
        <v>25.8572082519531</v>
      </c>
      <c r="D13" s="25">
        <f t="shared" si="0"/>
        <v>-1.4832211614416422E-2</v>
      </c>
    </row>
    <row r="14" spans="2:4" x14ac:dyDescent="0.2">
      <c r="B14" s="16">
        <v>40755</v>
      </c>
      <c r="C14" s="23">
        <v>24.367673873901399</v>
      </c>
      <c r="D14" s="25">
        <f t="shared" si="0"/>
        <v>-5.7606156222963105E-2</v>
      </c>
    </row>
    <row r="15" spans="2:4" x14ac:dyDescent="0.2">
      <c r="B15" s="16">
        <v>40786</v>
      </c>
      <c r="C15" s="23">
        <v>21.74267578125</v>
      </c>
      <c r="D15" s="25">
        <f t="shared" si="0"/>
        <v>-0.1077246070443704</v>
      </c>
    </row>
    <row r="16" spans="2:4" x14ac:dyDescent="0.2">
      <c r="B16" s="16">
        <v>40816</v>
      </c>
      <c r="C16" s="23">
        <v>19.496540069580099</v>
      </c>
      <c r="D16" s="25">
        <f t="shared" si="0"/>
        <v>-0.10330539507961006</v>
      </c>
    </row>
    <row r="17" spans="2:4" x14ac:dyDescent="0.2">
      <c r="B17" s="16">
        <v>40847</v>
      </c>
      <c r="C17" s="23">
        <v>21.469051361083999</v>
      </c>
      <c r="D17" s="25">
        <f t="shared" si="0"/>
        <v>0.101172376455736</v>
      </c>
    </row>
    <row r="18" spans="2:4" x14ac:dyDescent="0.2">
      <c r="B18" s="16">
        <v>40877</v>
      </c>
      <c r="C18" s="23">
        <v>19.908485412597699</v>
      </c>
      <c r="D18" s="25">
        <f t="shared" si="0"/>
        <v>-7.2689096608854767E-2</v>
      </c>
    </row>
    <row r="19" spans="2:4" x14ac:dyDescent="0.2">
      <c r="B19" s="16">
        <v>40908</v>
      </c>
      <c r="C19" s="23">
        <v>20.302385330200199</v>
      </c>
      <c r="D19" s="25">
        <f t="shared" si="0"/>
        <v>1.9785529106762078E-2</v>
      </c>
    </row>
    <row r="20" spans="2:4" x14ac:dyDescent="0.2">
      <c r="B20" s="16">
        <v>40939</v>
      </c>
      <c r="C20" s="23">
        <v>21.685375213623001</v>
      </c>
      <c r="D20" s="25">
        <f t="shared" si="0"/>
        <v>6.8119576144857086E-2</v>
      </c>
    </row>
    <row r="21" spans="2:4" x14ac:dyDescent="0.2">
      <c r="B21" s="16">
        <v>40968</v>
      </c>
      <c r="C21" s="23">
        <v>23.902223587036101</v>
      </c>
      <c r="D21" s="25">
        <f t="shared" si="0"/>
        <v>0.10222780798463892</v>
      </c>
    </row>
    <row r="22" spans="2:4" x14ac:dyDescent="0.2">
      <c r="B22" s="16">
        <v>40999</v>
      </c>
      <c r="C22" s="23">
        <v>23.91139793396</v>
      </c>
      <c r="D22" s="25">
        <f t="shared" si="0"/>
        <v>3.8382817776313869E-4</v>
      </c>
    </row>
    <row r="23" spans="2:4" x14ac:dyDescent="0.2">
      <c r="B23" s="16">
        <v>41029</v>
      </c>
      <c r="C23" s="23">
        <v>21.4040641784668</v>
      </c>
      <c r="D23" s="25">
        <f t="shared" si="0"/>
        <v>-0.10485935462318478</v>
      </c>
    </row>
    <row r="24" spans="2:4" x14ac:dyDescent="0.2">
      <c r="B24" s="16">
        <v>41060</v>
      </c>
      <c r="C24" s="23">
        <v>19.755958557128899</v>
      </c>
      <c r="D24" s="25">
        <f t="shared" si="0"/>
        <v>-7.6999657989997541E-2</v>
      </c>
    </row>
    <row r="25" spans="2:4" x14ac:dyDescent="0.2">
      <c r="B25" s="16">
        <v>41090</v>
      </c>
      <c r="C25" s="23">
        <v>23.364728927612301</v>
      </c>
      <c r="D25" s="25">
        <f t="shared" si="0"/>
        <v>0.18266743980292388</v>
      </c>
    </row>
    <row r="26" spans="2:4" x14ac:dyDescent="0.2">
      <c r="B26" s="16">
        <v>41121</v>
      </c>
      <c r="C26" s="23">
        <v>21.945121765136701</v>
      </c>
      <c r="D26" s="25">
        <f t="shared" si="0"/>
        <v>-6.0758554780317463E-2</v>
      </c>
    </row>
    <row r="27" spans="2:4" x14ac:dyDescent="0.2">
      <c r="B27" s="16">
        <v>41152</v>
      </c>
      <c r="C27" s="23">
        <v>21.9705295562744</v>
      </c>
      <c r="D27" s="25">
        <f t="shared" si="0"/>
        <v>1.1577876582149187E-3</v>
      </c>
    </row>
    <row r="28" spans="2:4" x14ac:dyDescent="0.2">
      <c r="B28" s="16">
        <v>41182</v>
      </c>
      <c r="C28" s="23">
        <v>21.052709579467798</v>
      </c>
      <c r="D28" s="25">
        <f t="shared" si="0"/>
        <v>-4.1775050276131744E-2</v>
      </c>
    </row>
    <row r="29" spans="2:4" x14ac:dyDescent="0.2">
      <c r="B29" s="16">
        <v>41213</v>
      </c>
      <c r="C29" s="23">
        <v>21.687881469726602</v>
      </c>
      <c r="D29" s="25">
        <f t="shared" si="0"/>
        <v>3.0170553004648444E-2</v>
      </c>
    </row>
    <row r="30" spans="2:4" x14ac:dyDescent="0.2">
      <c r="B30" s="16">
        <v>41243</v>
      </c>
      <c r="C30" s="23">
        <v>21.548141479492202</v>
      </c>
      <c r="D30" s="25">
        <f t="shared" si="0"/>
        <v>-6.443229156773948E-3</v>
      </c>
    </row>
    <row r="31" spans="2:4" x14ac:dyDescent="0.2">
      <c r="B31" s="16">
        <v>41274</v>
      </c>
      <c r="C31" s="23">
        <v>23.230484008789102</v>
      </c>
      <c r="D31" s="25">
        <f t="shared" si="0"/>
        <v>7.8073671963682756E-2</v>
      </c>
    </row>
    <row r="32" spans="2:4" x14ac:dyDescent="0.2">
      <c r="B32" s="16">
        <v>41305</v>
      </c>
      <c r="C32" s="23">
        <v>24.241489410400401</v>
      </c>
      <c r="D32" s="25">
        <f t="shared" si="0"/>
        <v>4.3520634405585026E-2</v>
      </c>
    </row>
    <row r="33" spans="2:4" x14ac:dyDescent="0.2">
      <c r="B33" s="16">
        <v>41333</v>
      </c>
      <c r="C33" s="23">
        <v>22.9010200500488</v>
      </c>
      <c r="D33" s="25">
        <f t="shared" si="0"/>
        <v>-5.5296493447984922E-2</v>
      </c>
    </row>
    <row r="34" spans="2:4" x14ac:dyDescent="0.2">
      <c r="B34" s="16">
        <v>41364</v>
      </c>
      <c r="C34" s="23">
        <v>22.7039890289307</v>
      </c>
      <c r="D34" s="25">
        <f t="shared" si="0"/>
        <v>-8.603591485772279E-3</v>
      </c>
    </row>
    <row r="35" spans="2:4" x14ac:dyDescent="0.2">
      <c r="B35" s="16">
        <v>41394</v>
      </c>
      <c r="C35" s="23">
        <v>23.618087768554702</v>
      </c>
      <c r="D35" s="25">
        <f t="shared" si="0"/>
        <v>4.0261591848868766E-2</v>
      </c>
    </row>
    <row r="36" spans="2:4" x14ac:dyDescent="0.2">
      <c r="B36" s="16">
        <v>41425</v>
      </c>
      <c r="C36" s="23">
        <v>26.5791625976563</v>
      </c>
      <c r="D36" s="25">
        <f t="shared" ref="D36:D67" si="1">(C36-C35)/C35</f>
        <v>0.12537318254206825</v>
      </c>
    </row>
    <row r="37" spans="2:4" x14ac:dyDescent="0.2">
      <c r="B37" s="16">
        <v>41455</v>
      </c>
      <c r="C37" s="23">
        <v>25.815839767456101</v>
      </c>
      <c r="D37" s="25">
        <f t="shared" si="1"/>
        <v>-2.8718844222259555E-2</v>
      </c>
    </row>
    <row r="38" spans="2:4" x14ac:dyDescent="0.2">
      <c r="B38" s="16">
        <v>41486</v>
      </c>
      <c r="C38" s="23">
        <v>27.178440093994102</v>
      </c>
      <c r="D38" s="25">
        <f t="shared" si="1"/>
        <v>5.2781561197002717E-2</v>
      </c>
    </row>
    <row r="39" spans="2:4" x14ac:dyDescent="0.2">
      <c r="B39" s="16">
        <v>41517</v>
      </c>
      <c r="C39" s="23">
        <v>26.1606750488281</v>
      </c>
      <c r="D39" s="25">
        <f t="shared" si="1"/>
        <v>-3.7447515076146971E-2</v>
      </c>
    </row>
    <row r="40" spans="2:4" x14ac:dyDescent="0.2">
      <c r="B40" s="16">
        <v>41547</v>
      </c>
      <c r="C40" s="23">
        <v>28.772050857543899</v>
      </c>
      <c r="D40" s="25">
        <f t="shared" si="1"/>
        <v>9.9820658444086247E-2</v>
      </c>
    </row>
    <row r="41" spans="2:4" x14ac:dyDescent="0.2">
      <c r="B41" s="16">
        <v>41578</v>
      </c>
      <c r="C41" s="23">
        <v>31.634529113769499</v>
      </c>
      <c r="D41" s="25">
        <f t="shared" si="1"/>
        <v>9.9488155029278061E-2</v>
      </c>
    </row>
    <row r="42" spans="2:4" x14ac:dyDescent="0.2">
      <c r="B42" s="16">
        <v>41608</v>
      </c>
      <c r="C42" s="23">
        <v>31.6880893707275</v>
      </c>
      <c r="D42" s="25">
        <f t="shared" si="1"/>
        <v>1.6930948067972866E-3</v>
      </c>
    </row>
    <row r="43" spans="2:4" x14ac:dyDescent="0.2">
      <c r="B43" s="16">
        <v>41639</v>
      </c>
      <c r="C43" s="23">
        <v>32.331893920898402</v>
      </c>
      <c r="D43" s="25">
        <f t="shared" si="1"/>
        <v>2.0316925474390676E-2</v>
      </c>
    </row>
    <row r="44" spans="2:4" x14ac:dyDescent="0.2">
      <c r="B44" s="16">
        <v>41670</v>
      </c>
      <c r="C44" s="23">
        <v>32.904415130615199</v>
      </c>
      <c r="D44" s="25">
        <f t="shared" si="1"/>
        <v>1.7707629844310967E-2</v>
      </c>
    </row>
    <row r="45" spans="2:4" x14ac:dyDescent="0.2">
      <c r="B45" s="16">
        <v>41698</v>
      </c>
      <c r="C45" s="23">
        <v>36.674888610839801</v>
      </c>
      <c r="D45" s="25">
        <f t="shared" si="1"/>
        <v>0.11458867952089649</v>
      </c>
    </row>
    <row r="46" spans="2:4" x14ac:dyDescent="0.2">
      <c r="B46" s="16">
        <v>41729</v>
      </c>
      <c r="C46" s="23">
        <v>36.525833129882798</v>
      </c>
      <c r="D46" s="25">
        <f t="shared" si="1"/>
        <v>-4.0642381368527812E-3</v>
      </c>
    </row>
    <row r="47" spans="2:4" x14ac:dyDescent="0.2">
      <c r="B47" s="16">
        <v>41759</v>
      </c>
      <c r="C47" s="23">
        <v>36.817173004150398</v>
      </c>
      <c r="D47" s="25">
        <f t="shared" si="1"/>
        <v>7.9762691033389791E-3</v>
      </c>
    </row>
    <row r="48" spans="2:4" x14ac:dyDescent="0.2">
      <c r="B48" s="16">
        <v>41790</v>
      </c>
      <c r="C48" s="23">
        <v>37.638374328613303</v>
      </c>
      <c r="D48" s="25">
        <f t="shared" si="1"/>
        <v>2.2304844654159918E-2</v>
      </c>
    </row>
    <row r="49" spans="2:4" x14ac:dyDescent="0.2">
      <c r="B49" s="16">
        <v>41820</v>
      </c>
      <c r="C49" s="23">
        <v>37.8463134765625</v>
      </c>
      <c r="D49" s="25">
        <f t="shared" si="1"/>
        <v>5.5246580559968218E-3</v>
      </c>
    </row>
    <row r="50" spans="2:4" x14ac:dyDescent="0.2">
      <c r="B50" s="16">
        <v>41851</v>
      </c>
      <c r="C50" s="23">
        <v>35.780715942382798</v>
      </c>
      <c r="D50" s="25">
        <f t="shared" si="1"/>
        <v>-5.4578566429168508E-2</v>
      </c>
    </row>
    <row r="51" spans="2:4" x14ac:dyDescent="0.2">
      <c r="B51" s="16">
        <v>41882</v>
      </c>
      <c r="C51" s="23">
        <v>34.484512329101598</v>
      </c>
      <c r="D51" s="25">
        <f t="shared" si="1"/>
        <v>-3.6226318538971083E-2</v>
      </c>
    </row>
    <row r="52" spans="2:4" x14ac:dyDescent="0.2">
      <c r="B52" s="16">
        <v>41912</v>
      </c>
      <c r="C52" s="23">
        <v>31.888645172119102</v>
      </c>
      <c r="D52" s="25">
        <f t="shared" si="1"/>
        <v>-7.5276319183781387E-2</v>
      </c>
    </row>
    <row r="53" spans="2:4" x14ac:dyDescent="0.2">
      <c r="B53" s="16">
        <v>41943</v>
      </c>
      <c r="C53" s="23">
        <v>31.5212707519531</v>
      </c>
      <c r="D53" s="25">
        <f t="shared" si="1"/>
        <v>-1.1520540248201087E-2</v>
      </c>
    </row>
    <row r="54" spans="2:4" x14ac:dyDescent="0.2">
      <c r="B54" s="16">
        <v>41973</v>
      </c>
      <c r="C54" s="23">
        <v>30.134956359863299</v>
      </c>
      <c r="D54" s="25">
        <f t="shared" si="1"/>
        <v>-4.398028248921098E-2</v>
      </c>
    </row>
    <row r="55" spans="2:4" x14ac:dyDescent="0.2">
      <c r="B55" s="16">
        <v>42004</v>
      </c>
      <c r="C55" s="23">
        <v>32.241825103759801</v>
      </c>
      <c r="D55" s="25">
        <f t="shared" si="1"/>
        <v>6.9914444830676353E-2</v>
      </c>
    </row>
    <row r="56" spans="2:4" x14ac:dyDescent="0.2">
      <c r="B56" s="16">
        <v>42035</v>
      </c>
      <c r="C56" s="23">
        <v>33.184074401855497</v>
      </c>
      <c r="D56" s="25">
        <f t="shared" si="1"/>
        <v>2.9224440460903622E-2</v>
      </c>
    </row>
    <row r="57" spans="2:4" x14ac:dyDescent="0.2">
      <c r="B57" s="16">
        <v>42063</v>
      </c>
      <c r="C57" s="23">
        <v>37.562335968017599</v>
      </c>
      <c r="D57" s="25">
        <f t="shared" si="1"/>
        <v>0.1319386375868688</v>
      </c>
    </row>
    <row r="58" spans="2:4" x14ac:dyDescent="0.2">
      <c r="B58" s="16">
        <v>42094</v>
      </c>
      <c r="C58" s="23">
        <v>37.711105346679702</v>
      </c>
      <c r="D58" s="25">
        <f t="shared" si="1"/>
        <v>3.9605997557971839E-3</v>
      </c>
    </row>
    <row r="59" spans="2:4" x14ac:dyDescent="0.2">
      <c r="B59" s="16">
        <v>42124</v>
      </c>
      <c r="C59" s="23">
        <v>38.837554931640597</v>
      </c>
      <c r="D59" s="25">
        <f t="shared" si="1"/>
        <v>2.9870500336847693E-2</v>
      </c>
    </row>
    <row r="60" spans="2:4" x14ac:dyDescent="0.2">
      <c r="B60" s="16">
        <v>42155</v>
      </c>
      <c r="C60" s="23">
        <v>39.155952453613303</v>
      </c>
      <c r="D60" s="25">
        <f t="shared" si="1"/>
        <v>8.1981865885514451E-3</v>
      </c>
    </row>
    <row r="61" spans="2:4" x14ac:dyDescent="0.2">
      <c r="B61" s="16">
        <v>42185</v>
      </c>
      <c r="C61" s="23">
        <v>37.563072204589801</v>
      </c>
      <c r="D61" s="25">
        <f t="shared" si="1"/>
        <v>-4.0680411258301824E-2</v>
      </c>
    </row>
    <row r="62" spans="2:4" x14ac:dyDescent="0.2">
      <c r="B62" s="16">
        <v>42216</v>
      </c>
      <c r="C62" s="23">
        <v>42.2837944030762</v>
      </c>
      <c r="D62" s="25">
        <f t="shared" si="1"/>
        <v>0.12567455006807399</v>
      </c>
    </row>
    <row r="63" spans="2:4" x14ac:dyDescent="0.2">
      <c r="B63" s="16">
        <v>42247</v>
      </c>
      <c r="C63" s="23">
        <v>41.5669975280762</v>
      </c>
      <c r="D63" s="25">
        <f t="shared" si="1"/>
        <v>-1.6952047116846544E-2</v>
      </c>
    </row>
    <row r="64" spans="2:4" x14ac:dyDescent="0.2">
      <c r="B64" s="16">
        <v>42277</v>
      </c>
      <c r="C64" s="23">
        <v>41.060173034667997</v>
      </c>
      <c r="D64" s="25">
        <f t="shared" si="1"/>
        <v>-1.2192954111392609E-2</v>
      </c>
    </row>
    <row r="65" spans="2:4" x14ac:dyDescent="0.2">
      <c r="B65" s="16">
        <v>42308</v>
      </c>
      <c r="C65" s="23">
        <v>44.4414253234863</v>
      </c>
      <c r="D65" s="25">
        <f t="shared" si="1"/>
        <v>8.234871017137306E-2</v>
      </c>
    </row>
    <row r="66" spans="2:4" x14ac:dyDescent="0.2">
      <c r="B66" s="16">
        <v>42338</v>
      </c>
      <c r="C66" s="23">
        <v>44.5717582702637</v>
      </c>
      <c r="D66" s="25">
        <f t="shared" si="1"/>
        <v>2.9326905208083539E-3</v>
      </c>
    </row>
    <row r="67" spans="2:4" x14ac:dyDescent="0.2">
      <c r="B67" s="16">
        <v>42369</v>
      </c>
      <c r="C67" s="23">
        <v>43.2179985046387</v>
      </c>
      <c r="D67" s="25">
        <f t="shared" si="1"/>
        <v>-3.0372590585643747E-2</v>
      </c>
    </row>
    <row r="68" spans="2:4" x14ac:dyDescent="0.2">
      <c r="B68" s="16">
        <v>42400</v>
      </c>
      <c r="C68" s="23">
        <v>45.614936828613303</v>
      </c>
      <c r="D68" s="25">
        <f t="shared" ref="D68:D99" si="2">(C68-C67)/C67</f>
        <v>5.5461576354983971E-2</v>
      </c>
    </row>
    <row r="69" spans="2:4" x14ac:dyDescent="0.2">
      <c r="B69" s="16">
        <v>42429</v>
      </c>
      <c r="C69" s="23">
        <v>46.638027191162102</v>
      </c>
      <c r="D69" s="25">
        <f t="shared" si="2"/>
        <v>2.2428845323031039E-2</v>
      </c>
    </row>
    <row r="70" spans="2:4" x14ac:dyDescent="0.2">
      <c r="B70" s="16">
        <v>42460</v>
      </c>
      <c r="C70" s="23">
        <v>47.843803405761697</v>
      </c>
      <c r="D70" s="25">
        <f t="shared" si="2"/>
        <v>2.5853928376028939E-2</v>
      </c>
    </row>
    <row r="71" spans="2:4" x14ac:dyDescent="0.2">
      <c r="B71" s="16">
        <v>42490</v>
      </c>
      <c r="C71" s="23">
        <v>47.675724029541001</v>
      </c>
      <c r="D71" s="25">
        <f t="shared" si="2"/>
        <v>-3.5130855880169151E-3</v>
      </c>
    </row>
    <row r="72" spans="2:4" x14ac:dyDescent="0.2">
      <c r="B72" s="16">
        <v>42521</v>
      </c>
      <c r="C72" s="23">
        <v>50.369983673095703</v>
      </c>
      <c r="D72" s="25">
        <f t="shared" si="2"/>
        <v>5.651219144328621E-2</v>
      </c>
    </row>
    <row r="73" spans="2:4" x14ac:dyDescent="0.2">
      <c r="B73" s="16">
        <v>42551</v>
      </c>
      <c r="C73" s="23">
        <v>47.463592529296903</v>
      </c>
      <c r="D73" s="25">
        <f t="shared" si="2"/>
        <v>-5.7700855387634378E-2</v>
      </c>
    </row>
    <row r="74" spans="2:4" x14ac:dyDescent="0.2">
      <c r="B74" s="16">
        <v>42582</v>
      </c>
      <c r="C74" s="23">
        <v>50.593547821044901</v>
      </c>
      <c r="D74" s="25">
        <f t="shared" si="2"/>
        <v>6.5944340176442226E-2</v>
      </c>
    </row>
    <row r="75" spans="2:4" x14ac:dyDescent="0.2">
      <c r="B75" s="16">
        <v>42613</v>
      </c>
      <c r="C75" s="23">
        <v>50.668067932128899</v>
      </c>
      <c r="D75" s="25">
        <f t="shared" si="2"/>
        <v>1.472917284780752E-3</v>
      </c>
    </row>
    <row r="76" spans="2:4" x14ac:dyDescent="0.2">
      <c r="B76" s="16">
        <v>42643</v>
      </c>
      <c r="C76" s="23">
        <v>50.764957427978501</v>
      </c>
      <c r="D76" s="25">
        <f t="shared" si="2"/>
        <v>1.9122397952767429E-3</v>
      </c>
    </row>
    <row r="77" spans="2:4" x14ac:dyDescent="0.2">
      <c r="B77" s="16">
        <v>42674</v>
      </c>
      <c r="C77" s="23">
        <v>49.170166015625</v>
      </c>
      <c r="D77" s="25">
        <f t="shared" si="2"/>
        <v>-3.1415202398545714E-2</v>
      </c>
    </row>
    <row r="78" spans="2:4" x14ac:dyDescent="0.2">
      <c r="B78" s="16">
        <v>42704</v>
      </c>
      <c r="C78" s="23">
        <v>45.630329132080099</v>
      </c>
      <c r="D78" s="25">
        <f t="shared" si="2"/>
        <v>-7.1991558507653444E-2</v>
      </c>
    </row>
    <row r="79" spans="2:4" x14ac:dyDescent="0.2">
      <c r="B79" s="16">
        <v>42735</v>
      </c>
      <c r="C79" s="23">
        <v>48.698055267333999</v>
      </c>
      <c r="D79" s="25">
        <f t="shared" si="2"/>
        <v>6.7229980445114843E-2</v>
      </c>
    </row>
    <row r="80" spans="2:4" x14ac:dyDescent="0.2">
      <c r="B80" s="16">
        <v>42766</v>
      </c>
      <c r="C80" s="23">
        <v>48.848587036132798</v>
      </c>
      <c r="D80" s="25">
        <f t="shared" si="2"/>
        <v>3.0911248503135689E-3</v>
      </c>
    </row>
    <row r="81" spans="2:4" x14ac:dyDescent="0.2">
      <c r="B81" s="16">
        <v>42794</v>
      </c>
      <c r="C81" s="23">
        <v>51.189407348632798</v>
      </c>
      <c r="D81" s="25">
        <f t="shared" si="2"/>
        <v>4.7919918559128832E-2</v>
      </c>
    </row>
    <row r="82" spans="2:4" x14ac:dyDescent="0.2">
      <c r="B82" s="16">
        <v>42825</v>
      </c>
      <c r="C82" s="23">
        <v>55.923736572265597</v>
      </c>
      <c r="D82" s="25">
        <f t="shared" si="2"/>
        <v>9.2486501970788018E-2</v>
      </c>
    </row>
    <row r="83" spans="2:4" x14ac:dyDescent="0.2">
      <c r="B83" s="16">
        <v>42855</v>
      </c>
      <c r="C83" s="23">
        <v>58.783893585205099</v>
      </c>
      <c r="D83" s="25">
        <f t="shared" si="2"/>
        <v>5.1143882512992664E-2</v>
      </c>
    </row>
    <row r="84" spans="2:4" x14ac:dyDescent="0.2">
      <c r="B84" s="16">
        <v>42886</v>
      </c>
      <c r="C84" s="23">
        <v>59.621894836425803</v>
      </c>
      <c r="D84" s="25">
        <f t="shared" si="2"/>
        <v>1.4255626841152518E-2</v>
      </c>
    </row>
    <row r="85" spans="2:4" x14ac:dyDescent="0.2">
      <c r="B85" s="16">
        <v>42916</v>
      </c>
      <c r="C85" s="23">
        <v>57.3207817077637</v>
      </c>
      <c r="D85" s="25">
        <f t="shared" si="2"/>
        <v>-3.8595102268642503E-2</v>
      </c>
    </row>
    <row r="86" spans="2:4" x14ac:dyDescent="0.2">
      <c r="B86" s="16">
        <v>42947</v>
      </c>
      <c r="C86" s="23">
        <v>58.095470428466797</v>
      </c>
      <c r="D86" s="25">
        <f t="shared" si="2"/>
        <v>1.351497131795344E-2</v>
      </c>
    </row>
    <row r="87" spans="2:4" x14ac:dyDescent="0.2">
      <c r="B87" s="16">
        <v>42978</v>
      </c>
      <c r="C87" s="23">
        <v>59.330417633056598</v>
      </c>
      <c r="D87" s="25">
        <f t="shared" si="2"/>
        <v>2.1257202936507708E-2</v>
      </c>
    </row>
    <row r="88" spans="2:4" x14ac:dyDescent="0.2">
      <c r="B88" s="16">
        <v>43008</v>
      </c>
      <c r="C88" s="23">
        <v>61.669879913330099</v>
      </c>
      <c r="D88" s="25">
        <f t="shared" si="2"/>
        <v>3.9431077238364899E-2</v>
      </c>
    </row>
    <row r="89" spans="2:4" x14ac:dyDescent="0.2">
      <c r="B89" s="16">
        <v>43039</v>
      </c>
      <c r="C89" s="23">
        <v>64.469581604003906</v>
      </c>
      <c r="D89" s="25">
        <f t="shared" si="2"/>
        <v>4.5398202406238902E-2</v>
      </c>
    </row>
    <row r="90" spans="2:4" x14ac:dyDescent="0.2">
      <c r="B90" s="16">
        <v>43069</v>
      </c>
      <c r="C90" s="23">
        <v>65.842567443847699</v>
      </c>
      <c r="D90" s="25">
        <f t="shared" si="2"/>
        <v>2.1296645730961638E-2</v>
      </c>
    </row>
    <row r="91" spans="2:4" x14ac:dyDescent="0.2">
      <c r="B91" s="16">
        <v>43100</v>
      </c>
      <c r="C91" s="23">
        <v>65.843437194824205</v>
      </c>
      <c r="D91" s="25">
        <f t="shared" si="2"/>
        <v>1.3209554400311066E-5</v>
      </c>
    </row>
    <row r="92" spans="2:4" x14ac:dyDescent="0.2">
      <c r="B92" s="16">
        <v>43131</v>
      </c>
      <c r="C92" s="23">
        <v>67.273979187011705</v>
      </c>
      <c r="D92" s="25">
        <f t="shared" si="2"/>
        <v>2.1726417288251039E-2</v>
      </c>
    </row>
    <row r="93" spans="2:4" x14ac:dyDescent="0.2">
      <c r="B93" s="16">
        <v>43159</v>
      </c>
      <c r="C93" s="23">
        <v>62.881847381591797</v>
      </c>
      <c r="D93" s="25">
        <f t="shared" si="2"/>
        <v>-6.5287230791126999E-2</v>
      </c>
    </row>
    <row r="94" spans="2:4" x14ac:dyDescent="0.2">
      <c r="B94" s="16">
        <v>43190</v>
      </c>
      <c r="C94" s="23">
        <v>61.783809661865199</v>
      </c>
      <c r="D94" s="25">
        <f t="shared" si="2"/>
        <v>-1.7461918907427657E-2</v>
      </c>
    </row>
    <row r="95" spans="2:4" x14ac:dyDescent="0.2">
      <c r="B95" s="16">
        <v>43220</v>
      </c>
      <c r="C95" s="23">
        <v>64.258255004882798</v>
      </c>
      <c r="D95" s="25">
        <f t="shared" si="2"/>
        <v>4.0050060955449635E-2</v>
      </c>
    </row>
    <row r="96" spans="2:4" x14ac:dyDescent="0.2">
      <c r="B96" s="16">
        <v>43251</v>
      </c>
      <c r="C96" s="23">
        <v>66.112762451171903</v>
      </c>
      <c r="D96" s="25">
        <f t="shared" si="2"/>
        <v>2.8860221089853536E-2</v>
      </c>
    </row>
    <row r="97" spans="2:4" x14ac:dyDescent="0.2">
      <c r="B97" s="16">
        <v>43281</v>
      </c>
      <c r="C97" s="23">
        <v>65.038764953613295</v>
      </c>
      <c r="D97" s="25">
        <f t="shared" si="2"/>
        <v>-1.6244934529120868E-2</v>
      </c>
    </row>
    <row r="98" spans="2:4" x14ac:dyDescent="0.2">
      <c r="B98" s="16">
        <v>43312</v>
      </c>
      <c r="C98" s="23">
        <v>67.913246154785199</v>
      </c>
      <c r="D98" s="25">
        <f t="shared" si="2"/>
        <v>4.4196429671166576E-2</v>
      </c>
    </row>
    <row r="99" spans="2:4" x14ac:dyDescent="0.2">
      <c r="B99" s="16">
        <v>43343</v>
      </c>
      <c r="C99" s="23">
        <v>65.196716308593807</v>
      </c>
      <c r="D99" s="25">
        <f t="shared" si="2"/>
        <v>-3.9999999999999765E-2</v>
      </c>
    </row>
    <row r="100" spans="2:4" x14ac:dyDescent="0.2">
      <c r="B100" s="16">
        <v>43373</v>
      </c>
      <c r="C100" s="23">
        <v>64.770271301269503</v>
      </c>
      <c r="D100" s="25">
        <f t="shared" ref="D100:D131" si="3">(C100-C99)/C99</f>
        <v>-6.5408970185833245E-3</v>
      </c>
    </row>
    <row r="101" spans="2:4" x14ac:dyDescent="0.2">
      <c r="B101" s="16">
        <v>43404</v>
      </c>
      <c r="C101" s="23">
        <v>62.290653228759801</v>
      </c>
      <c r="D101" s="25">
        <f t="shared" si="3"/>
        <v>-3.8283274451269757E-2</v>
      </c>
    </row>
    <row r="102" spans="2:4" x14ac:dyDescent="0.2">
      <c r="B102" s="16">
        <v>43434</v>
      </c>
      <c r="C102" s="23">
        <v>60.885005950927699</v>
      </c>
      <c r="D102" s="25">
        <f t="shared" si="3"/>
        <v>-2.2565942159410688E-2</v>
      </c>
    </row>
    <row r="103" spans="2:4" x14ac:dyDescent="0.2">
      <c r="B103" s="16">
        <v>43465</v>
      </c>
      <c r="C103" s="23">
        <v>57.423133850097699</v>
      </c>
      <c r="D103" s="25">
        <f t="shared" si="3"/>
        <v>-5.6859189660262349E-2</v>
      </c>
    </row>
    <row r="104" spans="2:4" x14ac:dyDescent="0.2">
      <c r="B104" s="16">
        <v>43496</v>
      </c>
      <c r="C104" s="23">
        <v>61.298126220703097</v>
      </c>
      <c r="D104" s="25">
        <f t="shared" si="3"/>
        <v>6.748138094867849E-2</v>
      </c>
    </row>
    <row r="105" spans="2:4" x14ac:dyDescent="0.2">
      <c r="B105" s="16">
        <v>43524</v>
      </c>
      <c r="C105" s="23">
        <v>66.911270141601605</v>
      </c>
      <c r="D105" s="25">
        <f t="shared" si="3"/>
        <v>9.1571215418371155E-2</v>
      </c>
    </row>
    <row r="106" spans="2:4" x14ac:dyDescent="0.2">
      <c r="B106" s="16">
        <v>43555</v>
      </c>
      <c r="C106" s="23">
        <v>69.143775939941406</v>
      </c>
      <c r="D106" s="25">
        <f t="shared" si="3"/>
        <v>3.3365168432989534E-2</v>
      </c>
    </row>
    <row r="107" spans="2:4" x14ac:dyDescent="0.2">
      <c r="B107" s="16">
        <v>43585</v>
      </c>
      <c r="C107" s="23">
        <v>71.774925231933594</v>
      </c>
      <c r="D107" s="25">
        <f t="shared" si="3"/>
        <v>3.8053306407182845E-2</v>
      </c>
    </row>
    <row r="108" spans="2:4" x14ac:dyDescent="0.2">
      <c r="B108" s="16">
        <v>43616</v>
      </c>
      <c r="C108" s="23">
        <v>72.079826354980497</v>
      </c>
      <c r="D108" s="25">
        <f t="shared" si="3"/>
        <v>4.2480172854467702E-3</v>
      </c>
    </row>
    <row r="109" spans="2:4" x14ac:dyDescent="0.2">
      <c r="B109" s="16">
        <v>43646</v>
      </c>
      <c r="C109" s="23">
        <v>73.383552551269503</v>
      </c>
      <c r="D109" s="25">
        <f t="shared" si="3"/>
        <v>1.8087254953534197E-2</v>
      </c>
    </row>
    <row r="110" spans="2:4" x14ac:dyDescent="0.2">
      <c r="B110" s="16">
        <v>43677</v>
      </c>
      <c r="C110" s="23">
        <v>75.974700927734403</v>
      </c>
      <c r="D110" s="25">
        <f t="shared" si="3"/>
        <v>3.5309661175841708E-2</v>
      </c>
    </row>
    <row r="111" spans="2:4" x14ac:dyDescent="0.2">
      <c r="B111" s="16">
        <v>43708</v>
      </c>
      <c r="C111" s="23">
        <v>81.075553894042997</v>
      </c>
      <c r="D111" s="25">
        <f t="shared" si="3"/>
        <v>6.7138835744288375E-2</v>
      </c>
    </row>
    <row r="112" spans="2:4" x14ac:dyDescent="0.2">
      <c r="B112" s="16">
        <v>43738</v>
      </c>
      <c r="C112" s="23">
        <v>80.521453857421903</v>
      </c>
      <c r="D112" s="25">
        <f t="shared" si="3"/>
        <v>-6.8343663411198239E-3</v>
      </c>
    </row>
    <row r="113" spans="2:4" x14ac:dyDescent="0.2">
      <c r="B113" s="16">
        <v>43769</v>
      </c>
      <c r="C113" s="23">
        <v>81.971847534179702</v>
      </c>
      <c r="D113" s="25">
        <f t="shared" si="3"/>
        <v>1.8012512284316027E-2</v>
      </c>
    </row>
    <row r="114" spans="2:4" x14ac:dyDescent="0.2">
      <c r="B114" s="16">
        <v>43799</v>
      </c>
      <c r="C114" s="23">
        <v>80.651847839355497</v>
      </c>
      <c r="D114" s="25">
        <f t="shared" si="3"/>
        <v>-1.6103085809720294E-2</v>
      </c>
    </row>
    <row r="115" spans="2:4" x14ac:dyDescent="0.2">
      <c r="B115" s="16">
        <v>43830</v>
      </c>
      <c r="C115" s="23">
        <v>81.295318603515597</v>
      </c>
      <c r="D115" s="25">
        <f t="shared" si="3"/>
        <v>7.9783759628394586E-3</v>
      </c>
    </row>
    <row r="116" spans="2:4" x14ac:dyDescent="0.2">
      <c r="B116" s="16">
        <v>43861</v>
      </c>
      <c r="C116" s="23">
        <v>82.280723571777301</v>
      </c>
      <c r="D116" s="25">
        <f t="shared" si="3"/>
        <v>1.2121300281355819E-2</v>
      </c>
    </row>
    <row r="117" spans="2:4" x14ac:dyDescent="0.2">
      <c r="B117" s="16">
        <v>43890</v>
      </c>
      <c r="C117" s="23">
        <v>74.709579467773395</v>
      </c>
      <c r="D117" s="25">
        <f t="shared" si="3"/>
        <v>-9.2016012686121376E-2</v>
      </c>
    </row>
    <row r="118" spans="2:4" x14ac:dyDescent="0.2">
      <c r="B118" s="16">
        <v>43921</v>
      </c>
      <c r="C118" s="23">
        <v>61.915821075439503</v>
      </c>
      <c r="D118" s="25">
        <f t="shared" si="3"/>
        <v>-0.17124655878771994</v>
      </c>
    </row>
    <row r="119" spans="2:4" x14ac:dyDescent="0.2">
      <c r="B119" s="16">
        <v>43951</v>
      </c>
      <c r="C119" s="23">
        <v>61.341007232666001</v>
      </c>
      <c r="D119" s="25">
        <f t="shared" si="3"/>
        <v>-9.28379585038752E-3</v>
      </c>
    </row>
    <row r="120" spans="2:4" x14ac:dyDescent="0.2">
      <c r="B120" s="16">
        <v>43982</v>
      </c>
      <c r="C120" s="23">
        <v>68.189521789550795</v>
      </c>
      <c r="D120" s="25">
        <f t="shared" si="3"/>
        <v>0.11164659443736272</v>
      </c>
    </row>
    <row r="121" spans="2:4" x14ac:dyDescent="0.2">
      <c r="B121" s="16">
        <v>44012</v>
      </c>
      <c r="C121" s="23">
        <v>67.335510253906307</v>
      </c>
      <c r="D121" s="25">
        <f t="shared" si="3"/>
        <v>-1.2524087473148336E-2</v>
      </c>
    </row>
    <row r="122" spans="2:4" x14ac:dyDescent="0.2">
      <c r="B122" s="16">
        <v>44043</v>
      </c>
      <c r="C122" s="23">
        <v>60.668388366699197</v>
      </c>
      <c r="D122" s="25">
        <f t="shared" si="3"/>
        <v>-9.9013460536156436E-2</v>
      </c>
    </row>
    <row r="123" spans="2:4" x14ac:dyDescent="0.2">
      <c r="B123" s="16">
        <v>44074</v>
      </c>
      <c r="C123" s="23">
        <v>65.485191345214801</v>
      </c>
      <c r="D123" s="25">
        <f t="shared" si="3"/>
        <v>7.9395598073271734E-2</v>
      </c>
    </row>
    <row r="124" spans="2:4" x14ac:dyDescent="0.2">
      <c r="B124" s="16">
        <v>44104</v>
      </c>
      <c r="C124" s="23">
        <v>59.6016845703125</v>
      </c>
      <c r="D124" s="25">
        <f t="shared" si="3"/>
        <v>-8.9844843605732652E-2</v>
      </c>
    </row>
    <row r="125" spans="2:4" x14ac:dyDescent="0.2">
      <c r="B125" s="16">
        <v>44135</v>
      </c>
      <c r="C125" s="23">
        <v>56.518260955810597</v>
      </c>
      <c r="D125" s="25">
        <f t="shared" si="3"/>
        <v>-5.173383330909663E-2</v>
      </c>
    </row>
    <row r="126" spans="2:4" x14ac:dyDescent="0.2">
      <c r="B126" s="16">
        <v>44165</v>
      </c>
      <c r="C126" s="23">
        <v>71.252021789550795</v>
      </c>
      <c r="D126" s="25">
        <f t="shared" si="3"/>
        <v>0.26069027221591173</v>
      </c>
    </row>
    <row r="127" spans="2:4" x14ac:dyDescent="0.2">
      <c r="B127" s="16">
        <v>44196</v>
      </c>
      <c r="C127" s="23">
        <v>67.801910400390597</v>
      </c>
      <c r="D127" s="25">
        <f t="shared" si="3"/>
        <v>-4.8421241987355965E-2</v>
      </c>
    </row>
    <row r="128" spans="2:4" x14ac:dyDescent="0.2">
      <c r="B128" s="16">
        <v>44227</v>
      </c>
      <c r="C128" s="23">
        <v>63.8184814453125</v>
      </c>
      <c r="D128" s="25">
        <f t="shared" si="3"/>
        <v>-5.8750984029133618E-2</v>
      </c>
    </row>
    <row r="129" spans="2:4" x14ac:dyDescent="0.2">
      <c r="B129" s="16">
        <v>44255</v>
      </c>
      <c r="C129" s="23">
        <v>71.702033996582003</v>
      </c>
      <c r="D129" s="25">
        <f t="shared" si="3"/>
        <v>0.12353087025464711</v>
      </c>
    </row>
    <row r="130" spans="2:4" x14ac:dyDescent="0.2">
      <c r="B130" s="16">
        <v>44286</v>
      </c>
      <c r="C130" s="23">
        <v>72.802062988281307</v>
      </c>
      <c r="D130" s="25">
        <f t="shared" si="3"/>
        <v>1.5341670666577489E-2</v>
      </c>
    </row>
    <row r="131" spans="2:4" x14ac:dyDescent="0.2">
      <c r="B131" s="16">
        <v>44316</v>
      </c>
      <c r="C131" s="23">
        <v>76.1688232421875</v>
      </c>
      <c r="D131" s="25">
        <f t="shared" si="3"/>
        <v>4.6245396293895256E-2</v>
      </c>
    </row>
    <row r="132" spans="2:4" x14ac:dyDescent="0.2">
      <c r="B132" s="16">
        <v>44347</v>
      </c>
      <c r="C132" s="23">
        <v>79.18994140625</v>
      </c>
      <c r="D132" s="25">
        <f t="shared" ref="D132:D163" si="4">(C132-C131)/C131</f>
        <v>3.966344805480989E-2</v>
      </c>
    </row>
    <row r="133" spans="2:4" x14ac:dyDescent="0.2">
      <c r="B133" s="16">
        <v>44377</v>
      </c>
      <c r="C133" s="23">
        <v>76.692886352539105</v>
      </c>
      <c r="D133" s="25">
        <f t="shared" si="4"/>
        <v>-3.1532477602184673E-2</v>
      </c>
    </row>
    <row r="134" spans="2:4" x14ac:dyDescent="0.2">
      <c r="B134" s="16">
        <v>44408</v>
      </c>
      <c r="C134" s="23">
        <v>76.028152465820298</v>
      </c>
      <c r="D134" s="25">
        <f t="shared" si="4"/>
        <v>-8.6674777587999758E-3</v>
      </c>
    </row>
    <row r="135" spans="2:4" x14ac:dyDescent="0.2">
      <c r="B135" s="16">
        <v>44439</v>
      </c>
      <c r="C135" s="23">
        <v>77.459899902343807</v>
      </c>
      <c r="D135" s="25">
        <f t="shared" si="4"/>
        <v>1.8831806246602849E-2</v>
      </c>
    </row>
    <row r="136" spans="2:4" x14ac:dyDescent="0.2">
      <c r="B136" s="16">
        <v>44469</v>
      </c>
      <c r="C136" s="23">
        <v>76.829246520996094</v>
      </c>
      <c r="D136" s="25">
        <f t="shared" si="4"/>
        <v>-8.141675655956155E-3</v>
      </c>
    </row>
    <row r="137" spans="2:4" x14ac:dyDescent="0.2">
      <c r="B137" s="16">
        <v>44500</v>
      </c>
      <c r="C137" s="23">
        <v>78.721221923828097</v>
      </c>
      <c r="D137" s="25">
        <f t="shared" si="4"/>
        <v>2.4625718570791384E-2</v>
      </c>
    </row>
    <row r="138" spans="2:4" x14ac:dyDescent="0.2">
      <c r="B138" s="16">
        <v>44530</v>
      </c>
      <c r="C138" s="23">
        <v>71.298225402832003</v>
      </c>
      <c r="D138" s="25">
        <f t="shared" si="4"/>
        <v>-9.4294731961588496E-2</v>
      </c>
    </row>
    <row r="139" spans="2:4" x14ac:dyDescent="0.2">
      <c r="B139" s="16">
        <v>44561</v>
      </c>
      <c r="C139" s="23">
        <v>79.729072570800795</v>
      </c>
      <c r="D139" s="25">
        <f t="shared" si="4"/>
        <v>0.11824764389765464</v>
      </c>
    </row>
    <row r="140" spans="2:4" x14ac:dyDescent="0.2">
      <c r="B140" s="16">
        <v>44592</v>
      </c>
      <c r="C140" s="23">
        <v>82.947067260742202</v>
      </c>
      <c r="D140" s="25">
        <f t="shared" si="4"/>
        <v>4.0361622005370391E-2</v>
      </c>
    </row>
    <row r="141" spans="2:4" x14ac:dyDescent="0.2">
      <c r="B141" s="16">
        <v>44620</v>
      </c>
      <c r="C141" s="23">
        <v>81.110656738281307</v>
      </c>
      <c r="D141" s="25">
        <f t="shared" si="4"/>
        <v>-2.2139547341537471E-2</v>
      </c>
    </row>
    <row r="142" spans="2:4" x14ac:dyDescent="0.2">
      <c r="B142" s="16">
        <v>44651</v>
      </c>
      <c r="C142" s="23">
        <v>79.797714233398395</v>
      </c>
      <c r="D142" s="25">
        <f t="shared" si="4"/>
        <v>-1.6187053066520796E-2</v>
      </c>
    </row>
    <row r="143" spans="2:4" x14ac:dyDescent="0.2">
      <c r="B143" s="16">
        <v>44681</v>
      </c>
      <c r="C143" s="23">
        <v>79.669006347656307</v>
      </c>
      <c r="D143" s="25">
        <f t="shared" si="4"/>
        <v>-1.6129269738934307E-3</v>
      </c>
    </row>
    <row r="144" spans="2:4" x14ac:dyDescent="0.2">
      <c r="B144" s="16">
        <v>44712</v>
      </c>
      <c r="C144" s="23">
        <v>78.842491149902301</v>
      </c>
      <c r="D144" s="25">
        <f t="shared" si="4"/>
        <v>-1.0374363075990843E-2</v>
      </c>
    </row>
    <row r="145" spans="2:4" x14ac:dyDescent="0.2">
      <c r="B145" s="16">
        <v>44742</v>
      </c>
      <c r="C145" s="23">
        <v>74.692886352539105</v>
      </c>
      <c r="D145" s="25">
        <f t="shared" si="4"/>
        <v>-5.263157894736737E-2</v>
      </c>
    </row>
    <row r="146" spans="2:4" x14ac:dyDescent="0.2">
      <c r="B146" s="16">
        <v>44773</v>
      </c>
      <c r="C146" s="23">
        <v>82.095344543457003</v>
      </c>
      <c r="D146" s="25">
        <f t="shared" si="4"/>
        <v>9.9105263598723667E-2</v>
      </c>
    </row>
    <row r="147" spans="2:4" x14ac:dyDescent="0.2">
      <c r="B147" s="16">
        <v>44804</v>
      </c>
      <c r="C147" s="23">
        <v>81.101913452148395</v>
      </c>
      <c r="D147" s="25">
        <f t="shared" si="4"/>
        <v>-1.210094307823676E-2</v>
      </c>
    </row>
    <row r="148" spans="2:4" x14ac:dyDescent="0.2">
      <c r="B148" s="16">
        <v>44834</v>
      </c>
      <c r="C148" s="23">
        <v>73.119201660156307</v>
      </c>
      <c r="D148" s="25">
        <f t="shared" si="4"/>
        <v>-9.8428156034839218E-2</v>
      </c>
    </row>
    <row r="149" spans="2:4" x14ac:dyDescent="0.2">
      <c r="B149" s="16">
        <v>44865</v>
      </c>
      <c r="C149" s="23">
        <v>81.919532775878906</v>
      </c>
      <c r="D149" s="25">
        <f t="shared" si="4"/>
        <v>0.12035595186917947</v>
      </c>
    </row>
    <row r="150" spans="2:4" x14ac:dyDescent="0.2">
      <c r="B150" s="16">
        <v>44895</v>
      </c>
      <c r="C150" s="23">
        <v>84.943817138671903</v>
      </c>
      <c r="D150" s="25">
        <f t="shared" si="4"/>
        <v>3.6917744282881138E-2</v>
      </c>
    </row>
    <row r="151" spans="2:4" x14ac:dyDescent="0.2">
      <c r="B151" s="16">
        <v>44926</v>
      </c>
      <c r="C151" s="23">
        <v>82.887443542480497</v>
      </c>
      <c r="D151" s="25">
        <f t="shared" si="4"/>
        <v>-2.420863183996487E-2</v>
      </c>
    </row>
    <row r="152" spans="2:4" x14ac:dyDescent="0.2">
      <c r="B152" s="16">
        <v>44957</v>
      </c>
      <c r="C152" s="23">
        <v>92.083351135253906</v>
      </c>
      <c r="D152" s="25">
        <f t="shared" si="4"/>
        <v>0.11094451945620003</v>
      </c>
    </row>
    <row r="153" spans="2:4" x14ac:dyDescent="0.2">
      <c r="B153" s="16">
        <v>44985</v>
      </c>
      <c r="C153" s="23">
        <v>95.815002441406307</v>
      </c>
      <c r="D153" s="25">
        <f t="shared" si="4"/>
        <v>4.0524712232412947E-2</v>
      </c>
    </row>
    <row r="154" spans="2:4" x14ac:dyDescent="0.2">
      <c r="B154" s="16">
        <v>45016</v>
      </c>
      <c r="C154" s="23">
        <v>93.931404113769503</v>
      </c>
      <c r="D154" s="25">
        <f t="shared" si="4"/>
        <v>-1.9658699364837776E-2</v>
      </c>
    </row>
    <row r="155" spans="2:4" x14ac:dyDescent="0.2">
      <c r="B155" s="16">
        <v>45046</v>
      </c>
      <c r="C155" s="23">
        <v>99.688819885253906</v>
      </c>
      <c r="D155" s="25">
        <f t="shared" si="4"/>
        <v>6.1293832726177867E-2</v>
      </c>
    </row>
    <row r="156" spans="2:4" x14ac:dyDescent="0.2">
      <c r="B156" s="16">
        <v>45077</v>
      </c>
      <c r="C156" s="23">
        <v>97.086570739746094</v>
      </c>
      <c r="D156" s="25">
        <f t="shared" si="4"/>
        <v>-2.6103721044176395E-2</v>
      </c>
    </row>
    <row r="157" spans="2:4" x14ac:dyDescent="0.2">
      <c r="B157" s="16">
        <v>45107</v>
      </c>
      <c r="C157" s="23">
        <v>97.141357421875</v>
      </c>
      <c r="D157" s="25">
        <f t="shared" si="4"/>
        <v>5.6430752174540686E-4</v>
      </c>
    </row>
    <row r="158" spans="2:4" x14ac:dyDescent="0.2">
      <c r="B158" s="16">
        <v>45138</v>
      </c>
      <c r="C158" s="23">
        <v>97.506622314453097</v>
      </c>
      <c r="D158" s="25">
        <f t="shared" si="4"/>
        <v>3.7601378266909368E-3</v>
      </c>
    </row>
    <row r="159" spans="2:4" x14ac:dyDescent="0.2">
      <c r="B159" s="16">
        <v>45169</v>
      </c>
      <c r="C159" s="23">
        <v>94.018371582031307</v>
      </c>
      <c r="D159" s="25">
        <f t="shared" si="4"/>
        <v>-3.5774500742856083E-2</v>
      </c>
    </row>
    <row r="160" spans="2:4" x14ac:dyDescent="0.2">
      <c r="B160" s="16">
        <v>45199</v>
      </c>
      <c r="C160" s="23">
        <v>95.899475097656307</v>
      </c>
      <c r="D160" s="25">
        <f t="shared" si="4"/>
        <v>2.0007829150537153E-2</v>
      </c>
    </row>
    <row r="161" spans="2:4" x14ac:dyDescent="0.2">
      <c r="B161" s="16">
        <v>45230</v>
      </c>
      <c r="C161" s="23">
        <v>95.406364440917997</v>
      </c>
      <c r="D161" s="25">
        <f t="shared" si="4"/>
        <v>-5.1419536575791E-3</v>
      </c>
    </row>
    <row r="162" spans="2:4" x14ac:dyDescent="0.2">
      <c r="B162" s="16">
        <v>45260</v>
      </c>
      <c r="C162" s="23">
        <v>102.547233581543</v>
      </c>
      <c r="D162" s="25">
        <f t="shared" si="4"/>
        <v>7.4846884507868486E-2</v>
      </c>
    </row>
    <row r="163" spans="2:4" x14ac:dyDescent="0.2">
      <c r="B163" s="16">
        <v>45291</v>
      </c>
      <c r="C163" s="23">
        <v>104.853630065918</v>
      </c>
      <c r="D163" s="25">
        <f t="shared" si="4"/>
        <v>2.2491064886124023E-2</v>
      </c>
    </row>
    <row r="164" spans="2:4" x14ac:dyDescent="0.2">
      <c r="B164" s="16">
        <v>45322</v>
      </c>
      <c r="C164" s="23">
        <v>107.97064208984401</v>
      </c>
      <c r="D164" s="25">
        <f t="shared" ref="D164:D183" si="5">(C164-C163)/C163</f>
        <v>2.972726859305154E-2</v>
      </c>
    </row>
    <row r="165" spans="2:4" x14ac:dyDescent="0.2">
      <c r="B165" s="16">
        <v>45351</v>
      </c>
      <c r="C165" s="23">
        <v>109.187942504883</v>
      </c>
      <c r="D165" s="25">
        <f t="shared" si="5"/>
        <v>1.1274364878056919E-2</v>
      </c>
    </row>
    <row r="166" spans="2:4" x14ac:dyDescent="0.2">
      <c r="B166" s="16">
        <v>45382</v>
      </c>
      <c r="C166" s="23">
        <v>109.51992797851599</v>
      </c>
      <c r="D166" s="25">
        <f t="shared" si="5"/>
        <v>3.0404957362224361E-3</v>
      </c>
    </row>
    <row r="167" spans="2:4" x14ac:dyDescent="0.2">
      <c r="B167" s="16">
        <v>45412</v>
      </c>
      <c r="C167" s="23">
        <v>101.67205047607401</v>
      </c>
      <c r="D167" s="25">
        <f t="shared" si="5"/>
        <v>-7.1657073258681009E-2</v>
      </c>
    </row>
    <row r="168" spans="2:4" x14ac:dyDescent="0.2">
      <c r="B168" s="16">
        <v>45443</v>
      </c>
      <c r="C168" s="23">
        <v>108.85255432128901</v>
      </c>
      <c r="D168" s="25">
        <f t="shared" si="5"/>
        <v>7.0624166736017124E-2</v>
      </c>
    </row>
    <row r="169" spans="2:4" x14ac:dyDescent="0.2">
      <c r="B169" s="16">
        <v>45473</v>
      </c>
      <c r="C169" s="23">
        <v>93.5684814453125</v>
      </c>
      <c r="D169" s="25">
        <f t="shared" si="5"/>
        <v>-0.14041078752147665</v>
      </c>
    </row>
    <row r="170" spans="2:4" x14ac:dyDescent="0.2">
      <c r="B170" s="16">
        <v>45504</v>
      </c>
      <c r="C170" s="23">
        <v>100.435386657715</v>
      </c>
      <c r="D170" s="25">
        <f t="shared" si="5"/>
        <v>7.3389084725244427E-2</v>
      </c>
    </row>
    <row r="171" spans="2:4" x14ac:dyDescent="0.2">
      <c r="B171" s="16">
        <v>45535</v>
      </c>
      <c r="C171" s="23">
        <v>102.86066436767599</v>
      </c>
      <c r="D171" s="25">
        <f t="shared" si="5"/>
        <v>2.4147641490407858E-2</v>
      </c>
    </row>
    <row r="172" spans="2:4" x14ac:dyDescent="0.2">
      <c r="B172" s="16">
        <v>45565</v>
      </c>
      <c r="C172" s="23">
        <v>99.817169189453097</v>
      </c>
      <c r="D172" s="25">
        <f t="shared" si="5"/>
        <v>-2.9588523435391281E-2</v>
      </c>
    </row>
    <row r="173" spans="2:4" x14ac:dyDescent="0.2">
      <c r="B173" s="16">
        <v>45596</v>
      </c>
      <c r="C173" s="23">
        <v>97.677207946777301</v>
      </c>
      <c r="D173" s="25">
        <f t="shared" si="5"/>
        <v>-2.1438809175344842E-2</v>
      </c>
    </row>
    <row r="174" spans="2:4" x14ac:dyDescent="0.2">
      <c r="B174" s="16">
        <v>45626</v>
      </c>
      <c r="C174" s="23">
        <v>95.914703369140597</v>
      </c>
      <c r="D174" s="25">
        <f t="shared" si="5"/>
        <v>-1.8044174426003905E-2</v>
      </c>
    </row>
    <row r="175" spans="2:4" x14ac:dyDescent="0.2">
      <c r="B175" s="16">
        <v>45657</v>
      </c>
      <c r="C175" s="23">
        <v>95.7994384765625</v>
      </c>
      <c r="D175" s="25">
        <f t="shared" si="5"/>
        <v>-1.2017437215489702E-3</v>
      </c>
    </row>
    <row r="176" spans="2:4" x14ac:dyDescent="0.2">
      <c r="B176" s="16">
        <v>45688</v>
      </c>
      <c r="C176" s="23">
        <v>100.371383666992</v>
      </c>
      <c r="D176" s="25">
        <f t="shared" si="5"/>
        <v>4.7724133493204528E-2</v>
      </c>
    </row>
    <row r="177" spans="2:4" x14ac:dyDescent="0.2">
      <c r="B177" s="16">
        <v>45716</v>
      </c>
      <c r="C177" s="23">
        <v>106.71062469482401</v>
      </c>
      <c r="D177" s="25">
        <f t="shared" si="5"/>
        <v>6.3157852330342212E-2</v>
      </c>
    </row>
    <row r="178" spans="2:4" x14ac:dyDescent="0.2">
      <c r="B178" s="16">
        <v>45747</v>
      </c>
      <c r="C178" s="23">
        <v>111.705184936523</v>
      </c>
      <c r="D178" s="25">
        <f t="shared" si="5"/>
        <v>4.6804713738511666E-2</v>
      </c>
    </row>
    <row r="179" spans="2:4" x14ac:dyDescent="0.2">
      <c r="B179" s="16">
        <v>45777</v>
      </c>
      <c r="C179" s="23">
        <v>117.756271362305</v>
      </c>
      <c r="D179" s="25">
        <f t="shared" si="5"/>
        <v>5.4170148227412736E-2</v>
      </c>
    </row>
    <row r="180" spans="2:4" x14ac:dyDescent="0.2">
      <c r="B180" s="16">
        <v>45808</v>
      </c>
      <c r="C180" s="23">
        <v>124.73345947265599</v>
      </c>
      <c r="D180" s="25">
        <f t="shared" si="5"/>
        <v>5.9251095755945143E-2</v>
      </c>
    </row>
    <row r="181" spans="2:4" x14ac:dyDescent="0.2">
      <c r="B181" s="16">
        <v>45838</v>
      </c>
      <c r="C181" s="23">
        <v>123.990112304688</v>
      </c>
      <c r="D181" s="25">
        <f t="shared" si="5"/>
        <v>-5.9594848977226758E-3</v>
      </c>
    </row>
    <row r="182" spans="2:4" x14ac:dyDescent="0.2">
      <c r="B182" s="16">
        <v>45869</v>
      </c>
      <c r="C182" s="23">
        <v>120.52116394043</v>
      </c>
      <c r="D182" s="25">
        <f t="shared" si="5"/>
        <v>-2.7977620955238366E-2</v>
      </c>
    </row>
    <row r="183" spans="2:4" x14ac:dyDescent="0.2">
      <c r="B183" s="16">
        <v>45900</v>
      </c>
      <c r="C183" s="23">
        <v>114.871742248535</v>
      </c>
      <c r="D183" s="25">
        <f t="shared" si="5"/>
        <v>-4.6874934718414599E-2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26</vt:i4>
      </vt:variant>
    </vt:vector>
  </HeadingPairs>
  <TitlesOfParts>
    <vt:vector size="26" baseType="lpstr">
      <vt:lpstr>Data</vt:lpstr>
      <vt:lpstr>Adj. Closing</vt:lpstr>
      <vt:lpstr>Correlation</vt:lpstr>
      <vt:lpstr>Covariance Matrix</vt:lpstr>
      <vt:lpstr>Returns-VOL</vt:lpstr>
      <vt:lpstr>Efficient Frontier</vt:lpstr>
      <vt:lpstr>B.5-B.6-B.7</vt:lpstr>
      <vt:lpstr>C.1-C.2-C.3</vt:lpstr>
      <vt:lpstr>MARKET</vt:lpstr>
      <vt:lpstr>INTERBANK</vt:lpstr>
      <vt:lpstr>Companies</vt:lpstr>
      <vt:lpstr>data vba</vt:lpstr>
      <vt:lpstr>returns vol VBA</vt:lpstr>
      <vt:lpstr>Covariance Matrix VBA</vt:lpstr>
      <vt:lpstr>AIRBUS</vt:lpstr>
      <vt:lpstr>BNP</vt:lpstr>
      <vt:lpstr>CAPGEMINI</vt:lpstr>
      <vt:lpstr>DANONE</vt:lpstr>
      <vt:lpstr>ENGIE</vt:lpstr>
      <vt:lpstr>HERMES INTL</vt:lpstr>
      <vt:lpstr>PERNOD RICARD</vt:lpstr>
      <vt:lpstr>RENAULT</vt:lpstr>
      <vt:lpstr>SANOFI</vt:lpstr>
      <vt:lpstr>SCHNEIDER ELECTRIC</vt:lpstr>
      <vt:lpstr>TOTALENERGIES</vt:lpstr>
      <vt:lpstr>VINCI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tdavid</dc:creator>
  <cp:lastModifiedBy>Paul Desferet</cp:lastModifiedBy>
  <dcterms:created xsi:type="dcterms:W3CDTF">2021-08-25T14:37:22Z</dcterms:created>
  <dcterms:modified xsi:type="dcterms:W3CDTF">2026-06-09T14:42:07Z</dcterms:modified>
</cp:coreProperties>
</file>