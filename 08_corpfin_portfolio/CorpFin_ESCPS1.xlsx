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5620" tabRatio="600" firstSheet="0" activeTab="7" autoFilterDateGrouping="1"/>
  </bookViews>
  <sheets>
    <sheet xmlns:r="http://schemas.openxmlformats.org/officeDocument/2006/relationships" name="Data" sheetId="1" state="visible" r:id="rId1"/>
    <sheet xmlns:r="http://schemas.openxmlformats.org/officeDocument/2006/relationships" name="Adj. Closing" sheetId="2" state="visible" r:id="rId2"/>
    <sheet xmlns:r="http://schemas.openxmlformats.org/officeDocument/2006/relationships" name="Correlation" sheetId="3" state="visible" r:id="rId3"/>
    <sheet xmlns:r="http://schemas.openxmlformats.org/officeDocument/2006/relationships" name="Covariance Matrix" sheetId="4" state="visible" r:id="rId4"/>
    <sheet xmlns:r="http://schemas.openxmlformats.org/officeDocument/2006/relationships" name="Returns-VOL" sheetId="5" state="visible" r:id="rId5"/>
    <sheet xmlns:r="http://schemas.openxmlformats.org/officeDocument/2006/relationships" name="Efficient Frontier" sheetId="6" state="visible" r:id="rId6"/>
    <sheet xmlns:r="http://schemas.openxmlformats.org/officeDocument/2006/relationships" name="B.5-B.6-B.7" sheetId="7" state="visible" r:id="rId7"/>
    <sheet xmlns:r="http://schemas.openxmlformats.org/officeDocument/2006/relationships" name="C.1-C.2-C.3" sheetId="8" state="visible" r:id="rId8"/>
    <sheet xmlns:r="http://schemas.openxmlformats.org/officeDocument/2006/relationships" name="MARKET" sheetId="9" state="visible" r:id="rId9"/>
    <sheet xmlns:r="http://schemas.openxmlformats.org/officeDocument/2006/relationships" name="INTERBANK" sheetId="10" state="visible" r:id="rId10"/>
    <sheet xmlns:r="http://schemas.openxmlformats.org/officeDocument/2006/relationships" name="Companies" sheetId="11" state="visible" r:id="rId11"/>
    <sheet xmlns:r="http://schemas.openxmlformats.org/officeDocument/2006/relationships" name="AIRBUS" sheetId="12" state="visible" r:id="rId12"/>
    <sheet xmlns:r="http://schemas.openxmlformats.org/officeDocument/2006/relationships" name="BNP" sheetId="13" state="visible" r:id="rId13"/>
    <sheet xmlns:r="http://schemas.openxmlformats.org/officeDocument/2006/relationships" name="CAPGEMINI" sheetId="14" state="visible" r:id="rId14"/>
    <sheet xmlns:r="http://schemas.openxmlformats.org/officeDocument/2006/relationships" name="DANONE" sheetId="15" state="visible" r:id="rId15"/>
    <sheet xmlns:r="http://schemas.openxmlformats.org/officeDocument/2006/relationships" name="ENGIE" sheetId="16" state="visible" r:id="rId16"/>
    <sheet xmlns:r="http://schemas.openxmlformats.org/officeDocument/2006/relationships" name="HERMES INTL" sheetId="17" state="visible" r:id="rId17"/>
    <sheet xmlns:r="http://schemas.openxmlformats.org/officeDocument/2006/relationships" name="PERNOD RICARD" sheetId="18" state="visible" r:id="rId18"/>
    <sheet xmlns:r="http://schemas.openxmlformats.org/officeDocument/2006/relationships" name="RENAULT" sheetId="19" state="visible" r:id="rId19"/>
    <sheet xmlns:r="http://schemas.openxmlformats.org/officeDocument/2006/relationships" name="SANOFI" sheetId="20" state="visible" r:id="rId20"/>
    <sheet xmlns:r="http://schemas.openxmlformats.org/officeDocument/2006/relationships" name="SCHNEIDER ELECTRIC" sheetId="21" state="visible" r:id="rId21"/>
    <sheet xmlns:r="http://schemas.openxmlformats.org/officeDocument/2006/relationships" name="TOTAL ENERGIES" sheetId="22" state="visible" r:id="rId22"/>
    <sheet xmlns:r="http://schemas.openxmlformats.org/officeDocument/2006/relationships" name="VINCI" sheetId="23" state="visible" r:id="rId23"/>
  </sheets>
  <definedNames>
    <definedName name="solver_eng" localSheetId="0" hidden="1">0</definedName>
    <definedName name="solver_eng" localSheetId="2" hidden="1">0</definedName>
    <definedName name="solver_eng" localSheetId="3" hidden="1">0</definedName>
    <definedName name="solver_eng" localSheetId="4" hidden="1">0</definedName>
    <definedName name="coin_cuttype" localSheetId="5" hidden="1">1</definedName>
    <definedName name="coin_dualtol" localSheetId="5" hidden="1">"0.0000001"</definedName>
    <definedName name="coin_heurs" localSheetId="5" hidden="1">1</definedName>
    <definedName name="coin_integerpresolve" localSheetId="5" hidden="1">1</definedName>
    <definedName name="coin_presolve1" localSheetId="5" hidden="1">1</definedName>
    <definedName name="coin_primaltol" localSheetId="5" hidden="1">"0.0000001"</definedName>
    <definedName name="solver_adj" localSheetId="5" hidden="1">'Efficient Frontier'!$E$46:$E$57</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kiv" localSheetId="5" hidden="1">2E+30</definedName>
    <definedName name="solver_lhs1" localSheetId="5" hidden="1">'Efficient Frontier'!$E$58</definedName>
    <definedName name="solver_lhs2" localSheetId="5" hidden="1">'Efficient Frontier'!$E$60</definedName>
    <definedName name="solver_lhs3" localSheetId="5" hidden="1">'Efficient Frontier'!#REF!</definedName>
    <definedName name="solver_lin" localSheetId="5" hidden="1">2</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2</definedName>
    <definedName name="solver_nod" localSheetId="5" hidden="1">2147483647</definedName>
    <definedName name="solver_num" localSheetId="5" hidden="1">2</definedName>
    <definedName name="solver_nwt" localSheetId="5" hidden="1">1</definedName>
    <definedName name="solver_opt" localSheetId="5" hidden="1">'Efficient Frontier'!$E$61</definedName>
    <definedName name="solver_pre" localSheetId="5" hidden="1">"""""""""""""""""""""""""""""""""""""""""""""""""""""""""""""""""""""""""""""""""""""""""""""""""""""""""""""""""""""""""""""""0.000001"""""""""""""""""""""""""""""""""""""""""""""""""""""""""""""""""""""""""""""""""""""""""""""""""""""""""""""""""""""""""""""""</definedName>
    <definedName name="solver_rbv" localSheetId="5" hidden="1">1</definedName>
    <definedName name="solver_rel1" localSheetId="5" hidden="1">2</definedName>
    <definedName name="solver_rel2" localSheetId="5" hidden="1">2</definedName>
    <definedName name="solver_rel3" localSheetId="5" hidden="1">2</definedName>
    <definedName name="solver_rhs1" localSheetId="5" hidden="1">1</definedName>
    <definedName name="solver_rhs2" localSheetId="5" hidden="1">'Efficient Frontier'!$E$45</definedName>
    <definedName name="solver_rhs3" localSheetId="5" hidden="1">'Efficient Frontier'!#REF!</definedName>
    <definedName name="solver_rlx" localSheetId="5" hidden="1">2</definedName>
    <definedName name="solver_rsd" localSheetId="5" hidden="1">0</definedName>
    <definedName name="solver_rxv" localSheetId="5" hidden="1">1</definedName>
    <definedName name="solver_scl" localSheetId="5" hidden="1">2</definedName>
    <definedName name="solver_sho" localSheetId="5" hidden="1">2</definedName>
    <definedName name="solver_ssz" localSheetId="5" hidden="1">100</definedName>
    <definedName name="solver_tim" localSheetId="5" hidden="1">2147483647</definedName>
    <definedName name="solver_tms" localSheetId="5" hidden="1">0</definedName>
    <definedName name="solver_tol" localSheetId="5" hidden="1">0</definedName>
    <definedName name="solver_typ" localSheetId="5" hidden="1">2</definedName>
    <definedName name="solver_val" localSheetId="5" hidden="1">0</definedName>
    <definedName name="solver_ver" localSheetId="5" hidden="1">2</definedName>
    <definedName name="solver_adj" localSheetId="6" hidden="1">'B.5-B.6-B.7'!$N$28:$N$39</definedName>
    <definedName name="solver_cvg" localSheetId="6" hidden="1">0.0001</definedName>
    <definedName name="solver_drv" localSheetId="6" hidden="1">1</definedName>
    <definedName name="solver_eng" localSheetId="6" hidden="1">1</definedName>
    <definedName name="solver_itr" localSheetId="6" hidden="1">2147483647</definedName>
    <definedName name="solver_lhs1" localSheetId="6" hidden="1">'B.5-B.6-B.7'!$N$40</definedName>
    <definedName name="solver_lin" localSheetId="6" hidden="1">2</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6" hidden="1">2</definedName>
    <definedName name="solver_nod" localSheetId="6" hidden="1">2147483647</definedName>
    <definedName name="solver_num" localSheetId="6" hidden="1">1</definedName>
    <definedName name="solver_opt" localSheetId="6" hidden="1">'B.5-B.6-B.7'!$N$45</definedName>
    <definedName name="solver_pre" localSheetId="6" hidden="1">0.000001</definedName>
    <definedName name="solver_rbv" localSheetId="6" hidden="1">1</definedName>
    <definedName name="solver_rel1" localSheetId="6" hidden="1">2</definedName>
    <definedName name="solver_rhs1" localSheetId="6" hidden="1">1</definedName>
    <definedName name="solver_rlx" localSheetId="6" hidden="1">2</definedName>
    <definedName name="solver_rsd" localSheetId="6" hidden="1">0</definedName>
    <definedName name="solver_scl" localSheetId="6" hidden="1">1</definedName>
    <definedName name="solver_sho" localSheetId="6" hidden="1">2</definedName>
    <definedName name="solver_ssz" localSheetId="6" hidden="1">100</definedName>
    <definedName name="solver_tim" localSheetId="6" hidden="1">2147483647</definedName>
    <definedName name="solver_tol" localSheetId="6" hidden="1">0.01</definedName>
    <definedName name="solver_typ" localSheetId="6" hidden="1">1</definedName>
    <definedName name="solver_val" localSheetId="6" hidden="1">0</definedName>
    <definedName name="solver_ver" localSheetId="6" hidden="1">2</definedName>
    <definedName name="solver_eng" localSheetId="11" hidden="1">1</definedName>
    <definedName name="solver_lin" localSheetId="11" hidden="1">2</definedName>
    <definedName name="solver_neg" localSheetId="11" hidden="1">1</definedName>
    <definedName name="solver_num" localSheetId="11" hidden="1">0</definedName>
    <definedName name="solver_opt" localSheetId="11" hidden="1">AIRBUS!$D$2</definedName>
    <definedName name="solver_typ" localSheetId="11" hidden="1">1</definedName>
    <definedName name="solver_val" localSheetId="11" hidden="1">0</definedName>
    <definedName name="solver_ver" localSheetId="11" hidden="1">2</definedName>
  </definedNames>
  <calcPr calcId="191029" fullCalcOnLoad="1"/>
</workbook>
</file>

<file path=xl/styles.xml><?xml version="1.0" encoding="utf-8"?>
<styleSheet xmlns="http://schemas.openxmlformats.org/spreadsheetml/2006/main">
  <numFmts count="9">
    <numFmt numFmtId="164" formatCode="0.0000"/>
    <numFmt numFmtId="165" formatCode="yyyy\-mm"/>
    <numFmt numFmtId="166" formatCode="yyyy\-mm\-dd;@"/>
    <numFmt numFmtId="167" formatCode="0.00000000"/>
    <numFmt numFmtId="168" formatCode="0.000000"/>
    <numFmt numFmtId="169" formatCode="yyyy\-mm\-dd"/>
    <numFmt numFmtId="170" formatCode="0.000"/>
    <numFmt numFmtId="171" formatCode="0.0000%"/>
    <numFmt numFmtId="172" formatCode="#,##0.000000"/>
  </numFmts>
  <fonts count="22">
    <font>
      <name val="Calibri"/>
      <family val="2"/>
      <color theme="1"/>
      <sz val="11"/>
      <scheme val="minor"/>
    </font>
    <font>
      <name val="Calibri"/>
      <family val="2"/>
      <color theme="1"/>
      <sz val="12"/>
      <scheme val="minor"/>
    </font>
    <font>
      <name val="Calibri"/>
      <family val="2"/>
      <b val="1"/>
      <color theme="1"/>
      <sz val="11"/>
      <scheme val="minor"/>
    </font>
    <font>
      <name val="Helvetica Neue"/>
      <family val="2"/>
      <color rgb="FF000000"/>
      <sz val="10"/>
    </font>
    <font>
      <name val="Helvetica Neue"/>
      <family val="2"/>
      <b val="1"/>
      <color rgb="FF000000"/>
      <sz val="10"/>
    </font>
    <font>
      <name val="Calibri"/>
      <family val="2"/>
      <color theme="10"/>
      <sz val="11"/>
      <u val="single"/>
      <scheme val="minor"/>
    </font>
    <font>
      <name val="Calibri"/>
      <family val="2"/>
      <color theme="1"/>
      <sz val="10"/>
      <scheme val="minor"/>
    </font>
    <font>
      <name val="Calibri"/>
      <family val="2"/>
      <color theme="1"/>
      <sz val="11"/>
      <scheme val="minor"/>
    </font>
    <font>
      <name val="Calibri (Corpo)"/>
      <color theme="1"/>
      <sz val="20"/>
    </font>
    <font>
      <name val="Calibri"/>
      <family val="2"/>
      <i val="1"/>
      <color rgb="FF000000"/>
      <sz val="10"/>
      <scheme val="minor"/>
    </font>
    <font>
      <name val="Calibri"/>
      <family val="2"/>
      <b val="1"/>
      <color rgb="FF000000"/>
      <sz val="11"/>
    </font>
    <font>
      <name val="Calibri"/>
      <family val="2"/>
      <color theme="0"/>
      <sz val="11"/>
      <scheme val="minor"/>
    </font>
    <font>
      <name val="Calibri"/>
      <family val="2"/>
      <color theme="0"/>
      <sz val="18"/>
      <scheme val="minor"/>
    </font>
    <font>
      <name val="Calibri"/>
      <family val="2"/>
      <b val="1"/>
      <color rgb="FF3F3F3F"/>
      <sz val="12"/>
      <scheme val="minor"/>
    </font>
    <font>
      <name val="Calibri"/>
      <family val="2"/>
      <b val="1"/>
      <color rgb="FFFA7D00"/>
      <sz val="12"/>
      <scheme val="minor"/>
    </font>
    <font>
      <name val="Calibri"/>
      <family val="2"/>
      <i val="1"/>
      <color rgb="FF7F7F7F"/>
      <sz val="12"/>
      <scheme val="minor"/>
    </font>
    <font>
      <name val="Calibri"/>
      <family val="2"/>
      <sz val="8"/>
      <scheme val="minor"/>
    </font>
    <font>
      <name val="Calibri"/>
      <family val="2"/>
      <b val="1"/>
      <color theme="1"/>
      <sz val="18"/>
      <scheme val="minor"/>
    </font>
    <font>
      <name val="Calibri"/>
      <family val="2"/>
      <color rgb="FF000000"/>
      <sz val="10"/>
      <scheme val="minor"/>
    </font>
    <font>
      <name val="Calibri"/>
      <family val="2"/>
      <b val="1"/>
      <color rgb="FF000000"/>
      <sz val="11"/>
      <scheme val="minor"/>
    </font>
    <font>
      <name val="Calibri"/>
      <family val="2"/>
      <color rgb="FF000000"/>
      <sz val="11"/>
      <scheme val="minor"/>
    </font>
    <font>
      <name val="Calibri"/>
      <family val="2"/>
      <color theme="0"/>
      <sz val="12"/>
      <scheme val="minor"/>
    </font>
  </fonts>
  <fills count="14">
    <fill>
      <patternFill/>
    </fill>
    <fill>
      <patternFill patternType="gray125"/>
    </fill>
    <fill>
      <patternFill patternType="solid">
        <fgColor theme="6" tint="0.7999816888943144"/>
        <bgColor indexed="64"/>
      </patternFill>
    </fill>
    <fill>
      <patternFill patternType="solid">
        <fgColor theme="9" tint="0.3999755851924192"/>
        <bgColor indexed="64"/>
      </patternFill>
    </fill>
    <fill>
      <patternFill patternType="solid">
        <fgColor theme="4" tint="0.3999755851924192"/>
        <bgColor indexed="64"/>
      </patternFill>
    </fill>
    <fill>
      <patternFill patternType="solid">
        <fgColor theme="4" tint="0.7999816888943144"/>
        <bgColor indexed="64"/>
      </patternFill>
    </fill>
    <fill>
      <patternFill patternType="solid">
        <fgColor theme="4" tint="-0.249977111117893"/>
        <bgColor indexed="64"/>
      </patternFill>
    </fill>
    <fill>
      <patternFill patternType="solid">
        <fgColor theme="4" tint="0.5999938962981048"/>
        <bgColor indexed="64"/>
      </patternFill>
    </fill>
    <fill>
      <patternFill patternType="solid">
        <fgColor theme="4"/>
        <bgColor indexed="64"/>
      </patternFill>
    </fill>
    <fill>
      <patternFill patternType="solid">
        <fgColor rgb="FFF2F2F2"/>
      </patternFill>
    </fill>
    <fill>
      <patternFill patternType="solid">
        <fgColor theme="5"/>
        <bgColor indexed="64"/>
      </patternFill>
    </fill>
    <fill>
      <patternFill patternType="solid">
        <fgColor theme="9" tint="0.7999816888943144"/>
        <bgColor indexed="64"/>
      </patternFill>
    </fill>
    <fill>
      <patternFill patternType="solid">
        <fgColor theme="5" tint="0.3999755851924192"/>
        <bgColor indexed="64"/>
      </patternFill>
    </fill>
    <fill>
      <patternFill patternType="solid">
        <fgColor theme="4"/>
      </patternFill>
    </fill>
  </fills>
  <borders count="5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3F3F3F"/>
      </right>
      <top style="thin">
        <color rgb="FF3F3F3F"/>
      </top>
      <bottom style="thin">
        <color rgb="FF3F3F3F"/>
      </bottom>
      <diagonal/>
    </border>
    <border>
      <left style="thin">
        <color rgb="FF7F7F7F"/>
      </left>
      <right style="thin">
        <color rgb="FF7F7F7F"/>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3F3F3F"/>
      </left>
      <right style="thin">
        <color rgb="FF3F3F3F"/>
      </right>
      <top/>
      <bottom style="thin">
        <color rgb="FF3F3F3F"/>
      </bottom>
      <diagonal/>
    </border>
    <border>
      <left style="medium">
        <color indexed="64"/>
      </left>
      <right/>
      <top style="medium">
        <color indexed="64"/>
      </top>
      <bottom style="medium">
        <color indexed="64"/>
      </bottom>
      <diagonal/>
    </border>
    <border>
      <left style="medium">
        <color indexed="64"/>
      </left>
      <right/>
      <top/>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7">
    <xf numFmtId="0" fontId="7" fillId="0" borderId="0"/>
    <xf numFmtId="0" fontId="5" fillId="0" borderId="0"/>
    <xf numFmtId="9" fontId="7" fillId="0" borderId="0"/>
    <xf numFmtId="0" fontId="13" fillId="9" borderId="40"/>
    <xf numFmtId="0" fontId="14" fillId="9" borderId="39"/>
    <xf numFmtId="0" fontId="15" fillId="0" borderId="0"/>
    <xf numFmtId="0" fontId="21" fillId="13" borderId="0"/>
  </cellStyleXfs>
  <cellXfs count="185">
    <xf numFmtId="0" fontId="0" fillId="0" borderId="0" pivotButton="0" quotePrefix="0" xfId="0"/>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8" pivotButton="0" quotePrefix="0" xfId="0"/>
    <xf numFmtId="0" fontId="2" fillId="0" borderId="9" pivotButton="0" quotePrefix="0" xfId="0"/>
    <xf numFmtId="0" fontId="2" fillId="0" borderId="10" pivotButton="0" quotePrefix="0" xfId="0"/>
    <xf numFmtId="0" fontId="2" fillId="0" borderId="1" applyAlignment="1" pivotButton="0" quotePrefix="0" xfId="0">
      <alignment horizontal="center" vertical="center"/>
    </xf>
    <xf numFmtId="0" fontId="0" fillId="0" borderId="16" applyAlignment="1" pivotButton="0" quotePrefix="0" xfId="0">
      <alignment vertical="center"/>
    </xf>
    <xf numFmtId="0" fontId="0" fillId="0" borderId="14" applyAlignment="1" pivotButton="0" quotePrefix="0" xfId="0">
      <alignment wrapText="1"/>
    </xf>
    <xf numFmtId="0" fontId="0" fillId="2" borderId="0" pivotButton="0" quotePrefix="0" xfId="0"/>
    <xf numFmtId="0" fontId="0" fillId="2" borderId="5" pivotButton="0" quotePrefix="0" xfId="0"/>
    <xf numFmtId="0" fontId="2" fillId="3" borderId="4" pivotButton="0" quotePrefix="0" xfId="0"/>
    <xf numFmtId="0" fontId="2" fillId="3" borderId="6" pivotButton="0" quotePrefix="0" xfId="0"/>
    <xf numFmtId="0" fontId="2" fillId="3" borderId="7" pivotButton="0" quotePrefix="0" xfId="0"/>
    <xf numFmtId="164" fontId="0" fillId="3" borderId="20" pivotButton="0" quotePrefix="0" xfId="0"/>
    <xf numFmtId="164" fontId="0" fillId="3" borderId="12" pivotButton="0" quotePrefix="0" xfId="0"/>
    <xf numFmtId="0" fontId="0" fillId="0" borderId="6" pivotButton="0" quotePrefix="0" xfId="0"/>
    <xf numFmtId="0" fontId="0" fillId="0" borderId="17" pivotButton="0" quotePrefix="0" xfId="0"/>
    <xf numFmtId="165" fontId="0" fillId="0" borderId="0" applyAlignment="1" pivotButton="0" quotePrefix="0" xfId="0">
      <alignment horizontal="center"/>
    </xf>
    <xf numFmtId="165" fontId="0" fillId="0" borderId="21" applyAlignment="1" pivotButton="0" quotePrefix="0" xfId="0">
      <alignment horizontal="center"/>
    </xf>
    <xf numFmtId="164" fontId="0" fillId="3" borderId="2" pivotButton="0" quotePrefix="0" xfId="0"/>
    <xf numFmtId="164" fontId="0" fillId="3" borderId="22" pivotButton="0" quotePrefix="0" xfId="0"/>
    <xf numFmtId="164" fontId="0" fillId="3" borderId="23" pivotButton="0" quotePrefix="0" xfId="0"/>
    <xf numFmtId="165" fontId="0" fillId="0" borderId="25" applyAlignment="1" pivotButton="0" quotePrefix="0" xfId="0">
      <alignment horizontal="center"/>
    </xf>
    <xf numFmtId="164" fontId="0" fillId="3" borderId="0" pivotButton="0" quotePrefix="0" xfId="0"/>
    <xf numFmtId="165" fontId="0" fillId="0" borderId="27" applyAlignment="1" pivotButton="0" quotePrefix="0" xfId="0">
      <alignment horizontal="center"/>
    </xf>
    <xf numFmtId="164" fontId="0" fillId="3" borderId="6" pivotButton="0" quotePrefix="0" xfId="0"/>
    <xf numFmtId="164" fontId="0" fillId="3" borderId="17" pivotButton="0" quotePrefix="0" xfId="0"/>
    <xf numFmtId="164" fontId="0" fillId="3" borderId="28" pivotButton="0" quotePrefix="0" xfId="0"/>
    <xf numFmtId="0" fontId="2" fillId="0" borderId="0" pivotButton="0" quotePrefix="0" xfId="0"/>
    <xf numFmtId="0" fontId="4" fillId="0" borderId="0" pivotButton="0" quotePrefix="0" xfId="0"/>
    <xf numFmtId="166" fontId="4" fillId="0" borderId="0" pivotButton="0" quotePrefix="0" xfId="0"/>
    <xf numFmtId="164" fontId="3" fillId="0" borderId="0" pivotButton="0" quotePrefix="0" xfId="0"/>
    <xf numFmtId="0" fontId="5" fillId="0" borderId="0" pivotButton="0" quotePrefix="0" xfId="1"/>
    <xf numFmtId="10" fontId="6" fillId="0" borderId="0" pivotButton="0" quotePrefix="0" xfId="0"/>
    <xf numFmtId="10" fontId="0" fillId="0" borderId="0" pivotButton="0" quotePrefix="0" xfId="0"/>
    <xf numFmtId="10" fontId="2"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20" pivotButton="0" quotePrefix="0" xfId="0"/>
    <xf numFmtId="167" fontId="0" fillId="0" borderId="0" pivotButton="0" quotePrefix="0" xfId="0"/>
    <xf numFmtId="167" fontId="0" fillId="0" borderId="33" pivotButton="0" quotePrefix="0" xfId="0"/>
    <xf numFmtId="10" fontId="3" fillId="0" borderId="0" pivotButton="0" quotePrefix="0" xfId="2"/>
    <xf numFmtId="10" fontId="0" fillId="0" borderId="0" pivotButton="0" quotePrefix="0" xfId="2"/>
    <xf numFmtId="0" fontId="9" fillId="7" borderId="35" applyAlignment="1" pivotButton="0" quotePrefix="0" xfId="0">
      <alignment horizontal="center"/>
    </xf>
    <xf numFmtId="0" fontId="0" fillId="7" borderId="24" pivotButton="0" quotePrefix="0" xfId="0"/>
    <xf numFmtId="0" fontId="0" fillId="7" borderId="26" pivotButton="0" quotePrefix="0" xfId="0"/>
    <xf numFmtId="0" fontId="0" fillId="7" borderId="38" pivotButton="0" quotePrefix="0" xfId="0"/>
    <xf numFmtId="0" fontId="9" fillId="7" borderId="36" applyAlignment="1" pivotButton="0" quotePrefix="0" xfId="0">
      <alignment horizontal="center"/>
    </xf>
    <xf numFmtId="0" fontId="9" fillId="7" borderId="37" applyAlignment="1" pivotButton="0" quotePrefix="0" xfId="0">
      <alignment horizontal="center"/>
    </xf>
    <xf numFmtId="167" fontId="2" fillId="0" borderId="0" pivotButton="0" quotePrefix="0" xfId="0"/>
    <xf numFmtId="0" fontId="2" fillId="7" borderId="8" pivotButton="0" quotePrefix="0" xfId="0"/>
    <xf numFmtId="0" fontId="2" fillId="7" borderId="9" pivotButton="0" quotePrefix="0" xfId="0"/>
    <xf numFmtId="0" fontId="2" fillId="7" borderId="10" pivotButton="0" quotePrefix="0" xfId="0"/>
    <xf numFmtId="0" fontId="2" fillId="7" borderId="8" applyAlignment="1" pivotButton="0" quotePrefix="0" xfId="0">
      <alignment horizontal="center" vertical="center"/>
    </xf>
    <xf numFmtId="0" fontId="2" fillId="7" borderId="10" applyAlignment="1" pivotButton="0" quotePrefix="0" xfId="0">
      <alignment horizontal="center"/>
    </xf>
    <xf numFmtId="0" fontId="2" fillId="7" borderId="9" applyAlignment="1" pivotButton="0" quotePrefix="0" xfId="0">
      <alignment horizontal="center" vertical="center"/>
    </xf>
    <xf numFmtId="0" fontId="2" fillId="7" borderId="9" applyAlignment="1" pivotButton="0" quotePrefix="0" xfId="0">
      <alignment horizontal="center"/>
    </xf>
    <xf numFmtId="0" fontId="2" fillId="7" borderId="8" applyAlignment="1" pivotButton="0" quotePrefix="0" xfId="0">
      <alignment horizontal="center"/>
    </xf>
    <xf numFmtId="0" fontId="2" fillId="0" borderId="0" applyAlignment="1" pivotButton="0" quotePrefix="0" xfId="0">
      <alignment wrapText="1"/>
    </xf>
    <xf numFmtId="0" fontId="10" fillId="5" borderId="0" pivotButton="0" quotePrefix="0" xfId="0"/>
    <xf numFmtId="0" fontId="0" fillId="0" borderId="0" applyAlignment="1" pivotButton="0" quotePrefix="0" xfId="0">
      <alignment horizontal="left"/>
    </xf>
    <xf numFmtId="168" fontId="0" fillId="0" borderId="0" pivotButton="0" quotePrefix="0" xfId="0"/>
    <xf numFmtId="168" fontId="0" fillId="0" borderId="20" pivotButton="0" quotePrefix="0" xfId="0"/>
    <xf numFmtId="168" fontId="0" fillId="0" borderId="33" pivotButton="0" quotePrefix="0" xfId="0"/>
    <xf numFmtId="168" fontId="0" fillId="0" borderId="34" pivotButton="0" quotePrefix="0" xfId="0"/>
    <xf numFmtId="0" fontId="0" fillId="0" borderId="34" pivotButton="0" quotePrefix="0" xfId="0"/>
    <xf numFmtId="0" fontId="0" fillId="0" borderId="0" pivotButton="0" quotePrefix="1" xfId="0"/>
    <xf numFmtId="0" fontId="14" fillId="9" borderId="39" pivotButton="0" quotePrefix="0" xfId="4"/>
    <xf numFmtId="0" fontId="15" fillId="0" borderId="0" pivotButton="0" quotePrefix="0" xfId="5"/>
    <xf numFmtId="0" fontId="13" fillId="9" borderId="40" pivotButton="0" quotePrefix="0" xfId="3"/>
    <xf numFmtId="164" fontId="13" fillId="9" borderId="40" pivotButton="0" quotePrefix="0" xfId="3"/>
    <xf numFmtId="0" fontId="14" fillId="9" borderId="41" pivotButton="0" quotePrefix="0" xfId="4"/>
    <xf numFmtId="0" fontId="14" fillId="9" borderId="42" pivotButton="0" quotePrefix="0" xfId="4"/>
    <xf numFmtId="0" fontId="0" fillId="0" borderId="30" pivotButton="0" quotePrefix="0" xfId="0"/>
    <xf numFmtId="10" fontId="13" fillId="9" borderId="40" pivotButton="0" quotePrefix="0" xfId="3"/>
    <xf numFmtId="10" fontId="14" fillId="9" borderId="39" pivotButton="0" quotePrefix="0" xfId="4"/>
    <xf numFmtId="10" fontId="13" fillId="11" borderId="40" pivotButton="0" quotePrefix="0" xfId="3"/>
    <xf numFmtId="164" fontId="13" fillId="9" borderId="43" pivotButton="0" quotePrefix="0" xfId="3"/>
    <xf numFmtId="10" fontId="13" fillId="12" borderId="40" pivotButton="0" quotePrefix="0" xfId="3"/>
    <xf numFmtId="0" fontId="14" fillId="9" borderId="44" pivotButton="0" quotePrefix="0" xfId="4"/>
    <xf numFmtId="0" fontId="14" fillId="9" borderId="42" pivotButton="0" quotePrefix="1" xfId="4"/>
    <xf numFmtId="0" fontId="1" fillId="0" borderId="0" pivotButton="0" quotePrefix="0" xfId="0"/>
    <xf numFmtId="0" fontId="3" fillId="0" borderId="0" pivotButton="0" quotePrefix="0" xfId="0"/>
    <xf numFmtId="10" fontId="18" fillId="0" borderId="0" pivotButton="0" quotePrefix="0" xfId="0"/>
    <xf numFmtId="0" fontId="19" fillId="0" borderId="30" applyAlignment="1" pivotButton="0" quotePrefix="0" xfId="0">
      <alignment horizontal="center" vertical="top"/>
    </xf>
    <xf numFmtId="0" fontId="19" fillId="0" borderId="47" applyAlignment="1" pivotButton="0" quotePrefix="0" xfId="0">
      <alignment horizontal="center" vertical="top"/>
    </xf>
    <xf numFmtId="169" fontId="20" fillId="0" borderId="0" pivotButton="0" quotePrefix="0" xfId="0"/>
    <xf numFmtId="170" fontId="0" fillId="0" borderId="0" pivotButton="0" quotePrefix="0" xfId="0"/>
    <xf numFmtId="170" fontId="20" fillId="0" borderId="0" pivotButton="0" quotePrefix="0" xfId="0"/>
    <xf numFmtId="171" fontId="0" fillId="0" borderId="0" pivotButton="0" quotePrefix="0" xfId="2"/>
    <xf numFmtId="170" fontId="0" fillId="3" borderId="24" pivotButton="0" quotePrefix="0" xfId="0"/>
    <xf numFmtId="170" fontId="0" fillId="3" borderId="26" pivotButton="0" quotePrefix="0" xfId="0"/>
    <xf numFmtId="170" fontId="0" fillId="3" borderId="29" pivotButton="0" quotePrefix="0" xfId="0"/>
    <xf numFmtId="0" fontId="2" fillId="7" borderId="0" applyAlignment="1" pivotButton="0" quotePrefix="0" xfId="0">
      <alignment horizontal="center"/>
    </xf>
    <xf numFmtId="0" fontId="0" fillId="0" borderId="0" applyAlignment="1" pivotButton="0" quotePrefix="0" xfId="0">
      <alignment horizontal="right"/>
    </xf>
    <xf numFmtId="0" fontId="2" fillId="7" borderId="30" applyAlignment="1" pivotButton="0" quotePrefix="0" xfId="0">
      <alignment horizontal="center"/>
    </xf>
    <xf numFmtId="0" fontId="2" fillId="7" borderId="30" applyAlignment="1" pivotButton="0" quotePrefix="0" xfId="0">
      <alignment horizontal="center" vertical="center"/>
    </xf>
    <xf numFmtId="0" fontId="2" fillId="3" borderId="0" applyAlignment="1" pivotButton="0" quotePrefix="0" xfId="0">
      <alignment horizontal="right"/>
    </xf>
    <xf numFmtId="164" fontId="13" fillId="11" borderId="40" pivotButton="0" quotePrefix="0" xfId="3"/>
    <xf numFmtId="0" fontId="14" fillId="9" borderId="39" applyAlignment="1" pivotButton="0" quotePrefix="0" xfId="4">
      <alignment vertical="top"/>
    </xf>
    <xf numFmtId="0" fontId="13" fillId="9" borderId="40" pivotButton="0" quotePrefix="0" xfId="3"/>
    <xf numFmtId="165" fontId="13" fillId="9" borderId="40" applyAlignment="1" pivotButton="0" quotePrefix="0" xfId="3">
      <alignment horizontal="center"/>
    </xf>
    <xf numFmtId="171" fontId="13" fillId="9" borderId="40" pivotButton="0" quotePrefix="0" xfId="3"/>
    <xf numFmtId="0" fontId="13" fillId="9" borderId="40" applyAlignment="1" pivotButton="0" quotePrefix="0" xfId="3">
      <alignment horizontal="right"/>
    </xf>
    <xf numFmtId="10" fontId="13" fillId="9" borderId="51" pivotButton="0" quotePrefix="0" xfId="3"/>
    <xf numFmtId="171" fontId="13" fillId="9" borderId="51" pivotButton="0" quotePrefix="0" xfId="3"/>
    <xf numFmtId="0" fontId="0" fillId="0" borderId="10" pivotButton="0" quotePrefix="0" xfId="0"/>
    <xf numFmtId="164" fontId="2" fillId="3" borderId="0" applyAlignment="1" pivotButton="0" quotePrefix="0" xfId="0">
      <alignment horizontal="left"/>
    </xf>
    <xf numFmtId="0" fontId="0" fillId="0" borderId="30" applyAlignment="1" pivotButton="0" quotePrefix="0" xfId="0">
      <alignment horizontal="center" vertical="center"/>
    </xf>
    <xf numFmtId="0" fontId="0" fillId="0" borderId="30" applyAlignment="1" pivotButton="0" quotePrefix="0" xfId="0">
      <alignment horizontal="center" wrapText="1"/>
    </xf>
    <xf numFmtId="0" fontId="2" fillId="0" borderId="30" applyAlignment="1" pivotButton="0" quotePrefix="0" xfId="0">
      <alignment horizontal="center"/>
    </xf>
    <xf numFmtId="0" fontId="12" fillId="13" borderId="48" applyAlignment="1" pivotButton="0" quotePrefix="0" xfId="6">
      <alignment horizontal="center"/>
    </xf>
    <xf numFmtId="0" fontId="12" fillId="13" borderId="49" applyAlignment="1" pivotButton="0" quotePrefix="0" xfId="6">
      <alignment horizontal="center"/>
    </xf>
    <xf numFmtId="0" fontId="12" fillId="13" borderId="50" applyAlignment="1" pivotButton="0" quotePrefix="0" xfId="6">
      <alignment horizontal="center"/>
    </xf>
    <xf numFmtId="0" fontId="0" fillId="0" borderId="6" applyAlignment="1" pivotButton="0" quotePrefix="0" xfId="0">
      <alignment horizontal="center"/>
    </xf>
    <xf numFmtId="0" fontId="2" fillId="0" borderId="10" applyAlignment="1" pivotButton="0" quotePrefix="0" xfId="0">
      <alignment horizontal="center"/>
    </xf>
    <xf numFmtId="0" fontId="0" fillId="0" borderId="15" applyAlignment="1" pivotButton="0" quotePrefix="0" xfId="0">
      <alignment horizontal="center" vertical="center" wrapText="1"/>
    </xf>
    <xf numFmtId="0" fontId="0" fillId="0" borderId="16" applyAlignment="1" pivotButton="0" quotePrefix="0" xfId="0">
      <alignment horizontal="center" vertical="center" wrapText="1"/>
    </xf>
    <xf numFmtId="0" fontId="0" fillId="0" borderId="11" applyAlignment="1" pivotButton="0" quotePrefix="0" xfId="0">
      <alignment horizontal="center" wrapText="1"/>
    </xf>
    <xf numFmtId="0" fontId="0" fillId="0" borderId="13" applyAlignment="1" pivotButton="0" quotePrefix="0" xfId="0">
      <alignment horizontal="center"/>
    </xf>
    <xf numFmtId="0" fontId="0" fillId="2" borderId="18" applyAlignment="1" pivotButton="0" quotePrefix="0" xfId="0">
      <alignment horizontal="center"/>
    </xf>
    <xf numFmtId="0" fontId="0" fillId="2" borderId="19" applyAlignment="1" pivotButton="0" quotePrefix="0" xfId="0">
      <alignment horizontal="center"/>
    </xf>
    <xf numFmtId="0" fontId="0" fillId="2" borderId="4" applyAlignment="1" pivotButton="0" quotePrefix="0" xfId="0">
      <alignment horizontal="center"/>
    </xf>
    <xf numFmtId="0" fontId="0" fillId="2" borderId="5" applyAlignment="1" pivotButton="0" quotePrefix="0" xfId="0">
      <alignment horizontal="center"/>
    </xf>
    <xf numFmtId="0" fontId="12" fillId="6" borderId="15" applyAlignment="1" pivotButton="0" quotePrefix="0" xfId="0">
      <alignment horizontal="center" vertical="center"/>
    </xf>
    <xf numFmtId="0" fontId="12" fillId="6" borderId="31" applyAlignment="1" pivotButton="0" quotePrefix="0" xfId="0">
      <alignment horizontal="center" vertical="center"/>
    </xf>
    <xf numFmtId="0" fontId="12" fillId="6" borderId="32" applyAlignment="1" pivotButton="0" quotePrefix="0" xfId="0">
      <alignment horizontal="center" vertical="center"/>
    </xf>
    <xf numFmtId="0" fontId="12" fillId="6" borderId="16" applyAlignment="1" pivotButton="0" quotePrefix="0" xfId="0">
      <alignment horizontal="center" vertical="center"/>
    </xf>
    <xf numFmtId="0" fontId="12" fillId="6" borderId="33" applyAlignment="1" pivotButton="0" quotePrefix="0" xfId="0">
      <alignment horizontal="center" vertical="center"/>
    </xf>
    <xf numFmtId="0" fontId="12" fillId="6" borderId="34" applyAlignment="1" pivotButton="0" quotePrefix="0" xfId="0">
      <alignment horizontal="center" vertical="center"/>
    </xf>
    <xf numFmtId="0" fontId="8" fillId="4" borderId="30" applyAlignment="1" pivotButton="0" quotePrefix="0" xfId="0">
      <alignment horizontal="center" vertical="center"/>
    </xf>
    <xf numFmtId="0" fontId="0" fillId="4" borderId="30" applyAlignment="1" pivotButton="0" quotePrefix="0" xfId="0">
      <alignment horizontal="center" vertical="center"/>
    </xf>
    <xf numFmtId="0" fontId="2" fillId="7" borderId="8" applyAlignment="1" pivotButton="0" quotePrefix="0" xfId="0">
      <alignment horizontal="center" vertical="center"/>
    </xf>
    <xf numFmtId="0" fontId="2" fillId="7" borderId="10" applyAlignment="1" pivotButton="0" quotePrefix="0" xfId="0">
      <alignment horizontal="center" vertical="center"/>
    </xf>
    <xf numFmtId="0" fontId="11" fillId="8" borderId="0" applyAlignment="1" pivotButton="0" quotePrefix="0" xfId="0">
      <alignment horizontal="center"/>
    </xf>
    <xf numFmtId="0" fontId="17" fillId="10" borderId="45" applyAlignment="1" pivotButton="0" quotePrefix="0" xfId="0">
      <alignment horizontal="center" vertical="top"/>
    </xf>
    <xf numFmtId="0" fontId="17" fillId="10" borderId="46" applyAlignment="1" pivotButton="0" quotePrefix="0" xfId="0">
      <alignment horizontal="center" vertical="top"/>
    </xf>
    <xf numFmtId="0" fontId="17" fillId="10" borderId="47" applyAlignment="1" pivotButton="0" quotePrefix="0" xfId="0">
      <alignment horizontal="center" vertical="top"/>
    </xf>
    <xf numFmtId="0" fontId="0" fillId="0" borderId="0" applyAlignment="1" pivotButton="0" quotePrefix="0" xfId="0">
      <alignment horizontal="center" vertical="top" wrapText="1"/>
    </xf>
    <xf numFmtId="0" fontId="0" fillId="0" borderId="52" applyAlignment="1" pivotButton="0" quotePrefix="0" xfId="0">
      <alignment horizontal="center" vertical="center" wrapText="1"/>
    </xf>
    <xf numFmtId="0" fontId="0" fillId="0" borderId="14" applyAlignment="1" pivotButton="0" quotePrefix="0" xfId="0">
      <alignment horizontal="center" wrapText="1"/>
    </xf>
    <xf numFmtId="0" fontId="0" fillId="0" borderId="16" pivotButton="0" quotePrefix="0" xfId="0"/>
    <xf numFmtId="0" fontId="0" fillId="0" borderId="13" pivotButton="0" quotePrefix="0" xfId="0"/>
    <xf numFmtId="0" fontId="0" fillId="2" borderId="54" applyAlignment="1" pivotButton="0" quotePrefix="0" xfId="0">
      <alignment horizontal="center"/>
    </xf>
    <xf numFmtId="0" fontId="0" fillId="0" borderId="19" pivotButton="0" quotePrefix="0" xfId="0"/>
    <xf numFmtId="0" fontId="0" fillId="0" borderId="4" pivotButton="0" quotePrefix="0" xfId="0"/>
    <xf numFmtId="0" fontId="0" fillId="0" borderId="5" pivotButton="0" quotePrefix="0" xfId="0"/>
    <xf numFmtId="165" fontId="0" fillId="0" borderId="21" applyAlignment="1" pivotButton="0" quotePrefix="0" xfId="0">
      <alignment horizontal="center"/>
    </xf>
    <xf numFmtId="10" fontId="0" fillId="3" borderId="2" pivotButton="0" quotePrefix="0" xfId="0"/>
    <xf numFmtId="10" fontId="0" fillId="3" borderId="22" pivotButton="0" quotePrefix="0" xfId="0"/>
    <xf numFmtId="10" fontId="0" fillId="3" borderId="23" pivotButton="0" quotePrefix="0" xfId="0"/>
    <xf numFmtId="165" fontId="0" fillId="0" borderId="25" applyAlignment="1" pivotButton="0" quotePrefix="0" xfId="0">
      <alignment horizontal="center"/>
    </xf>
    <xf numFmtId="10" fontId="0" fillId="3" borderId="0" pivotButton="0" quotePrefix="0" xfId="0"/>
    <xf numFmtId="10" fontId="0" fillId="3" borderId="20" pivotButton="0" quotePrefix="0" xfId="0"/>
    <xf numFmtId="10" fontId="0" fillId="3" borderId="12" pivotButton="0" quotePrefix="0" xfId="0"/>
    <xf numFmtId="165" fontId="0" fillId="0" borderId="27" applyAlignment="1" pivotButton="0" quotePrefix="0" xfId="0">
      <alignment horizontal="center"/>
    </xf>
    <xf numFmtId="10" fontId="0" fillId="3" borderId="6" pivotButton="0" quotePrefix="0" xfId="0"/>
    <xf numFmtId="10" fontId="0" fillId="3" borderId="17" pivotButton="0" quotePrefix="0" xfId="0"/>
    <xf numFmtId="10" fontId="0" fillId="3" borderId="28" pivotButton="0" quotePrefix="0" xfId="0"/>
    <xf numFmtId="165" fontId="0" fillId="0" borderId="0" applyAlignment="1" pivotButton="0" quotePrefix="0" xfId="0">
      <alignment horizontal="center"/>
    </xf>
    <xf numFmtId="172" fontId="3" fillId="0" borderId="0" pivotButton="0" quotePrefix="0" xfId="0"/>
    <xf numFmtId="172" fontId="0" fillId="0" borderId="0" pivotButton="0" quotePrefix="0" xfId="0"/>
    <xf numFmtId="0" fontId="12" fillId="6" borderId="14" applyAlignment="1" pivotButton="0" quotePrefix="0" xfId="0">
      <alignment horizontal="center" vertical="center"/>
    </xf>
    <xf numFmtId="0" fontId="0" fillId="0" borderId="31" pivotButton="0" quotePrefix="0" xfId="0"/>
    <xf numFmtId="0" fontId="0" fillId="0" borderId="32" pivotButton="0" quotePrefix="0" xfId="0"/>
    <xf numFmtId="0" fontId="0" fillId="0" borderId="33" pivotButton="0" quotePrefix="0" xfId="0"/>
    <xf numFmtId="164" fontId="3" fillId="0" borderId="0" pivotButton="0" quotePrefix="0" xfId="0"/>
    <xf numFmtId="0" fontId="0" fillId="0" borderId="2" pivotButton="0" quotePrefix="0" xfId="0"/>
    <xf numFmtId="0" fontId="0" fillId="0" borderId="3" pivotButton="0" quotePrefix="0" xfId="0"/>
    <xf numFmtId="0" fontId="0" fillId="0" borderId="55" pivotButton="0" quotePrefix="0" xfId="0"/>
    <xf numFmtId="0" fontId="0" fillId="0" borderId="7" pivotButton="0" quotePrefix="0" xfId="0"/>
    <xf numFmtId="0" fontId="17" fillId="10" borderId="30" applyAlignment="1" pivotButton="0" quotePrefix="0" xfId="0">
      <alignment horizontal="center" vertical="top"/>
    </xf>
    <xf numFmtId="0" fontId="0" fillId="0" borderId="47" pivotButton="0" quotePrefix="0" xfId="0"/>
    <xf numFmtId="0" fontId="0" fillId="0" borderId="46" pivotButton="0" quotePrefix="0" xfId="0"/>
    <xf numFmtId="164" fontId="13" fillId="9" borderId="40" pivotButton="0" quotePrefix="0" xfId="3"/>
    <xf numFmtId="164" fontId="13" fillId="9" borderId="43" pivotButton="0" quotePrefix="0" xfId="3"/>
    <xf numFmtId="164" fontId="13" fillId="11" borderId="40" pivotButton="0" quotePrefix="0" xfId="3"/>
    <xf numFmtId="0" fontId="0" fillId="0" borderId="56" pivotButton="0" quotePrefix="0" xfId="0"/>
    <xf numFmtId="0" fontId="0" fillId="0" borderId="57" pivotButton="0" quotePrefix="0" xfId="0"/>
    <xf numFmtId="0" fontId="0" fillId="0" borderId="9" pivotButton="0" quotePrefix="0" xfId="0"/>
    <xf numFmtId="165" fontId="13" fillId="9" borderId="40" applyAlignment="1" pivotButton="0" quotePrefix="0" xfId="3">
      <alignment horizontal="center"/>
    </xf>
    <xf numFmtId="164" fontId="2" fillId="3" borderId="0" applyAlignment="1" pivotButton="0" quotePrefix="0" xfId="0">
      <alignment horizontal="left"/>
    </xf>
    <xf numFmtId="4" fontId="3" fillId="0" borderId="0" pivotButton="0" quotePrefix="0" xfId="0"/>
    <xf numFmtId="4" fontId="0" fillId="0" borderId="0" pivotButton="0" quotePrefix="0" xfId="0"/>
  </cellXfs>
  <cellStyles count="7">
    <cellStyle name="Normal" xfId="0" builtinId="0"/>
    <cellStyle name="Hyperlink" xfId="1" builtinId="8"/>
    <cellStyle name="Percent" xfId="2" builtinId="5"/>
    <cellStyle name="Output" xfId="3" builtinId="21"/>
    <cellStyle name="Calculation" xfId="4" builtinId="22"/>
    <cellStyle name="Explanatory Text" xfId="5" builtinId="53"/>
    <cellStyle name="Accent1" xfId="6" builtinId="2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 Type="http://schemas.microsoft.com/office/2006/relationships/vbaProject" Target="vbaProject.bin" Id="rId26"/></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0" baseline="0">
                <a:solidFill>
                  <a:schemeClr val="tx1">
                    <a:lumMod val="65000"/>
                    <a:lumOff val="35000"/>
                  </a:schemeClr>
                </a:solidFill>
                <a:latin typeface="+mn-lt"/>
                <a:ea typeface="+mn-ea"/>
                <a:cs typeface="+mn-cs"/>
              </a:defRPr>
            </a:pPr>
            <a:r>
              <a:rPr lang="en-US" sz="1600" b="1"/>
              <a:t>Annalised Returns vs. Annualised</a:t>
            </a:r>
            <a:r>
              <a:rPr lang="en-US" sz="1600" b="1" baseline="0"/>
              <a:t xml:space="preserve"> SD</a:t>
            </a:r>
            <a:endParaRPr lang="en-US" sz="16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0" baseline="0">
              <a:solidFill>
                <a:schemeClr val="tx1">
                  <a:lumMod val="65000"/>
                  <a:lumOff val="35000"/>
                </a:schemeClr>
              </a:solidFill>
              <a:latin typeface="+mn-lt"/>
              <a:ea typeface="+mn-ea"/>
              <a:cs typeface="+mn-cs"/>
            </a:defRPr>
          </a:pPr>
          <a:r>
            <a:t/>
          </a:r>
          <a:endParaRPr lang="en-US"/>
        </a:p>
      </txPr>
    </title>
    <plotArea>
      <layout>
        <manualLayout>
          <layoutTarget val="inner"/>
          <xMode val="edge"/>
          <yMode val="edge"/>
          <wMode val="factor"/>
          <hMode val="factor"/>
          <x val="0.09529805150498891"/>
          <y val="0.1288765135705442"/>
          <w val="0.8666566284202156"/>
          <h val="0.7057410755288414"/>
        </manualLayout>
      </layout>
      <scatterChart>
        <scatterStyle val="lineMarker"/>
        <varyColors val="0"/>
        <ser>
          <idx val="0"/>
          <order val="0"/>
          <tx>
            <strRef>
              <f>'Returns-VOL'!$D$215</f>
              <strCache>
                <ptCount val="1"/>
                <pt idx="0">
                  <v>Annalised Returns</v>
                </pt>
              </strCache>
            </strRef>
          </tx>
          <spPr>
            <a:ln xmlns:a="http://schemas.openxmlformats.org/drawingml/2006/main" w="19050" cap="rnd">
              <a:noFill/>
              <a:prstDash val="solid"/>
              <a:round/>
            </a:ln>
          </spPr>
          <marker>
            <symbol val="circle"/>
            <size val="5"/>
            <spPr>
              <a:solidFill xmlns:a="http://schemas.openxmlformats.org/drawingml/2006/main">
                <a:srgbClr val="0070C0"/>
              </a:solidFill>
              <a:ln xmlns:a="http://schemas.openxmlformats.org/drawingml/2006/main" w="3175">
                <a:solidFill>
                  <a:schemeClr val="accent1"/>
                </a:solidFill>
                <a:prstDash val="solid"/>
              </a:ln>
            </spPr>
          </marker>
          <dLbls>
            <dLbl>
              <idx val="12"/>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it-VI"/>
              </a:p>
            </txPr>
            <showLegendKey val="0"/>
            <showVal val="0"/>
            <showCatName val="0"/>
            <showSerName val="0"/>
            <showPercent val="0"/>
            <showBubbleSize val="0"/>
          </dLbls>
          <xVal>
            <numRef>
              <f>'Returns-VOL'!$C$216:$C$228</f>
              <numCache>
                <formatCode>0.00%</formatCode>
                <ptCount val="13"/>
                <pt idx="0">
                  <v>0.3080770880031855</v>
                </pt>
                <pt idx="1">
                  <v>0.3247282801092605</v>
                </pt>
                <pt idx="2">
                  <v>0.2640543145714344</v>
                </pt>
                <pt idx="3">
                  <v>0.1598620189494954</v>
                </pt>
                <pt idx="4">
                  <v>0.2489243234574574</v>
                </pt>
                <pt idx="5">
                  <v>0.2560797606149202</v>
                </pt>
                <pt idx="6">
                  <v>0.1890253303439366</v>
                </pt>
                <pt idx="7">
                  <v>0.3854562110150805</v>
                </pt>
                <pt idx="8">
                  <v>0.1912656649221656</v>
                </pt>
                <pt idx="9">
                  <v>0.2237240862022127</v>
                </pt>
                <pt idx="10">
                  <v>0.2256015184404069</v>
                </pt>
                <pt idx="11">
                  <v>0.2075840816215059</v>
                </pt>
                <pt idx="12">
                  <v>0.1652513706617217</v>
                </pt>
              </numCache>
            </numRef>
          </xVal>
          <yVal>
            <numRef>
              <f>'Returns-VOL'!$D$216:$D$228</f>
              <numCache>
                <formatCode>0.00%</formatCode>
                <ptCount val="13"/>
                <pt idx="0">
                  <v>0.2202383077723912</v>
                </pt>
                <pt idx="1">
                  <v>0.1296245912165382</v>
                </pt>
                <pt idx="2">
                  <v>0.1411803041138754</v>
                </pt>
                <pt idx="3">
                  <v>0.07673331431304904</v>
                </pt>
                <pt idx="4">
                  <v>0.07849747701991271</v>
                </pt>
                <pt idx="5">
                  <v>0.2233150583828437</v>
                </pt>
                <pt idx="6">
                  <v>0.06985621056094252</v>
                </pt>
                <pt idx="7">
                  <v>0.1007146309718341</v>
                </pt>
                <pt idx="8">
                  <v>0.09953247396723175</v>
                </pt>
                <pt idx="9">
                  <v>0.1606251796691421</v>
                </pt>
                <pt idx="10">
                  <v>0.1078523847643416</v>
                </pt>
                <pt idx="11">
                  <v>0.1381372113843309</v>
                </pt>
                <pt idx="12">
                  <v>0.1288589286780362</v>
                </pt>
              </numCache>
            </numRef>
          </yVal>
          <smooth val="0"/>
        </ser>
        <dLbls>
          <showLegendKey val="0"/>
          <showVal val="0"/>
          <showCatName val="0"/>
          <showSerName val="0"/>
          <showPercent val="0"/>
          <showBubbleSize val="0"/>
        </dLbls>
        <axId val="860330032"/>
        <axId val="859328240"/>
      </scatterChart>
      <valAx>
        <axId val="860330032"/>
        <scaling>
          <orientation val="minMax"/>
          <min val="0"/>
        </scaling>
        <delete val="0"/>
        <axPos val="b"/>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0" i="0" strike="noStrike" kern="1200" baseline="0">
                    <a:solidFill>
                      <a:schemeClr val="tx1">
                        <a:lumMod val="65000"/>
                        <a:lumOff val="35000"/>
                      </a:schemeClr>
                    </a:solidFill>
                    <effectLst>
                      <a:outerShdw blurRad="50800" dist="50800" dir="5400000" sx="15000" sy="15000" algn="ctr" rotWithShape="0">
                        <a:srgbClr val="000000"/>
                      </a:outerShdw>
                    </effectLst>
                    <a:latin typeface="+mn-lt"/>
                    <a:ea typeface="+mn-ea"/>
                    <a:cs typeface="+mn-cs"/>
                  </a:defRPr>
                </a:pPr>
                <a:r>
                  <a:rPr lang="it-IT" sz="1500">
                    <effectLst>
                      <a:outerShdw blurRad="50800" dist="50800" dir="5400000" sx="15000" sy="15000" algn="ctr" rotWithShape="0">
                        <a:srgbClr val="000000"/>
                      </a:outerShdw>
                    </effectLst>
                  </a:rPr>
                  <a:t>Annualised</a:t>
                </a:r>
                <a:r>
                  <a:rPr lang="it-IT" sz="1500" baseline="0">
                    <effectLst>
                      <a:outerShdw blurRad="50800" dist="50800" dir="5400000" sx="15000" sy="15000" algn="ctr" rotWithShape="0">
                        <a:srgbClr val="000000"/>
                      </a:outerShdw>
                    </effectLst>
                  </a:rPr>
                  <a:t xml:space="preserve"> SD</a:t>
                </a:r>
                <a:endParaRPr lang="it-IT" sz="1500">
                  <effectLst>
                    <a:outerShdw blurRad="50800" dist="50800" dir="5400000" sx="15000" sy="15000" algn="ctr" rotWithShape="0">
                      <a:srgbClr val="000000"/>
                    </a:outerShdw>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0" i="0" strike="noStrike" kern="1200" baseline="0">
                  <a:solidFill>
                    <a:schemeClr val="tx1">
                      <a:lumMod val="65000"/>
                      <a:lumOff val="35000"/>
                    </a:schemeClr>
                  </a:solidFill>
                  <effectLst>
                    <a:outerShdw blurRad="50800" dist="50800" dir="5400000" sx="15000" sy="15000" algn="ctr" rotWithShape="0">
                      <a:srgbClr val="000000"/>
                    </a:outerShdw>
                  </effectLst>
                  <a:latin typeface="+mn-lt"/>
                  <a:ea typeface="+mn-ea"/>
                  <a:cs typeface="+mn-cs"/>
                </a:defRPr>
              </a:pPr>
              <a:r>
                <a:t/>
              </a:r>
              <a:endParaRPr lang="it-IT"/>
            </a:p>
          </txPr>
        </title>
        <numFmt formatCode="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it-VI"/>
          </a:p>
        </txPr>
        <crossAx val="859328240"/>
        <crossesAt val="0"/>
        <crossBetween val="midCat"/>
      </valAx>
      <valAx>
        <axId val="85932824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500" b="0" i="0" strike="noStrike" kern="1200" baseline="0">
                    <a:solidFill>
                      <a:schemeClr val="tx1">
                        <a:lumMod val="65000"/>
                        <a:lumOff val="35000"/>
                      </a:schemeClr>
                    </a:solidFill>
                    <a:latin typeface="+mn-lt"/>
                    <a:ea typeface="+mn-ea"/>
                    <a:cs typeface="+mn-cs"/>
                  </a:defRPr>
                </a:pPr>
                <a:r>
                  <a:rPr lang="it-IT" sz="1500"/>
                  <a:t>Annalised Returns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500" b="0" i="0" strike="noStrike" kern="1200" baseline="0">
                  <a:solidFill>
                    <a:schemeClr val="tx1">
                      <a:lumMod val="65000"/>
                      <a:lumOff val="35000"/>
                    </a:schemeClr>
                  </a:solidFill>
                  <a:latin typeface="+mn-lt"/>
                  <a:ea typeface="+mn-ea"/>
                  <a:cs typeface="+mn-cs"/>
                </a:defRPr>
              </a:pPr>
              <a:r>
                <a:t/>
              </a:r>
              <a:endParaRPr lang="it-VI"/>
            </a:p>
          </txPr>
        </title>
        <numFmt formatCode="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it-VI"/>
          </a:p>
        </txPr>
        <crossAx val="860330032"/>
        <crosses val="autoZero"/>
        <crossBetween val="midCat"/>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rPr lang="en-US"/>
              <a:t>The efficient frontier (without</a:t>
            </a:r>
            <a:r>
              <a:rPr lang="en-US" baseline="0"/>
              <a:t xml:space="preserve"> shortsales)</a:t>
            </a:r>
            <a:endParaRPr lang="en-US"/>
          </a:p>
        </rich>
      </tx>
      <overlay val="0"/>
      <spPr>
        <a:noFill xmlns:a="http://schemas.openxmlformats.org/drawingml/2006/main"/>
        <a:ln xmlns:a="http://schemas.openxmlformats.org/drawingml/2006/main" w="12700">
          <a:solidFill>
            <a:schemeClr val="accent1"/>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t/>
          </a:r>
          <a:endParaRPr lang="en-US"/>
        </a:p>
      </txPr>
    </title>
    <plotArea>
      <layout/>
      <scatterChart>
        <scatterStyle val="smoothMarker"/>
        <varyColors val="0"/>
        <ser>
          <idx val="0"/>
          <order val="0"/>
          <spPr>
            <a:ln xmlns:a="http://schemas.openxmlformats.org/drawingml/2006/main" w="9525" cap="rnd">
              <a:solidFill>
                <a:schemeClr val="accent1"/>
              </a:solidFill>
              <a:prstDash val="solid"/>
              <a:round/>
            </a:ln>
          </spPr>
          <marker>
            <symbol val="circle"/>
            <size val="6"/>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w="9525" cap="rnd">
                <a:solidFill>
                  <a:schemeClr val="accent1"/>
                </a:solidFill>
                <a:prstDash val="solid"/>
                <a:round/>
              </a:ln>
            </spPr>
          </marker>
          <dLbls>
            <dLbl>
              <idx val="0"/>
              <showLegendKey val="0"/>
              <showVal val="0"/>
              <showCatName val="0"/>
              <showSerName val="0"/>
              <showPercent val="0"/>
              <showBubbleSize val="0"/>
            </dLbl>
            <dLbl>
              <idx val="1"/>
              <showLegendKey val="0"/>
              <showVal val="0"/>
              <showCatName val="0"/>
              <showSerName val="0"/>
              <showPercent val="0"/>
              <showBubbleSize val="0"/>
            </dLbl>
            <dLbl>
              <idx val="2"/>
              <showLegendKey val="0"/>
              <showVal val="0"/>
              <showCatName val="0"/>
              <showSerName val="0"/>
              <showPercent val="0"/>
              <showBubbleSize val="0"/>
            </dLbl>
            <dLbl>
              <idx val="3"/>
              <showLegendKey val="0"/>
              <showVal val="0"/>
              <showCatName val="0"/>
              <showSerName val="0"/>
              <showPercent val="0"/>
              <showBubbleSize val="0"/>
            </dLbl>
            <dLbl>
              <idx val="4"/>
              <showLegendKey val="0"/>
              <showVal val="0"/>
              <showCatName val="0"/>
              <showSerName val="0"/>
              <showPercent val="0"/>
              <showBubbleSize val="0"/>
            </dLbl>
            <dLbl>
              <idx val="5"/>
              <showLegendKey val="0"/>
              <showVal val="0"/>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showLegendKey val="0"/>
            <showVal val="0"/>
            <showCatName val="0"/>
            <showSerName val="0"/>
            <showPercent val="0"/>
            <showBubbleSize val="0"/>
            <showLeaderLines val="0"/>
          </dLbls>
          <xVal>
            <numRef>
              <f>'Efficient Frontier'!$C$42:$H$42</f>
              <numCache>
                <formatCode>0.00%</formatCode>
                <ptCount val="6"/>
                <pt idx="0">
                  <v>0.1238455404499544</v>
                </pt>
                <pt idx="1">
                  <v>0.1291983649615109</v>
                </pt>
                <pt idx="2">
                  <v>0.1434433067833931</v>
                </pt>
                <pt idx="3">
                  <v>0.1643534001832425</v>
                </pt>
                <pt idx="4">
                  <v>0.1967030807807913</v>
                </pt>
                <pt idx="5">
                  <v>0.2560797625940557</v>
                </pt>
              </numCache>
            </numRef>
          </xVal>
          <yVal>
            <numRef>
              <f>'Efficient Frontier'!$C$40:$H$40</f>
              <numCache>
                <formatCode>0.00%</formatCode>
                <ptCount val="6"/>
                <pt idx="0">
                  <v>0.1050871796645447</v>
                </pt>
                <pt idx="1">
                  <v>0.1300871797835113</v>
                </pt>
                <pt idx="2">
                  <v>0.1550871806887925</v>
                </pt>
                <pt idx="3">
                  <v>0.1800871812376906</v>
                </pt>
                <pt idx="4">
                  <v>0.2050871896645446</v>
                </pt>
                <pt idx="5">
                  <v>0.2233150584136112</v>
                </pt>
              </numCache>
            </numRef>
          </yVal>
          <smooth val="1"/>
        </ser>
        <ser>
          <idx val="1"/>
          <order val="1"/>
          <tx>
            <v>Equal Weights Portfolio</v>
          </tx>
          <spPr>
            <a:ln xmlns:a="http://schemas.openxmlformats.org/drawingml/2006/main" w="9525" cap="rnd">
              <a:solidFill>
                <a:schemeClr val="accent2"/>
              </a:solidFill>
              <a:prstDash val="solid"/>
              <a:round/>
            </a:ln>
          </spPr>
          <marker>
            <symbol val="circle"/>
            <size val="6"/>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w="9525" cap="rnd">
                <a:solidFill>
                  <a:schemeClr val="accent2"/>
                </a:solidFill>
                <a:prstDash val="solid"/>
                <a:roun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en-FR"/>
              </a:p>
            </txPr>
            <showLegendKey val="0"/>
            <showVal val="0"/>
            <showCatName val="0"/>
            <showSerName val="1"/>
            <showPercent val="0"/>
            <showBubbleSize val="0"/>
            <showLeaderLines val="0"/>
          </dLbls>
          <xVal>
            <numRef>
              <f>'Efficient Frontier'!$C$21</f>
              <numCache>
                <formatCode>0.00%</formatCode>
                <ptCount val="1"/>
                <pt idx="0">
                  <v>0.1652513706617217</v>
                </pt>
              </numCache>
            </numRef>
          </xVal>
          <yVal>
            <numRef>
              <f>'Efficient Frontier'!$C$19</f>
              <numCache>
                <formatCode>0.00%</formatCode>
                <ptCount val="1"/>
                <pt idx="0">
                  <v>0.1288589286780361</v>
                </pt>
              </numCache>
            </numRef>
          </yVal>
          <smooth val="1"/>
        </ser>
        <dLbls>
          <showLegendKey val="0"/>
          <showVal val="0"/>
          <showCatName val="0"/>
          <showSerName val="0"/>
          <showPercent val="0"/>
          <showBubbleSize val="0"/>
        </dLbls>
        <axId val="717723599"/>
        <axId val="1310263616"/>
      </scatterChart>
      <valAx>
        <axId val="717723599"/>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75000"/>
                      </a:schemeClr>
                    </a:solidFill>
                    <a:latin typeface="+mn-lt"/>
                    <a:ea typeface="+mn-ea"/>
                    <a:cs typeface="+mn-cs"/>
                  </a:defRPr>
                </a:pPr>
                <a:r>
                  <a:rPr lang="en-US"/>
                  <a:t>Standard</a:t>
                </a:r>
                <a:r>
                  <a:rPr lang="en-US" baseline="0"/>
                  <a:t xml:space="preserve"> Deviation</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7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crossAx val="1310263616"/>
        <crosses val="autoZero"/>
        <crossBetween val="midCat"/>
      </valAx>
      <valAx>
        <axId val="1310263616"/>
        <scaling>
          <orientation val="minMax"/>
        </scaling>
        <delete val="0"/>
        <axPos val="l"/>
        <majorGridlines>
          <spPr>
            <a:ln xmlns:a="http://schemas.openxmlformats.org/drawingml/2006/main" w="9525" cap="flat" cmpd="sng" algn="ctr">
              <a:solidFill>
                <a:schemeClr val="lt1">
                  <a:alpha val="10000"/>
                  <a:lumMod val="9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75000"/>
                      </a:schemeClr>
                    </a:solidFill>
                    <a:latin typeface="+mn-lt"/>
                    <a:ea typeface="+mn-ea"/>
                    <a:cs typeface="+mn-cs"/>
                  </a:defRPr>
                </a:pPr>
                <a:r>
                  <a:rPr lang="en-US"/>
                  <a:t xml:space="preserve"> Return</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75000"/>
                    </a:schemeClr>
                  </a:solidFill>
                  <a:latin typeface="+mn-lt"/>
                  <a:ea typeface="+mn-ea"/>
                  <a:cs typeface="+mn-cs"/>
                </a:defRPr>
              </a:pPr>
              <a:r>
                <a:t/>
              </a:r>
              <a:endParaRPr lang="it-VI"/>
            </a:p>
          </txPr>
        </title>
        <numFmt formatCode="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crossAx val="717723599"/>
        <crosses val="autoZero"/>
        <crossBetween val="midCat"/>
      </valAx>
    </plotArea>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rPr lang="en-US"/>
              <a:t>The efficient frontier with short sales allowed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t/>
          </a:r>
          <a:endParaRPr lang="it-VI"/>
        </a:p>
      </txPr>
    </title>
    <plotArea>
      <layout/>
      <scatterChart>
        <scatterStyle val="smoothMarker"/>
        <varyColors val="0"/>
        <ser>
          <idx val="0"/>
          <order val="0"/>
          <spPr>
            <a:ln xmlns:a="http://schemas.openxmlformats.org/drawingml/2006/main" w="9525" cap="rnd">
              <a:solidFill>
                <a:schemeClr val="accent1"/>
              </a:solidFill>
              <a:prstDash val="solid"/>
              <a:round/>
            </a:ln>
          </spPr>
          <marker>
            <symbol val="circle"/>
            <size val="6"/>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w="9525" cap="rnd">
                <a:solidFill>
                  <a:schemeClr val="accent1"/>
                </a:solidFill>
                <a:prstDash val="solid"/>
                <a:round/>
              </a:ln>
            </spPr>
          </marker>
          <dLbls>
            <dLbl>
              <idx val="0"/>
              <showLegendKey val="0"/>
              <showVal val="0"/>
              <showCatName val="0"/>
              <showSerName val="0"/>
              <showPercent val="0"/>
              <showBubbleSize val="0"/>
            </dLbl>
            <dLbl>
              <idx val="1"/>
              <showLegendKey val="0"/>
              <showVal val="0"/>
              <showCatName val="0"/>
              <showSerName val="0"/>
              <showPercent val="0"/>
              <showBubbleSize val="0"/>
            </dLbl>
            <dLbl>
              <idx val="2"/>
              <showLegendKey val="0"/>
              <showVal val="0"/>
              <showCatName val="0"/>
              <showSerName val="0"/>
              <showPercent val="0"/>
              <showBubbleSize val="0"/>
            </dLbl>
            <dLbl>
              <idx val="3"/>
              <showLegendKey val="0"/>
              <showVal val="0"/>
              <showCatName val="0"/>
              <showSerName val="0"/>
              <showPercent val="0"/>
              <showBubbleSize val="0"/>
            </dLbl>
            <dLbl>
              <idx val="4"/>
              <showLegendKey val="0"/>
              <showVal val="0"/>
              <showCatName val="0"/>
              <showSerName val="0"/>
              <showPercent val="0"/>
              <showBubbleSize val="0"/>
            </dLbl>
            <dLbl>
              <idx val="5"/>
              <showLegendKey val="0"/>
              <showVal val="0"/>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showLegendKey val="0"/>
            <showVal val="0"/>
            <showCatName val="0"/>
            <showSerName val="0"/>
            <showPercent val="0"/>
            <showBubbleSize val="0"/>
            <showLeaderLines val="0"/>
          </dLbls>
          <xVal>
            <numRef>
              <f>'Efficient Frontier'!$C$62:$H$62</f>
              <numCache>
                <formatCode>0.0000</formatCode>
                <ptCount val="6"/>
                <pt idx="0">
                  <v>0.1153473873545915</v>
                </pt>
                <pt idx="1">
                  <v>0.1293048383037644</v>
                </pt>
                <pt idx="2">
                  <v>0.1153473874510755</v>
                </pt>
                <pt idx="3">
                  <v>0.1642167140046971</v>
                </pt>
                <pt idx="4">
                  <v>0.2606747158451829</v>
                </pt>
                <pt idx="5">
                  <v>0.369130810709914</v>
                </pt>
              </numCache>
            </numRef>
          </xVal>
          <yVal>
            <numRef>
              <f>'Efficient Frontier'!$C$60:$H$60</f>
              <numCache>
                <formatCode>0.0000</formatCode>
                <ptCount val="6"/>
                <pt idx="0">
                  <v>0.09999595494959199</v>
                </pt>
                <pt idx="1">
                  <v>0.04999999836668132</v>
                </pt>
                <pt idx="2">
                  <v>0.1000000000001082</v>
                </pt>
                <pt idx="3">
                  <v>0.2000000027493911</v>
                </pt>
                <pt idx="4">
                  <v>0.3000000060164817</v>
                </pt>
                <pt idx="5">
                  <v>0.4000000092834181</v>
                </pt>
              </numCache>
            </numRef>
          </yVal>
          <smooth val="1"/>
        </ser>
        <dLbls>
          <showLegendKey val="0"/>
          <showVal val="0"/>
          <showCatName val="0"/>
          <showSerName val="0"/>
          <showPercent val="0"/>
          <showBubbleSize val="0"/>
        </dLbls>
        <axId val="1841085440"/>
        <axId val="1070688047"/>
      </scatterChart>
      <valAx>
        <axId val="1841085440"/>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numFmt formatCode="0.0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crossAx val="1070688047"/>
        <crosses val="autoZero"/>
        <crossBetween val="midCat"/>
      </valAx>
      <valAx>
        <axId val="1070688047"/>
        <scaling>
          <orientation val="minMax"/>
        </scaling>
        <delete val="0"/>
        <axPos val="l"/>
        <majorGridlines>
          <spPr>
            <a:ln xmlns:a="http://schemas.openxmlformats.org/drawingml/2006/main" w="9525" cap="flat" cmpd="sng" algn="ctr">
              <a:solidFill>
                <a:schemeClr val="lt1">
                  <a:alpha val="10000"/>
                  <a:lumMod val="95000"/>
                </a:schemeClr>
              </a:solidFill>
              <a:prstDash val="solid"/>
              <a:round/>
            </a:ln>
          </spPr>
        </majorGridlines>
        <numFmt formatCode="0.0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crossAx val="1841085440"/>
        <crosses val="autoZero"/>
        <crossBetween val="midCat"/>
      </valAx>
    </plotArea>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rPr lang="en-US"/>
              <a:t>Comparison of the efficient frontier with short sales or without</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t/>
          </a:r>
          <a:endParaRPr lang="it-VI"/>
        </a:p>
      </txPr>
    </title>
    <plotArea>
      <layout/>
      <scatterChart>
        <scatterStyle val="smoothMarker"/>
        <varyColors val="0"/>
        <ser>
          <idx val="0"/>
          <order val="0"/>
          <tx>
            <strRef>
              <f>'Efficient Frontier'!$A$44</f>
              <strCache>
                <ptCount val="1"/>
                <pt idx="0">
                  <v>Short Sales allowed</v>
                </pt>
              </strCache>
            </strRef>
          </tx>
          <spPr>
            <a:ln xmlns:a="http://schemas.openxmlformats.org/drawingml/2006/main" w="9525" cap="rnd">
              <a:solidFill>
                <a:schemeClr val="accent1"/>
              </a:solidFill>
              <a:prstDash val="solid"/>
              <a:round/>
            </a:ln>
          </spPr>
          <marker>
            <symbol val="circle"/>
            <size val="6"/>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w="9525" cap="rnd">
                <a:solidFill>
                  <a:schemeClr val="accent1"/>
                </a:solidFill>
                <a:prstDash val="solid"/>
                <a:round/>
              </a:ln>
            </spPr>
          </marker>
          <dLbls>
            <dLbl>
              <idx val="0"/>
              <showLegendKey val="0"/>
              <showVal val="0"/>
              <showCatName val="0"/>
              <showSerName val="0"/>
              <showPercent val="0"/>
              <showBubbleSize val="0"/>
            </dLbl>
            <dLbl>
              <idx val="1"/>
              <showLegendKey val="0"/>
              <showVal val="0"/>
              <showCatName val="0"/>
              <showSerName val="0"/>
              <showPercent val="0"/>
              <showBubbleSize val="0"/>
            </dLbl>
            <dLbl>
              <idx val="2"/>
              <showLegendKey val="0"/>
              <showVal val="0"/>
              <showCatName val="0"/>
              <showSerName val="0"/>
              <showPercent val="0"/>
              <showBubbleSize val="0"/>
            </dLbl>
            <dLbl>
              <idx val="3"/>
              <showLegendKey val="0"/>
              <showVal val="0"/>
              <showCatName val="0"/>
              <showSerName val="0"/>
              <showPercent val="0"/>
              <showBubbleSize val="0"/>
            </dLbl>
            <dLbl>
              <idx val="4"/>
              <showLegendKey val="0"/>
              <showVal val="0"/>
              <showCatName val="0"/>
              <showSerName val="0"/>
              <showPercent val="0"/>
              <showBubbleSize val="0"/>
            </dLbl>
            <dLbl>
              <idx val="5"/>
              <showLegendKey val="0"/>
              <showVal val="0"/>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showLegendKey val="0"/>
            <showVal val="0"/>
            <showCatName val="0"/>
            <showSerName val="0"/>
            <showPercent val="0"/>
            <showBubbleSize val="0"/>
            <showLeaderLines val="0"/>
          </dLbls>
          <xVal>
            <numRef>
              <f>'Efficient Frontier'!$C$62:$H$62</f>
              <numCache>
                <formatCode>0.0000</formatCode>
                <ptCount val="6"/>
                <pt idx="0">
                  <v>0.1153473873545915</v>
                </pt>
                <pt idx="1">
                  <v>0.1293048383037644</v>
                </pt>
                <pt idx="2">
                  <v>0.1153473874510755</v>
                </pt>
                <pt idx="3">
                  <v>0.1642167140046971</v>
                </pt>
                <pt idx="4">
                  <v>0.2606747158451829</v>
                </pt>
                <pt idx="5">
                  <v>0.369130810709914</v>
                </pt>
              </numCache>
            </numRef>
          </xVal>
          <yVal>
            <numRef>
              <f>'Efficient Frontier'!$C$60:$H$60</f>
              <numCache>
                <formatCode>0.0000</formatCode>
                <ptCount val="6"/>
                <pt idx="0">
                  <v>0.09999595494959199</v>
                </pt>
                <pt idx="1">
                  <v>0.04999999836668132</v>
                </pt>
                <pt idx="2">
                  <v>0.1000000000001082</v>
                </pt>
                <pt idx="3">
                  <v>0.2000000027493911</v>
                </pt>
                <pt idx="4">
                  <v>0.3000000060164817</v>
                </pt>
                <pt idx="5">
                  <v>0.4000000092834181</v>
                </pt>
              </numCache>
            </numRef>
          </yVal>
          <smooth val="1"/>
        </ser>
        <ser>
          <idx val="1"/>
          <order val="1"/>
          <tx>
            <strRef>
              <f>'Efficient Frontier'!$A$24</f>
              <strCache>
                <ptCount val="1"/>
                <pt idx="0">
                  <v>Short Sales not allowed</v>
                </pt>
              </strCache>
            </strRef>
          </tx>
          <spPr>
            <a:ln xmlns:a="http://schemas.openxmlformats.org/drawingml/2006/main" w="9525" cap="rnd">
              <a:solidFill>
                <a:schemeClr val="accent2"/>
              </a:solidFill>
              <a:prstDash val="solid"/>
              <a:round/>
            </a:ln>
          </spPr>
          <marker>
            <symbol val="circle"/>
            <size val="6"/>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w="9525" cap="rnd">
                <a:solidFill>
                  <a:schemeClr val="accent2"/>
                </a:solidFill>
                <a:prstDash val="solid"/>
                <a:round/>
              </a:ln>
            </spPr>
          </marker>
          <dLbls>
            <dLbl>
              <idx val="0"/>
              <dLblPos val="r"/>
              <showLegendKey val="0"/>
              <showVal val="0"/>
              <showCatName val="0"/>
              <showSerName val="0"/>
              <showPercent val="0"/>
              <showBubbleSize val="0"/>
            </dLbl>
            <dLbl>
              <idx val="1"/>
              <dLblPos val="r"/>
              <showLegendKey val="0"/>
              <showVal val="0"/>
              <showCatName val="0"/>
              <showSerName val="0"/>
              <showPercent val="0"/>
              <showBubbleSize val="0"/>
            </dLbl>
            <dLbl>
              <idx val="2"/>
              <dLblPos val="r"/>
              <showLegendKey val="0"/>
              <showVal val="0"/>
              <showCatName val="0"/>
              <showSerName val="0"/>
              <showPercent val="0"/>
              <showBubbleSize val="0"/>
            </dLbl>
            <dLbl>
              <idx val="3"/>
              <dLblPos val="r"/>
              <showLegendKey val="0"/>
              <showVal val="0"/>
              <showCatName val="0"/>
              <showSerName val="0"/>
              <showPercent val="0"/>
              <showBubbleSize val="0"/>
            </dLbl>
            <dLbl>
              <idx val="4"/>
              <dLblPos val="r"/>
              <showLegendKey val="0"/>
              <showVal val="0"/>
              <showCatName val="0"/>
              <showSerName val="0"/>
              <showPercent val="0"/>
              <showBubbleSize val="0"/>
            </dLbl>
            <dLbl>
              <idx val="5"/>
              <dLblPos val="r"/>
              <showLegendKey val="0"/>
              <showVal val="0"/>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en-FR"/>
              </a:p>
            </txPr>
            <dLblPos val="r"/>
            <showLegendKey val="0"/>
            <showVal val="0"/>
            <showCatName val="0"/>
            <showSerName val="0"/>
            <showPercent val="0"/>
            <showBubbleSize val="0"/>
            <showLeaderLines val="0"/>
          </dLbls>
          <xVal>
            <numRef>
              <f>'Efficient Frontier'!$C$42:$H$42</f>
              <numCache>
                <formatCode>0.00%</formatCode>
                <ptCount val="6"/>
                <pt idx="0">
                  <v>0.1238455404499544</v>
                </pt>
                <pt idx="1">
                  <v>0.1291983649615109</v>
                </pt>
                <pt idx="2">
                  <v>0.1434433067833931</v>
                </pt>
                <pt idx="3">
                  <v>0.1643534001832425</v>
                </pt>
                <pt idx="4">
                  <v>0.1967030807807913</v>
                </pt>
                <pt idx="5">
                  <v>0.2560797625940557</v>
                </pt>
              </numCache>
            </numRef>
          </xVal>
          <yVal>
            <numRef>
              <f>'Efficient Frontier'!$C$40:$H$40</f>
              <numCache>
                <formatCode>0.00%</formatCode>
                <ptCount val="6"/>
                <pt idx="0">
                  <v>0.1050871796645447</v>
                </pt>
                <pt idx="1">
                  <v>0.1300871797835113</v>
                </pt>
                <pt idx="2">
                  <v>0.1550871806887925</v>
                </pt>
                <pt idx="3">
                  <v>0.1800871812376906</v>
                </pt>
                <pt idx="4">
                  <v>0.2050871896645446</v>
                </pt>
                <pt idx="5">
                  <v>0.2233150584136112</v>
                </pt>
              </numCache>
            </numRef>
          </yVal>
          <smooth val="1"/>
        </ser>
        <dLbls>
          <showLegendKey val="0"/>
          <showVal val="0"/>
          <showCatName val="0"/>
          <showSerName val="0"/>
          <showPercent val="0"/>
          <showBubbleSize val="0"/>
        </dLbls>
        <axId val="1841085440"/>
        <axId val="1070688047"/>
      </scatterChart>
      <valAx>
        <axId val="1841085440"/>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numFmt formatCode="0.0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crossAx val="1070688047"/>
        <crosses val="autoZero"/>
        <crossBetween val="midCat"/>
      </valAx>
      <valAx>
        <axId val="1070688047"/>
        <scaling>
          <orientation val="minMax"/>
        </scaling>
        <delete val="0"/>
        <axPos val="l"/>
        <majorGridlines>
          <spPr>
            <a:ln xmlns:a="http://schemas.openxmlformats.org/drawingml/2006/main" w="9525" cap="flat" cmpd="sng" algn="ctr">
              <a:solidFill>
                <a:schemeClr val="lt1">
                  <a:alpha val="10000"/>
                  <a:lumMod val="95000"/>
                </a:schemeClr>
              </a:solidFill>
              <a:prstDash val="solid"/>
              <a:round/>
            </a:ln>
          </spPr>
        </majorGridlines>
        <numFmt formatCode="0.0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crossAx val="1841085440"/>
        <crosses val="autoZero"/>
        <crossBetween val="midCat"/>
      </valAx>
    </plotArea>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rPr lang="en-US"/>
              <a:t>The efficient frontier with risk-free security with short sales allowed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t/>
          </a:r>
          <a:endParaRPr lang="it-VI"/>
        </a:p>
      </txPr>
    </title>
    <plotArea>
      <layout/>
      <scatterChart>
        <scatterStyle val="smoothMarker"/>
        <varyColors val="0"/>
        <ser>
          <idx val="0"/>
          <order val="0"/>
          <tx>
            <v>B4</v>
          </tx>
          <spPr>
            <a:ln xmlns:a="http://schemas.openxmlformats.org/drawingml/2006/main" w="9525" cap="rnd">
              <a:solidFill>
                <a:schemeClr val="accent1"/>
              </a:solidFill>
              <a:prstDash val="solid"/>
              <a:round/>
            </a:ln>
          </spPr>
          <marker>
            <symbol val="circle"/>
            <size val="6"/>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w="9525" cap="rnd">
                <a:solidFill>
                  <a:schemeClr val="accent1"/>
                </a:solidFill>
                <a:prstDash val="solid"/>
                <a:round/>
              </a:ln>
            </spPr>
          </marker>
          <dLbls>
            <dLbl>
              <idx val="0"/>
              <showLegendKey val="0"/>
              <showVal val="0"/>
              <showCatName val="0"/>
              <showSerName val="0"/>
              <showPercent val="0"/>
              <showBubbleSize val="0"/>
            </dLbl>
            <dLbl>
              <idx val="1"/>
              <showLegendKey val="0"/>
              <showVal val="0"/>
              <showCatName val="0"/>
              <showSerName val="0"/>
              <showPercent val="0"/>
              <showBubbleSize val="0"/>
            </dLbl>
            <dLbl>
              <idx val="2"/>
              <showLegendKey val="0"/>
              <showVal val="0"/>
              <showCatName val="0"/>
              <showSerName val="0"/>
              <showPercent val="0"/>
              <showBubbleSize val="0"/>
            </dLbl>
            <dLbl>
              <idx val="3"/>
              <showLegendKey val="0"/>
              <showVal val="0"/>
              <showCatName val="0"/>
              <showSerName val="0"/>
              <showPercent val="0"/>
              <showBubbleSize val="0"/>
            </dLbl>
            <dLbl>
              <idx val="4"/>
              <showLegendKey val="0"/>
              <showVal val="0"/>
              <showCatName val="0"/>
              <showSerName val="0"/>
              <showPercent val="0"/>
              <showBubbleSize val="0"/>
            </dLbl>
            <dLbl>
              <idx val="5"/>
              <showLegendKey val="0"/>
              <showVal val="0"/>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showLegendKey val="0"/>
            <showVal val="0"/>
            <showCatName val="0"/>
            <showSerName val="0"/>
            <showPercent val="0"/>
            <showBubbleSize val="0"/>
            <showLeaderLines val="0"/>
          </dLbls>
          <xVal>
            <numRef>
              <f>'Efficient Frontier'!$C$62:$H$62</f>
              <numCache>
                <formatCode>0.0000</formatCode>
                <ptCount val="6"/>
                <pt idx="0">
                  <v>0.1153473873545915</v>
                </pt>
                <pt idx="1">
                  <v>0.1293048383037644</v>
                </pt>
                <pt idx="2">
                  <v>0.1153473874510755</v>
                </pt>
                <pt idx="3">
                  <v>0.1642167140046971</v>
                </pt>
                <pt idx="4">
                  <v>0.2606747158451829</v>
                </pt>
                <pt idx="5">
                  <v>0.369130810709914</v>
                </pt>
              </numCache>
            </numRef>
          </xVal>
          <yVal>
            <numRef>
              <f>'Efficient Frontier'!$C$60:$H$60</f>
              <numCache>
                <formatCode>0.0000</formatCode>
                <ptCount val="6"/>
                <pt idx="0">
                  <v>0.09999595494959199</v>
                </pt>
                <pt idx="1">
                  <v>0.04999999836668132</v>
                </pt>
                <pt idx="2">
                  <v>0.1000000000001082</v>
                </pt>
                <pt idx="3">
                  <v>0.2000000027493911</v>
                </pt>
                <pt idx="4">
                  <v>0.3000000060164817</v>
                </pt>
                <pt idx="5">
                  <v>0.4000000092834181</v>
                </pt>
              </numCache>
            </numRef>
          </yVal>
          <smooth val="1"/>
        </ser>
        <ser>
          <idx val="1"/>
          <order val="1"/>
          <tx>
            <v>B5</v>
          </tx>
          <spPr>
            <a:ln xmlns:a="http://schemas.openxmlformats.org/drawingml/2006/main" w="9525" cap="rnd">
              <a:solidFill>
                <a:schemeClr val="accent2"/>
              </a:solidFill>
              <a:prstDash val="solid"/>
              <a:round/>
            </a:ln>
          </spPr>
          <marker>
            <symbol val="circle"/>
            <size val="6"/>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w="9525" cap="rnd">
                <a:solidFill>
                  <a:schemeClr val="accent2"/>
                </a:solidFill>
                <a:prstDash val="solid"/>
                <a:round/>
              </a:ln>
            </spPr>
          </marker>
          <xVal>
            <numRef>
              <f>'B.5-B.6-B.7'!$C$24:$H$24</f>
              <numCache>
                <formatCode>0.00%</formatCode>
                <ptCount val="6"/>
                <pt idx="0">
                  <v>3.50741926211008e-07</v>
                </pt>
                <pt idx="1">
                  <v>0.01590401005457348</v>
                </pt>
                <pt idx="2">
                  <v>0.0643918481594086</v>
                </pt>
                <pt idx="3">
                  <v>0.1613675234079713</v>
                </pt>
                <pt idx="4">
                  <v>0.2583432056292093</v>
                </pt>
                <pt idx="5">
                  <v>0.3553188746173938</v>
                </pt>
              </numCache>
            </numRef>
          </xVal>
          <yVal>
            <numRef>
              <f>'B.5-B.6-B.7'!$C$22:$H$22</f>
              <numCache>
                <formatCode>0.00%</formatCode>
                <ptCount val="6"/>
                <pt idx="0">
                  <v>0.03359989140365183</v>
                </pt>
                <pt idx="1">
                  <v>0.04999999931393503</v>
                </pt>
                <pt idx="2">
                  <v>0.099999999436753</v>
                </pt>
                <pt idx="3">
                  <v>0.1999999998228951</v>
                </pt>
                <pt idx="4">
                  <v>0.3000000071887038</v>
                </pt>
                <pt idx="5">
                  <v>0.4000000007341358</v>
                </pt>
              </numCache>
            </numRef>
          </yVal>
          <smooth val="1"/>
        </ser>
        <dLbls>
          <showLegendKey val="0"/>
          <showVal val="0"/>
          <showCatName val="0"/>
          <showSerName val="0"/>
          <showPercent val="0"/>
          <showBubbleSize val="0"/>
        </dLbls>
        <axId val="1841085440"/>
        <axId val="1070688047"/>
      </scatterChart>
      <valAx>
        <axId val="1841085440"/>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numFmt formatCode="0.0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crossAx val="1070688047"/>
        <crosses val="autoZero"/>
        <crossBetween val="midCat"/>
      </valAx>
      <valAx>
        <axId val="1070688047"/>
        <scaling>
          <orientation val="minMax"/>
        </scaling>
        <delete val="0"/>
        <axPos val="l"/>
        <majorGridlines>
          <spPr>
            <a:ln xmlns:a="http://schemas.openxmlformats.org/drawingml/2006/main" w="9525" cap="flat" cmpd="sng" algn="ctr">
              <a:solidFill>
                <a:schemeClr val="lt1">
                  <a:alpha val="10000"/>
                  <a:lumMod val="95000"/>
                </a:schemeClr>
              </a:solidFill>
              <a:prstDash val="solid"/>
              <a:round/>
            </a:ln>
          </spPr>
        </majorGridlines>
        <numFmt formatCode="0.0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crossAx val="1841085440"/>
        <crosses val="autoZero"/>
        <crossBetween val="midCat"/>
      </valAx>
    </plotArea>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rPr lang="en-US"/>
              <a:t>The efficient frontier with risk-free security with short sales allowed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t/>
          </a:r>
          <a:endParaRPr lang="it-VI"/>
        </a:p>
      </txPr>
    </title>
    <plotArea>
      <layout/>
      <scatterChart>
        <scatterStyle val="smoothMarker"/>
        <varyColors val="0"/>
        <ser>
          <idx val="0"/>
          <order val="0"/>
          <tx>
            <v>B4</v>
          </tx>
          <spPr>
            <a:ln xmlns:a="http://schemas.openxmlformats.org/drawingml/2006/main" w="9525" cap="rnd">
              <a:solidFill>
                <a:schemeClr val="accent1"/>
              </a:solidFill>
              <a:prstDash val="solid"/>
              <a:round/>
            </a:ln>
          </spPr>
          <marker>
            <symbol val="circle"/>
            <size val="6"/>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w="9525" cap="rnd">
                <a:solidFill>
                  <a:schemeClr val="accent1"/>
                </a:solidFill>
                <a:prstDash val="solid"/>
                <a:round/>
              </a:ln>
            </spPr>
          </marker>
          <dLbls>
            <dLbl>
              <idx val="0"/>
              <showLegendKey val="0"/>
              <showVal val="0"/>
              <showCatName val="0"/>
              <showSerName val="0"/>
              <showPercent val="0"/>
              <showBubbleSize val="0"/>
            </dLbl>
            <dLbl>
              <idx val="1"/>
              <showLegendKey val="0"/>
              <showVal val="0"/>
              <showCatName val="0"/>
              <showSerName val="0"/>
              <showPercent val="0"/>
              <showBubbleSize val="0"/>
            </dLbl>
            <dLbl>
              <idx val="2"/>
              <showLegendKey val="0"/>
              <showVal val="0"/>
              <showCatName val="0"/>
              <showSerName val="0"/>
              <showPercent val="0"/>
              <showBubbleSize val="0"/>
            </dLbl>
            <dLbl>
              <idx val="3"/>
              <showLegendKey val="0"/>
              <showVal val="0"/>
              <showCatName val="0"/>
              <showSerName val="0"/>
              <showPercent val="0"/>
              <showBubbleSize val="0"/>
            </dLbl>
            <dLbl>
              <idx val="4"/>
              <showLegendKey val="0"/>
              <showVal val="0"/>
              <showCatName val="0"/>
              <showSerName val="0"/>
              <showPercent val="0"/>
              <showBubbleSize val="0"/>
            </dLbl>
            <dLbl>
              <idx val="5"/>
              <showLegendKey val="0"/>
              <showVal val="0"/>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showLegendKey val="0"/>
            <showVal val="0"/>
            <showCatName val="0"/>
            <showSerName val="0"/>
            <showPercent val="0"/>
            <showBubbleSize val="0"/>
            <showLeaderLines val="0"/>
          </dLbls>
          <xVal>
            <numRef>
              <f>'Efficient Frontier'!$C$62:$H$62</f>
              <numCache>
                <formatCode>0.0000</formatCode>
                <ptCount val="6"/>
                <pt idx="0">
                  <v>0.1153473873545915</v>
                </pt>
                <pt idx="1">
                  <v>0.1293048383037644</v>
                </pt>
                <pt idx="2">
                  <v>0.1153473874510755</v>
                </pt>
                <pt idx="3">
                  <v>0.1642167140046971</v>
                </pt>
                <pt idx="4">
                  <v>0.2606747158451829</v>
                </pt>
                <pt idx="5">
                  <v>0.369130810709914</v>
                </pt>
              </numCache>
            </numRef>
          </xVal>
          <yVal>
            <numRef>
              <f>'Efficient Frontier'!$C$60:$H$60</f>
              <numCache>
                <formatCode>0.0000</formatCode>
                <ptCount val="6"/>
                <pt idx="0">
                  <v>0.09999595494959199</v>
                </pt>
                <pt idx="1">
                  <v>0.04999999836668132</v>
                </pt>
                <pt idx="2">
                  <v>0.1000000000001082</v>
                </pt>
                <pt idx="3">
                  <v>0.2000000027493911</v>
                </pt>
                <pt idx="4">
                  <v>0.3000000060164817</v>
                </pt>
                <pt idx="5">
                  <v>0.4000000092834181</v>
                </pt>
              </numCache>
            </numRef>
          </yVal>
          <smooth val="1"/>
        </ser>
        <ser>
          <idx val="1"/>
          <order val="1"/>
          <tx>
            <v>B5</v>
          </tx>
          <spPr>
            <a:ln xmlns:a="http://schemas.openxmlformats.org/drawingml/2006/main" w="9525" cap="rnd">
              <a:solidFill>
                <a:schemeClr val="accent2"/>
              </a:solidFill>
              <a:prstDash val="solid"/>
              <a:round/>
            </a:ln>
          </spPr>
          <marker>
            <symbol val="circle"/>
            <size val="6"/>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w="9525" cap="rnd">
                <a:solidFill>
                  <a:schemeClr val="accent2"/>
                </a:solidFill>
                <a:prstDash val="solid"/>
                <a:round/>
              </a:ln>
            </spPr>
          </marker>
          <xVal>
            <numRef>
              <f>'B.5-B.6-B.7'!$C$24:$H$24</f>
              <numCache>
                <formatCode>0.00%</formatCode>
                <ptCount val="6"/>
                <pt idx="0">
                  <v>3.50741926211008e-07</v>
                </pt>
                <pt idx="1">
                  <v>0.01590401005457348</v>
                </pt>
                <pt idx="2">
                  <v>0.0643918481594086</v>
                </pt>
                <pt idx="3">
                  <v>0.1613675234079713</v>
                </pt>
                <pt idx="4">
                  <v>0.2583432056292093</v>
                </pt>
                <pt idx="5">
                  <v>0.3553188746173938</v>
                </pt>
              </numCache>
            </numRef>
          </xVal>
          <yVal>
            <numRef>
              <f>'B.5-B.6-B.7'!$C$22:$H$22</f>
              <numCache>
                <formatCode>0.00%</formatCode>
                <ptCount val="6"/>
                <pt idx="0">
                  <v>0.03359989140365183</v>
                </pt>
                <pt idx="1">
                  <v>0.04999999931393503</v>
                </pt>
                <pt idx="2">
                  <v>0.099999999436753</v>
                </pt>
                <pt idx="3">
                  <v>0.1999999998228951</v>
                </pt>
                <pt idx="4">
                  <v>0.3000000071887038</v>
                </pt>
                <pt idx="5">
                  <v>0.4000000007341358</v>
                </pt>
              </numCache>
            </numRef>
          </yVal>
          <smooth val="1"/>
        </ser>
        <ser>
          <idx val="2"/>
          <order val="2"/>
          <tx>
            <v>Portfolio with same volatility as equally weighted</v>
          </tx>
          <spPr>
            <a:ln xmlns:a="http://schemas.openxmlformats.org/drawingml/2006/main" w="9525" cap="rnd">
              <a:solidFill>
                <a:schemeClr val="accent3"/>
              </a:solidFill>
              <a:prstDash val="solid"/>
              <a:round/>
            </a:ln>
          </spPr>
          <marker>
            <symbol val="circle"/>
            <size val="6"/>
            <spPr>
              <a:gradFill xmlns:a="http://schemas.openxmlformats.org/drawingml/2006/main"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xmlns:a="http://schemas.openxmlformats.org/drawingml/2006/main" w="9525" cap="rnd">
                <a:solidFill>
                  <a:schemeClr val="accent3"/>
                </a:solidFill>
                <a:prstDash val="solid"/>
                <a:roun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showLegendKey val="0"/>
            <showVal val="0"/>
            <showCatName val="0"/>
            <showSerName val="1"/>
            <showPercent val="0"/>
            <showBubbleSize val="0"/>
            <showLeaderLines val="0"/>
          </dLbls>
          <xVal>
            <numRef>
              <f>'B.5-B.6-B.7'!$C$62</f>
              <numCache>
                <formatCode>0.00%</formatCode>
                <ptCount val="1"/>
                <pt idx="0">
                  <v>0.1652513706617217</v>
                </pt>
              </numCache>
            </numRef>
          </xVal>
          <yVal>
            <numRef>
              <f>'B.5-B.6-B.7'!$C$60</f>
              <numCache>
                <formatCode>0.00%</formatCode>
                <ptCount val="1"/>
                <pt idx="0">
                  <v>0.2040049705888565</v>
                </pt>
              </numCache>
            </numRef>
          </yVal>
          <smooth val="1"/>
        </ser>
        <dLbls>
          <showLegendKey val="0"/>
          <showVal val="0"/>
          <showCatName val="0"/>
          <showSerName val="0"/>
          <showPercent val="0"/>
          <showBubbleSize val="0"/>
        </dLbls>
        <axId val="1841085440"/>
        <axId val="1070688047"/>
      </scatterChart>
      <valAx>
        <axId val="1841085440"/>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numFmt formatCode="0.0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crossAx val="1070688047"/>
        <crosses val="autoZero"/>
        <crossBetween val="midCat"/>
      </valAx>
      <valAx>
        <axId val="1070688047"/>
        <scaling>
          <orientation val="minMax"/>
        </scaling>
        <delete val="0"/>
        <axPos val="l"/>
        <majorGridlines>
          <spPr>
            <a:ln xmlns:a="http://schemas.openxmlformats.org/drawingml/2006/main" w="9525" cap="flat" cmpd="sng" algn="ctr">
              <a:solidFill>
                <a:schemeClr val="lt1">
                  <a:alpha val="10000"/>
                  <a:lumMod val="95000"/>
                </a:schemeClr>
              </a:solidFill>
              <a:prstDash val="solid"/>
              <a:round/>
            </a:ln>
          </spPr>
        </majorGridlines>
        <numFmt formatCode="0.0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it-VI"/>
          </a:p>
        </txPr>
        <crossAx val="1841085440"/>
        <crosses val="autoZero"/>
        <crossBetween val="midCat"/>
      </valAx>
    </plotArea>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harts/chart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baseline="0">
                <a:solidFill>
                  <a:schemeClr val="lt1">
                    <a:lumMod val="85000"/>
                  </a:schemeClr>
                </a:solidFill>
                <a:latin typeface="+mn-lt"/>
                <a:ea typeface="+mn-ea"/>
                <a:cs typeface="+mn-cs"/>
              </a:defRPr>
            </a:pPr>
            <a:r>
              <a:rPr lang="fr-FR"/>
              <a:t>Relationship between ESG Scores and Alphas</a:t>
            </a:r>
          </a:p>
        </rich>
      </tx>
      <layout>
        <manualLayout>
          <xMode val="edge"/>
          <yMode val="edge"/>
          <wMode val="factor"/>
          <hMode val="factor"/>
          <x val="0.1549652230971129"/>
          <y val="0.0138888888888888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baseline="0">
              <a:solidFill>
                <a:schemeClr val="lt1">
                  <a:lumMod val="85000"/>
                </a:schemeClr>
              </a:solidFill>
              <a:latin typeface="+mn-lt"/>
              <a:ea typeface="+mn-ea"/>
              <a:cs typeface="+mn-cs"/>
            </a:defRPr>
          </a:pPr>
          <a:r>
            <a:t/>
          </a:r>
          <a:endParaRPr lang="fr-FR"/>
        </a:p>
      </txPr>
    </title>
    <plotArea>
      <layout/>
      <scatterChart>
        <scatterStyle val="lineMarker"/>
        <varyColors val="0"/>
        <ser>
          <idx val="0"/>
          <order val="0"/>
          <spPr>
            <a:ln xmlns:a="http://schemas.openxmlformats.org/drawingml/2006/main" w="25400" cap="rnd">
              <a:noFill/>
              <a:prstDash val="solid"/>
            </a:ln>
          </spPr>
          <marker>
            <symbol val="circle"/>
            <size val="3"/>
            <spPr>
              <a:solidFill xmlns:a="http://schemas.openxmlformats.org/drawingml/2006/main">
                <a:schemeClr val="accent1">
                  <a:lumMod val="60000"/>
                  <a:lumOff val="40000"/>
                </a:schemeClr>
              </a:solidFill>
              <a:ln xmlns:a="http://schemas.openxmlformats.org/drawingml/2006/main">
                <a:noFill/>
                <a:prstDash val="solid"/>
              </a:ln>
            </spPr>
          </marker>
          <dLbls>
            <dLbl>
              <idx val="0"/>
              <showLegendKey val="0"/>
              <showVal val="0"/>
              <showCatName val="0"/>
              <showSerName val="0"/>
              <showPercent val="0"/>
              <showBubbleSize val="0"/>
            </dLbl>
            <dLbl>
              <idx val="1"/>
              <showLegendKey val="0"/>
              <showVal val="0"/>
              <showCatName val="0"/>
              <showSerName val="0"/>
              <showPercent val="0"/>
              <showBubbleSize val="0"/>
            </dLbl>
            <dLbl>
              <idx val="2"/>
              <showLegendKey val="0"/>
              <showVal val="0"/>
              <showCatName val="0"/>
              <showSerName val="0"/>
              <showPercent val="0"/>
              <showBubbleSize val="0"/>
            </dLbl>
            <dLbl>
              <idx val="3"/>
              <showLegendKey val="0"/>
              <showVal val="0"/>
              <showCatName val="0"/>
              <showSerName val="0"/>
              <showPercent val="0"/>
              <showBubbleSize val="0"/>
            </dLbl>
            <dLbl>
              <idx val="4"/>
              <showLegendKey val="0"/>
              <showVal val="0"/>
              <showCatName val="0"/>
              <showSerName val="0"/>
              <showPercent val="0"/>
              <showBubbleSize val="0"/>
            </dLbl>
            <dLbl>
              <idx val="5"/>
              <showLegendKey val="0"/>
              <showVal val="0"/>
              <showCatName val="0"/>
              <showSerName val="0"/>
              <showPercent val="0"/>
              <showBubbleSize val="0"/>
            </dLbl>
            <dLbl>
              <idx val="6"/>
              <showLegendKey val="0"/>
              <showVal val="0"/>
              <showCatName val="0"/>
              <showSerName val="0"/>
              <showPercent val="0"/>
              <showBubbleSize val="0"/>
            </dLbl>
            <dLbl>
              <idx val="7"/>
              <showLegendKey val="0"/>
              <showVal val="0"/>
              <showCatName val="0"/>
              <showSerName val="0"/>
              <showPercent val="0"/>
              <showBubbleSize val="0"/>
            </dLbl>
            <dLbl>
              <idx val="8"/>
              <showLegendKey val="0"/>
              <showVal val="0"/>
              <showCatName val="0"/>
              <showSerName val="0"/>
              <showPercent val="0"/>
              <showBubbleSize val="0"/>
            </dLbl>
            <dLbl>
              <idx val="9"/>
              <showLegendKey val="0"/>
              <showVal val="0"/>
              <showCatName val="0"/>
              <showSerName val="0"/>
              <showPercent val="0"/>
              <showBubbleSize val="0"/>
            </dLbl>
            <dLbl>
              <idx val="10"/>
              <showLegendKey val="0"/>
              <showVal val="0"/>
              <showCatName val="0"/>
              <showSerName val="0"/>
              <showPercent val="0"/>
              <showBubbleSize val="0"/>
            </dLbl>
            <dLbl>
              <idx val="11"/>
              <showLegendKey val="0"/>
              <showVal val="0"/>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en-FR"/>
              </a:p>
            </txPr>
            <showLegendKey val="0"/>
            <showVal val="0"/>
            <showCatName val="0"/>
            <showSerName val="0"/>
            <showPercent val="0"/>
            <showBubbleSize val="0"/>
            <showLeaderLines val="0"/>
          </dLbls>
          <xVal>
            <numRef>
              <f>'C.1-C.2-C.3'!$AL$21:$AL$32</f>
              <numCache>
                <formatCode>General</formatCode>
                <ptCount val="12"/>
                <pt idx="0">
                  <v>17.6</v>
                </pt>
                <pt idx="1">
                  <v>12.3</v>
                </pt>
                <pt idx="2">
                  <v>6.7</v>
                </pt>
                <pt idx="3">
                  <v>12.5</v>
                </pt>
                <pt idx="4">
                  <v>22.8</v>
                </pt>
                <pt idx="5">
                  <v>12.4</v>
                </pt>
                <pt idx="6">
                  <v>17.4</v>
                </pt>
                <pt idx="7">
                  <v>18.9</v>
                </pt>
                <pt idx="8">
                  <v>13.2</v>
                </pt>
                <pt idx="9">
                  <v>7.1</v>
                </pt>
                <pt idx="10">
                  <v>25</v>
                </pt>
                <pt idx="11">
                  <v>23.8</v>
                </pt>
              </numCache>
            </numRef>
          </xVal>
          <yVal>
            <numRef>
              <f>'C.1-C.2-C.3'!$AM$21:$AM$32</f>
              <numCache>
                <formatCode>0.00%</formatCode>
                <ptCount val="12"/>
                <pt idx="0">
                  <v>0.0108693090836435</v>
                </pt>
                <pt idx="1">
                  <v>0.002383410060619946</v>
                </pt>
                <pt idx="2">
                  <v>0.005503507151582831</v>
                </pt>
                <pt idx="3">
                  <v>0.003373656896017432</v>
                </pt>
                <pt idx="4">
                  <v>0.002052416519253284</v>
                </pt>
                <pt idx="5">
                  <v>0.01499441775905217</v>
                </pt>
                <pt idx="6">
                  <v>0.00237920253601065</v>
                </pt>
                <pt idx="7">
                  <v>-0.0005663962301545155</v>
                </pt>
                <pt idx="8">
                  <v>0.004846000279907335</v>
                </pt>
                <pt idx="9">
                  <v>0.00781504046309503</v>
                </pt>
                <pt idx="10">
                  <v>0.003775904429202269</v>
                </pt>
                <pt idx="11">
                  <v>0.006193972959999827</v>
                </pt>
              </numCache>
            </numRef>
          </yVal>
          <smooth val="0"/>
        </ser>
        <dLbls>
          <showLegendKey val="0"/>
          <showVal val="0"/>
          <showCatName val="0"/>
          <showSerName val="0"/>
          <showPercent val="0"/>
          <showBubbleSize val="0"/>
        </dLbls>
        <axId val="1850024752"/>
        <axId val="1850020432"/>
      </scatterChart>
      <valAx>
        <axId val="1850024752"/>
        <scaling>
          <orientation val="minMax"/>
        </scaling>
        <delete val="0"/>
        <axPos val="b"/>
        <majorGridlines>
          <spPr>
            <a:ln xmlns:a="http://schemas.openxmlformats.org/drawingml/2006/main" w="9525" cap="flat" cmpd="sng" algn="ctr">
              <a:solidFill>
                <a:schemeClr val="dk1">
                  <a:alpha val="75000"/>
                  <a:lumMod val="65000"/>
                  <a:lumOff val="35000"/>
                </a:schemeClr>
              </a:solidFill>
              <a:prstDash val="solid"/>
              <a:round/>
            </a:ln>
          </spPr>
        </majorGridlines>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lt1">
                        <a:lumMod val="75000"/>
                      </a:schemeClr>
                    </a:solidFill>
                    <a:latin typeface="+mn-lt"/>
                    <a:ea typeface="+mn-ea"/>
                    <a:cs typeface="+mn-cs"/>
                  </a:defRPr>
                </a:pPr>
                <a:r>
                  <a:rPr lang="fr-FR"/>
                  <a:t>ESG Scores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lt1">
                      <a:lumMod val="75000"/>
                    </a:schemeClr>
                  </a:solidFill>
                  <a:latin typeface="+mn-lt"/>
                  <a:ea typeface="+mn-ea"/>
                  <a:cs typeface="+mn-cs"/>
                </a:defRPr>
              </a:pPr>
              <a:r>
                <a:t/>
              </a:r>
              <a:endParaRPr lang="fr-FR"/>
            </a:p>
          </txPr>
        </title>
        <numFmt formatCode="General" sourceLinked="1"/>
        <majorTickMark val="none"/>
        <minorTickMark val="none"/>
        <tickLblPos val="nextTo"/>
        <spPr>
          <a:noFill xmlns:a="http://schemas.openxmlformats.org/drawingml/2006/main"/>
          <a:ln xmlns:a="http://schemas.openxmlformats.org/drawingml/2006/main" w="9525" cap="flat" cmpd="sng" algn="ctr">
            <a:no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fr-FR"/>
          </a:p>
        </txPr>
        <crossAx val="1850020432"/>
        <crosses val="autoZero"/>
        <crossBetween val="midCat"/>
      </valAx>
      <valAx>
        <axId val="1850020432"/>
        <scaling>
          <orientation val="minMax"/>
        </scaling>
        <delete val="0"/>
        <axPos val="l"/>
        <majorGridlines>
          <spPr>
            <a:ln xmlns:a="http://schemas.openxmlformats.org/drawingml/2006/main" w="9525" cap="flat" cmpd="sng" algn="ctr">
              <a:solidFill>
                <a:schemeClr val="dk1">
                  <a:alpha val="75000"/>
                  <a:lumMod val="65000"/>
                  <a:lumOff val="3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lt1">
                        <a:lumMod val="75000"/>
                      </a:schemeClr>
                    </a:solidFill>
                    <a:latin typeface="+mn-lt"/>
                    <a:ea typeface="+mn-ea"/>
                    <a:cs typeface="+mn-cs"/>
                  </a:defRPr>
                </a:pPr>
                <a:r>
                  <a:rPr lang="fr-FR"/>
                  <a:t>Alphas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lt1">
                      <a:lumMod val="75000"/>
                    </a:schemeClr>
                  </a:solidFill>
                  <a:latin typeface="+mn-lt"/>
                  <a:ea typeface="+mn-ea"/>
                  <a:cs typeface="+mn-cs"/>
                </a:defRPr>
              </a:pPr>
              <a:r>
                <a:t/>
              </a:r>
              <a:endParaRPr lang="fr-FR"/>
            </a:p>
          </txPr>
        </title>
        <numFmt formatCode="0.00%" sourceLinked="1"/>
        <majorTickMark val="none"/>
        <minorTickMark val="none"/>
        <tickLblPos val="nextTo"/>
        <spPr>
          <a:noFill xmlns:a="http://schemas.openxmlformats.org/drawingml/2006/main"/>
          <a:ln xmlns:a="http://schemas.openxmlformats.org/drawingml/2006/main" w="9525" cap="flat" cmpd="sng" algn="ctr">
            <a:solidFill>
              <a:schemeClr val="lt1">
                <a:lumMod val="50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75000"/>
                  </a:schemeClr>
                </a:solidFill>
                <a:latin typeface="+mn-lt"/>
                <a:ea typeface="+mn-ea"/>
                <a:cs typeface="+mn-cs"/>
              </a:defRPr>
            </a:pPr>
            <a:r>
              <a:t/>
            </a:r>
            <a:endParaRPr lang="fr-FR"/>
          </a:p>
        </txPr>
        <crossAx val="1850024752"/>
        <crosses val="autoZero"/>
        <crossBetween val="midCat"/>
      </valAx>
    </plotArea>
    <plotVisOnly val="1"/>
    <dispBlanksAs val="gap"/>
  </chart>
  <spPr>
    <a:solidFill xmlns:a="http://schemas.openxmlformats.org/drawingml/2006/main">
      <a:schemeClr val="dk1">
        <a:lumMod val="75000"/>
        <a:lumOff val="25000"/>
      </a:schemeClr>
    </a:solidFill>
    <a:ln xmlns:a="http://schemas.openxmlformats.org/drawingml/2006/main" w="9525" cap="flat" cmpd="sng" algn="ctr">
      <a:solidFill>
        <a:schemeClr val="dk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_rels/drawing4.xml.rels><Relationships xmlns="http://schemas.openxmlformats.org/package/2006/relationships"><Relationship Type="http://schemas.openxmlformats.org/officeDocument/2006/relationships/chart" Target="/xl/charts/chart7.xml" Id="rId1"/></Relationships>
</file>

<file path=xl/drawings/drawing1.xml><?xml version="1.0" encoding="utf-8"?>
<wsDr xmlns="http://schemas.openxmlformats.org/drawingml/2006/spreadsheetDrawing">
  <twoCellAnchor>
    <from>
      <col>4</col>
      <colOff>609600</colOff>
      <row>214</row>
      <rowOff>25400</rowOff>
    </from>
    <to>
      <col>10</col>
      <colOff>495300</colOff>
      <row>236</row>
      <rowOff>127000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8</col>
      <colOff>523874</colOff>
      <row>25</row>
      <rowOff>81586</rowOff>
    </from>
    <to>
      <col>13</col>
      <colOff>357188</colOff>
      <row>42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476249</colOff>
      <row>44</row>
      <rowOff>31750</rowOff>
    </from>
    <to>
      <col>16</col>
      <colOff>1371600</colOff>
      <row>61</row>
      <rowOff>33867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437806</colOff>
      <row>62</row>
      <rowOff>87397</rowOff>
    </from>
    <to>
      <col>16</col>
      <colOff>1310968</colOff>
      <row>82</row>
      <rowOff>40968</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drawings/drawing3.xml><?xml version="1.0" encoding="utf-8"?>
<wsDr xmlns="http://schemas.openxmlformats.org/drawingml/2006/spreadsheetDrawing">
  <twoCellAnchor>
    <from>
      <col>8</col>
      <colOff>541618</colOff>
      <row>3</row>
      <rowOff>0</rowOff>
    </from>
    <to>
      <col>17</col>
      <colOff>17557</colOff>
      <row>21</row>
      <rowOff>2117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432843</colOff>
      <row>46</row>
      <rowOff>3804</rowOff>
    </from>
    <to>
      <col>16</col>
      <colOff>528294</colOff>
      <row>63</row>
      <rowOff>5921</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4.xml><?xml version="1.0" encoding="utf-8"?>
<wsDr xmlns="http://schemas.openxmlformats.org/drawingml/2006/spreadsheetDrawing">
  <twoCellAnchor>
    <from>
      <col>39</col>
      <colOff>263524</colOff>
      <row>18</row>
      <rowOff>177800</rowOff>
    </from>
    <to>
      <col>45</col>
      <colOff>63499</colOff>
      <row>32</row>
      <rowOff>19050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F1:T196"/>
  <sheetViews>
    <sheetView zoomScale="68" workbookViewId="0">
      <selection activeCell="G30" sqref="G30"/>
    </sheetView>
  </sheetViews>
  <sheetFormatPr baseColWidth="10" defaultColWidth="11.5" defaultRowHeight="15"/>
  <cols>
    <col width="20.1640625" customWidth="1" min="6" max="6"/>
    <col width="20.1640625" customWidth="1" min="18" max="18"/>
    <col width="12.6640625" bestFit="1" customWidth="1" min="19" max="19"/>
    <col width="29.6640625" bestFit="1" customWidth="1" min="20" max="20"/>
  </cols>
  <sheetData>
    <row r="1" ht="15" customHeight="1">
      <c r="G1" s="16" t="inlineStr">
        <is>
          <t>Stocks</t>
        </is>
      </c>
      <c r="H1" s="16" t="n"/>
      <c r="I1" s="16" t="n"/>
      <c r="J1" s="16" t="n"/>
      <c r="K1" s="16" t="n"/>
      <c r="L1" s="16" t="n"/>
      <c r="M1" s="16" t="n"/>
      <c r="N1" s="16" t="n"/>
      <c r="O1" s="16" t="n"/>
      <c r="P1" s="16" t="n"/>
      <c r="Q1" s="16" t="n"/>
      <c r="R1" s="17" t="n"/>
      <c r="S1" s="140" t="inlineStr">
        <is>
          <t>Market 
Index</t>
        </is>
      </c>
      <c r="T1" s="141" t="inlineStr">
        <is>
          <t>Risk-free 
Rate</t>
        </is>
      </c>
    </row>
    <row r="2" ht="16" customHeight="1" thickBot="1">
      <c r="F2" s="3" t="inlineStr">
        <is>
          <t>Stock Nb. →</t>
        </is>
      </c>
      <c r="G2" s="6" t="n">
        <v>1</v>
      </c>
      <c r="H2" s="1" t="n">
        <v>2</v>
      </c>
      <c r="I2" s="1" t="n">
        <v>3</v>
      </c>
      <c r="J2" s="1" t="n">
        <v>4</v>
      </c>
      <c r="K2" s="1" t="n">
        <v>5</v>
      </c>
      <c r="L2" s="1" t="n">
        <v>6</v>
      </c>
      <c r="M2" s="1" t="n">
        <v>7</v>
      </c>
      <c r="N2" s="1" t="n">
        <v>8</v>
      </c>
      <c r="O2" s="1" t="n">
        <v>9</v>
      </c>
      <c r="P2" s="1" t="n">
        <v>10</v>
      </c>
      <c r="Q2" s="1" t="n">
        <v>11</v>
      </c>
      <c r="R2" s="2" t="n">
        <v>12</v>
      </c>
      <c r="S2" s="142" t="n"/>
      <c r="T2" s="143" t="n"/>
    </row>
    <row r="3" ht="33" customHeight="1" thickBot="1">
      <c r="F3" s="4" t="inlineStr">
        <is>
          <t>Company Name →</t>
        </is>
      </c>
      <c r="G3" s="11" t="inlineStr">
        <is>
          <t>AIRBUS</t>
        </is>
      </c>
      <c r="H3" s="11" t="inlineStr">
        <is>
          <t>BNP PARIBAS ACT.A</t>
        </is>
      </c>
      <c r="I3" s="11" t="inlineStr">
        <is>
          <t>CAPGEMINI</t>
        </is>
      </c>
      <c r="J3" s="11" t="inlineStr">
        <is>
          <t>DANONE</t>
        </is>
      </c>
      <c r="K3" s="11" t="inlineStr">
        <is>
          <t>ENGIE</t>
        </is>
      </c>
      <c r="L3" s="11" t="inlineStr">
        <is>
          <t>HERMES INTL</t>
        </is>
      </c>
      <c r="M3" s="11" t="inlineStr">
        <is>
          <t>PERNOD RICARD</t>
        </is>
      </c>
      <c r="N3" s="11" t="inlineStr">
        <is>
          <t>RENAULT</t>
        </is>
      </c>
      <c r="O3" s="11" t="inlineStr">
        <is>
          <t>SANOFI</t>
        </is>
      </c>
      <c r="P3" s="11" t="inlineStr">
        <is>
          <t>SCHNEIDER ELECTRIC</t>
        </is>
      </c>
      <c r="Q3" s="11" t="inlineStr">
        <is>
          <t>TOTALENERGIES</t>
        </is>
      </c>
      <c r="R3" s="11" t="inlineStr">
        <is>
          <t>VINCI</t>
        </is>
      </c>
      <c r="S3" s="7" t="inlineStr">
        <is>
          <t>Country index</t>
        </is>
      </c>
      <c r="T3" s="8" t="inlineStr">
        <is>
          <t>3-month interbank rate 
converted to a monthly return</t>
        </is>
      </c>
    </row>
    <row r="4">
      <c r="F4" s="5" t="inlineStr">
        <is>
          <t>Yahoo Ticker →</t>
        </is>
      </c>
      <c r="G4" s="11" t="inlineStr">
        <is>
          <t>AIR.PA</t>
        </is>
      </c>
      <c r="H4" s="11" t="inlineStr">
        <is>
          <t>BNP.PA</t>
        </is>
      </c>
      <c r="I4" s="11" t="inlineStr">
        <is>
          <t>CAP.PA</t>
        </is>
      </c>
      <c r="J4" s="11" t="inlineStr">
        <is>
          <t>BN.PA</t>
        </is>
      </c>
      <c r="K4" s="11" t="inlineStr">
        <is>
          <t>ENGI.PA</t>
        </is>
      </c>
      <c r="L4" s="11" t="inlineStr">
        <is>
          <t>RMS.PA</t>
        </is>
      </c>
      <c r="M4" s="11" t="inlineStr">
        <is>
          <t>RI.PA</t>
        </is>
      </c>
      <c r="N4" s="11" t="inlineStr">
        <is>
          <t>RNO.PA</t>
        </is>
      </c>
      <c r="O4" s="11" t="inlineStr">
        <is>
          <t>SAN.PA</t>
        </is>
      </c>
      <c r="P4" s="11" t="inlineStr">
        <is>
          <t>SU.PA</t>
        </is>
      </c>
      <c r="Q4" s="11" t="inlineStr">
        <is>
          <t>TTE.PA</t>
        </is>
      </c>
      <c r="R4" s="11" t="inlineStr">
        <is>
          <t>DG.PA</t>
        </is>
      </c>
      <c r="S4" s="144" t="n"/>
      <c r="T4" s="145" t="n"/>
    </row>
    <row r="5">
      <c r="F5" s="5" t="inlineStr">
        <is>
          <t>YAHOO ESG RISK SCORE (Question C.3) →</t>
        </is>
      </c>
      <c r="G5" s="12" t="n"/>
      <c r="H5" s="12" t="n"/>
      <c r="I5" s="12" t="n"/>
      <c r="J5" s="12" t="n"/>
      <c r="K5" s="12" t="n"/>
      <c r="L5" s="12" t="n"/>
      <c r="M5" s="12" t="n"/>
      <c r="N5" s="12" t="n"/>
      <c r="O5" s="12" t="n"/>
      <c r="P5" s="12" t="n"/>
      <c r="Q5" s="12" t="n"/>
      <c r="R5" s="13" t="n"/>
      <c r="S5" s="146" t="n"/>
      <c r="T5" s="147" t="n"/>
    </row>
    <row r="6">
      <c r="F6" s="3" t="inlineStr">
        <is>
          <t>Year Month (YYYY-MM)</t>
        </is>
      </c>
      <c r="G6" s="9" t="n"/>
      <c r="H6" s="9" t="n"/>
      <c r="I6" s="9" t="n"/>
      <c r="J6" s="9" t="n"/>
      <c r="K6" s="9" t="n"/>
      <c r="L6" s="9" t="n"/>
      <c r="M6" s="9" t="n"/>
      <c r="N6" s="9" t="n"/>
      <c r="O6" s="9" t="n"/>
      <c r="P6" s="9" t="n"/>
      <c r="Q6" s="9" t="n"/>
      <c r="R6" s="10" t="n"/>
      <c r="S6" s="146" t="n"/>
      <c r="T6" s="147" t="n"/>
    </row>
    <row r="7">
      <c r="F7" s="148" t="inlineStr">
        <is>
          <t>2010-09</t>
        </is>
      </c>
      <c r="G7" s="149" t="n">
        <v>0.0535560911</v>
      </c>
      <c r="H7" s="149" t="n">
        <v>0.0567147454</v>
      </c>
      <c r="I7" s="149" t="n">
        <v>0.1031174031</v>
      </c>
      <c r="J7" s="149" t="n">
        <v>0.034665735</v>
      </c>
      <c r="K7" s="149" t="n">
        <v>0.07468828</v>
      </c>
      <c r="L7" s="149" t="n">
        <v>0.1713287632</v>
      </c>
      <c r="M7" s="149" t="n">
        <v>-0.0071324318</v>
      </c>
      <c r="N7" s="149" t="n">
        <v>0.1773237724</v>
      </c>
      <c r="O7" s="149" t="n">
        <v>0.0796335203</v>
      </c>
      <c r="P7" s="149" t="n">
        <v>0.111363323</v>
      </c>
      <c r="Q7" s="149" t="n">
        <v>0.0253592801</v>
      </c>
      <c r="R7" s="150" t="n">
        <v>0.0619493411</v>
      </c>
      <c r="S7" s="151" t="n">
        <v>0.0642805468</v>
      </c>
      <c r="T7" s="91" t="n">
        <v>0.0002</v>
      </c>
    </row>
    <row r="8">
      <c r="F8" s="152" t="inlineStr">
        <is>
          <t>2010-10</t>
        </is>
      </c>
      <c r="G8" s="153" t="n">
        <v>0.0322495217</v>
      </c>
      <c r="H8" s="153" t="n">
        <v>0.0072838362</v>
      </c>
      <c r="I8" s="153" t="n">
        <v>-0.003940154</v>
      </c>
      <c r="J8" s="153" t="n">
        <v>0.0364669261</v>
      </c>
      <c r="K8" s="153" t="n">
        <v>0.092155314</v>
      </c>
      <c r="L8" s="153" t="n">
        <v>-0.08985080300000001</v>
      </c>
      <c r="M8" s="153" t="n">
        <v>0.0401633562</v>
      </c>
      <c r="N8" s="153" t="n">
        <v>0.0577558737</v>
      </c>
      <c r="O8" s="153" t="n">
        <v>0.0267007664</v>
      </c>
      <c r="P8" s="153" t="n">
        <v>0.0966562789</v>
      </c>
      <c r="Q8" s="153" t="n">
        <v>0.0327999787</v>
      </c>
      <c r="R8" s="154" t="n">
        <v>0.0437857775</v>
      </c>
      <c r="S8" s="155" t="n">
        <v>0.0318477357</v>
      </c>
      <c r="T8" s="92" t="n">
        <v>0.0002</v>
      </c>
    </row>
    <row r="9">
      <c r="F9" s="152" t="inlineStr">
        <is>
          <t>2010-11</t>
        </is>
      </c>
      <c r="G9" s="153" t="n">
        <v>-0.08604739979999999</v>
      </c>
      <c r="H9" s="153" t="n">
        <v>-0.1322550621</v>
      </c>
      <c r="I9" s="153" t="n">
        <v>-0.1136272289</v>
      </c>
      <c r="J9" s="153" t="n">
        <v>-0.0076963007</v>
      </c>
      <c r="K9" s="153" t="n">
        <v>-0.1091354201</v>
      </c>
      <c r="L9" s="153" t="n">
        <v>-0.04230906</v>
      </c>
      <c r="M9" s="153" t="n">
        <v>-0.014440407</v>
      </c>
      <c r="N9" s="153" t="n">
        <v>0.0113964698</v>
      </c>
      <c r="O9" s="153" t="n">
        <v>-0.07174158260000001</v>
      </c>
      <c r="P9" s="153" t="n">
        <v>0.0602943859</v>
      </c>
      <c r="Q9" s="153" t="n">
        <v>-0.0443078709</v>
      </c>
      <c r="R9" s="154" t="n">
        <v>-0.0281397306</v>
      </c>
      <c r="S9" s="155" t="n">
        <v>-0.0581870506</v>
      </c>
      <c r="T9" s="92" t="n">
        <v>0.0002</v>
      </c>
    </row>
    <row r="10">
      <c r="F10" s="152" t="inlineStr">
        <is>
          <t>2010-12</t>
        </is>
      </c>
      <c r="G10" s="153" t="n">
        <v>0.010428731</v>
      </c>
      <c r="H10" s="153" t="n">
        <v>0.04407904</v>
      </c>
      <c r="I10" s="153" t="n">
        <v>0.0751004257</v>
      </c>
      <c r="J10" s="153" t="n">
        <v>0.0419945647</v>
      </c>
      <c r="K10" s="153" t="n">
        <v>0.0819870274</v>
      </c>
      <c r="L10" s="153" t="n">
        <v>0.0736301427</v>
      </c>
      <c r="M10" s="153" t="n">
        <v>0.1336530919</v>
      </c>
      <c r="N10" s="153" t="n">
        <v>0.0772659421</v>
      </c>
      <c r="O10" s="153" t="n">
        <v>0.0272646726</v>
      </c>
      <c r="P10" s="153" t="n">
        <v>0.0355985489</v>
      </c>
      <c r="Q10" s="153" t="n">
        <v>0.0930919343</v>
      </c>
      <c r="R10" s="154" t="n">
        <v>0.0906168301</v>
      </c>
      <c r="S10" s="155" t="n">
        <v>0.0538272596</v>
      </c>
      <c r="T10" s="92" t="n">
        <v>0.0002</v>
      </c>
    </row>
    <row r="11">
      <c r="F11" s="152" t="inlineStr">
        <is>
          <t>2011-01</t>
        </is>
      </c>
      <c r="G11" s="153" t="n">
        <v>0.2069952184</v>
      </c>
      <c r="H11" s="153" t="n">
        <v>0.1468177087</v>
      </c>
      <c r="I11" s="153" t="n">
        <v>0.0536785476</v>
      </c>
      <c r="J11" s="153" t="n">
        <v>-0.0644405941</v>
      </c>
      <c r="K11" s="153" t="n">
        <v>0.0791437218</v>
      </c>
      <c r="L11" s="153" t="n">
        <v>-0.0596490556</v>
      </c>
      <c r="M11" s="153" t="n">
        <v>-0.0103754733</v>
      </c>
      <c r="N11" s="153" t="n">
        <v>0.0985057459</v>
      </c>
      <c r="O11" s="153" t="n">
        <v>0.0423198273</v>
      </c>
      <c r="P11" s="153" t="n">
        <v>0.0169643247</v>
      </c>
      <c r="Q11" s="153" t="n">
        <v>0.077300542</v>
      </c>
      <c r="R11" s="154" t="n">
        <v>0.0530487683</v>
      </c>
      <c r="S11" s="155" t="n">
        <v>0.0527546847</v>
      </c>
      <c r="T11" s="92" t="n">
        <v>0.0002</v>
      </c>
    </row>
    <row r="12">
      <c r="F12" s="152" t="inlineStr">
        <is>
          <t>2011-02</t>
        </is>
      </c>
      <c r="G12" s="153" t="n">
        <v>-0.0042754182</v>
      </c>
      <c r="H12" s="153" t="n">
        <v>0.0362637602</v>
      </c>
      <c r="I12" s="153" t="n">
        <v>0.1503873621</v>
      </c>
      <c r="J12" s="153" t="n">
        <v>0.0327346113</v>
      </c>
      <c r="K12" s="153" t="n">
        <v>0.0138048995</v>
      </c>
      <c r="L12" s="153" t="n">
        <v>0.0702169686</v>
      </c>
      <c r="M12" s="153" t="n">
        <v>-0.0404995918</v>
      </c>
      <c r="N12" s="153" t="n">
        <v>-0.0705242618</v>
      </c>
      <c r="O12" s="153" t="n">
        <v>0.0025061279</v>
      </c>
      <c r="P12" s="153" t="n">
        <v>0.0526777802</v>
      </c>
      <c r="Q12" s="153" t="n">
        <v>0.0396820171</v>
      </c>
      <c r="R12" s="154" t="n">
        <v>0.0315714448</v>
      </c>
      <c r="S12" s="155" t="n">
        <v>0.0261765317</v>
      </c>
      <c r="T12" s="92" t="n">
        <v>0.0002</v>
      </c>
    </row>
    <row r="13">
      <c r="F13" s="152" t="inlineStr">
        <is>
          <t>2011-03</t>
        </is>
      </c>
      <c r="G13" s="153" t="n">
        <v>-0.020037889</v>
      </c>
      <c r="H13" s="153" t="n">
        <v>-0.0878400644</v>
      </c>
      <c r="I13" s="153" t="n">
        <v>-0.0320031089</v>
      </c>
      <c r="J13" s="153" t="n">
        <v>0.0146378897</v>
      </c>
      <c r="K13" s="153" t="n">
        <v>-0.0212766484</v>
      </c>
      <c r="L13" s="153" t="n">
        <v>-0.0127526728</v>
      </c>
      <c r="M13" s="153" t="n">
        <v>-0.0136207523</v>
      </c>
      <c r="N13" s="153" t="n">
        <v>-0.1216932431</v>
      </c>
      <c r="O13" s="153" t="n">
        <v>-0.0105001224</v>
      </c>
      <c r="P13" s="153" t="n">
        <v>0.0058381216</v>
      </c>
      <c r="Q13" s="153" t="n">
        <v>-0.0327630136</v>
      </c>
      <c r="R13" s="154" t="n">
        <v>0.0108894086</v>
      </c>
      <c r="S13" s="155" t="n">
        <v>-0.0294792811</v>
      </c>
      <c r="T13" s="92" t="n">
        <v>0.0002</v>
      </c>
    </row>
    <row r="14">
      <c r="F14" s="152" t="inlineStr">
        <is>
          <t>2011-04</t>
        </is>
      </c>
      <c r="G14" s="153" t="n">
        <v>0.0170398562</v>
      </c>
      <c r="H14" s="153" t="n">
        <v>0.0352643441</v>
      </c>
      <c r="I14" s="153" t="n">
        <v>-0.0017078413</v>
      </c>
      <c r="J14" s="153" t="n">
        <v>0.072893076</v>
      </c>
      <c r="K14" s="153" t="n">
        <v>-0.0391304776</v>
      </c>
      <c r="L14" s="153" t="n">
        <v>0.0226247864</v>
      </c>
      <c r="M14" s="153" t="n">
        <v>0.0297420397</v>
      </c>
      <c r="N14" s="153" t="n">
        <v>0.0546014834</v>
      </c>
      <c r="O14" s="153" t="n">
        <v>0.07933322750000001</v>
      </c>
      <c r="P14" s="153" t="n">
        <v>-0.0107794166</v>
      </c>
      <c r="Q14" s="153" t="n">
        <v>0.006169194</v>
      </c>
      <c r="R14" s="154" t="n">
        <v>0.0227917375</v>
      </c>
      <c r="S14" s="155" t="n">
        <v>0.0295148357</v>
      </c>
      <c r="T14" s="92" t="n">
        <v>0.0002</v>
      </c>
    </row>
    <row r="15">
      <c r="F15" s="152" t="inlineStr">
        <is>
          <t>2011-05</t>
        </is>
      </c>
      <c r="G15" s="153" t="n">
        <v>0.09526087079999999</v>
      </c>
      <c r="H15" s="153" t="n">
        <v>0.0147855985</v>
      </c>
      <c r="I15" s="153" t="n">
        <v>-0.0303065951</v>
      </c>
      <c r="J15" s="153" t="n">
        <v>0.0302295049</v>
      </c>
      <c r="K15" s="153" t="n">
        <v>-0.0747512137</v>
      </c>
      <c r="L15" s="153" t="n">
        <v>0.1308466533</v>
      </c>
      <c r="M15" s="153" t="n">
        <v>0.0337459869</v>
      </c>
      <c r="N15" s="153" t="n">
        <v>-0.0418084982</v>
      </c>
      <c r="O15" s="153" t="n">
        <v>0.0303370793</v>
      </c>
      <c r="P15" s="153" t="n">
        <v>-0.0133571466</v>
      </c>
      <c r="Q15" s="153" t="n">
        <v>-0.0738083802</v>
      </c>
      <c r="R15" s="154" t="n">
        <v>-0.0058758192</v>
      </c>
      <c r="S15" s="155" t="n">
        <v>-0.0243442732</v>
      </c>
      <c r="T15" s="92" t="n">
        <v>0.0002</v>
      </c>
    </row>
    <row r="16">
      <c r="F16" s="152" t="inlineStr">
        <is>
          <t>2011-06</t>
        </is>
      </c>
      <c r="G16" s="153" t="n">
        <v>0.0087412407</v>
      </c>
      <c r="H16" s="153" t="n">
        <v>0.0212063807</v>
      </c>
      <c r="I16" s="153" t="n">
        <v>0.0182734415</v>
      </c>
      <c r="J16" s="153" t="n">
        <v>0.0369925589</v>
      </c>
      <c r="K16" s="153" t="n">
        <v>0.0116532936</v>
      </c>
      <c r="L16" s="153" t="n">
        <v>0.1397430629</v>
      </c>
      <c r="M16" s="153" t="n">
        <v>-0.0310763424</v>
      </c>
      <c r="N16" s="153" t="n">
        <v>0.0448387742</v>
      </c>
      <c r="O16" s="153" t="n">
        <v>0.0547594762</v>
      </c>
      <c r="P16" s="153" t="n">
        <v>0.0052355194</v>
      </c>
      <c r="Q16" s="153" t="n">
        <v>0.0246958573</v>
      </c>
      <c r="R16" s="154" t="n">
        <v>-0.0148321579</v>
      </c>
      <c r="S16" s="155" t="n">
        <v>-0.0061717872</v>
      </c>
      <c r="T16" s="92" t="n">
        <v>0.0002</v>
      </c>
    </row>
    <row r="17">
      <c r="F17" s="152" t="inlineStr">
        <is>
          <t>2011-07</t>
        </is>
      </c>
      <c r="G17" s="153" t="n">
        <v>0.0587067312</v>
      </c>
      <c r="H17" s="153" t="n">
        <v>-0.1458764539</v>
      </c>
      <c r="I17" s="153" t="n">
        <v>-0.1266090293</v>
      </c>
      <c r="J17" s="153" t="n">
        <v>-0.0320698773</v>
      </c>
      <c r="K17" s="153" t="n">
        <v>-0.0953038333</v>
      </c>
      <c r="L17" s="153" t="n">
        <v>0.184235244</v>
      </c>
      <c r="M17" s="153" t="n">
        <v>0.0169191396</v>
      </c>
      <c r="N17" s="153" t="n">
        <v>-0.0885407614</v>
      </c>
      <c r="O17" s="153" t="n">
        <v>-0.0207430579</v>
      </c>
      <c r="P17" s="153" t="n">
        <v>-0.1219617208</v>
      </c>
      <c r="Q17" s="153" t="n">
        <v>-0.0526580859</v>
      </c>
      <c r="R17" s="154" t="n">
        <v>-0.0576063935</v>
      </c>
      <c r="S17" s="155" t="n">
        <v>-0.0777055817</v>
      </c>
      <c r="T17" s="92" t="n">
        <v>0.0002</v>
      </c>
    </row>
    <row r="18">
      <c r="F18" s="152" t="inlineStr">
        <is>
          <t>2011-08</t>
        </is>
      </c>
      <c r="G18" s="153" t="n">
        <v>-0.08512404950000001</v>
      </c>
      <c r="H18" s="153" t="n">
        <v>-0.2110414695</v>
      </c>
      <c r="I18" s="153" t="n">
        <v>-0.1746911493</v>
      </c>
      <c r="J18" s="153" t="n">
        <v>-0.0562248628</v>
      </c>
      <c r="K18" s="153" t="n">
        <v>-0.0376701365</v>
      </c>
      <c r="L18" s="153" t="n">
        <v>0.1218850056</v>
      </c>
      <c r="M18" s="153" t="n">
        <v>-0.08677351060000001</v>
      </c>
      <c r="N18" s="153" t="n">
        <v>-0.2385616587</v>
      </c>
      <c r="O18" s="153" t="n">
        <v>-0.0777310138</v>
      </c>
      <c r="P18" s="153" t="n">
        <v>-0.0820565368</v>
      </c>
      <c r="Q18" s="153" t="n">
        <v>-0.1012438673</v>
      </c>
      <c r="R18" s="154" t="n">
        <v>-0.1077244886</v>
      </c>
      <c r="S18" s="155" t="n">
        <v>-0.1132687338</v>
      </c>
      <c r="T18" s="92" t="n">
        <v>0.0002</v>
      </c>
    </row>
    <row r="19">
      <c r="F19" s="152" t="inlineStr">
        <is>
          <t>2011-09</t>
        </is>
      </c>
      <c r="G19" s="153" t="n">
        <v>-0.042231396</v>
      </c>
      <c r="H19" s="153" t="n">
        <v>-0.1622525923</v>
      </c>
      <c r="I19" s="153" t="n">
        <v>-0.1150863484</v>
      </c>
      <c r="J19" s="153" t="n">
        <v>-0.0170214825</v>
      </c>
      <c r="K19" s="153" t="n">
        <v>0.0213929186</v>
      </c>
      <c r="L19" s="153" t="n">
        <v>-0.1639826563</v>
      </c>
      <c r="M19" s="153" t="n">
        <v>-0.0587196301</v>
      </c>
      <c r="N19" s="153" t="n">
        <v>-0.1164758944</v>
      </c>
      <c r="O19" s="153" t="n">
        <v>-0.0143797348</v>
      </c>
      <c r="P19" s="153" t="n">
        <v>-0.1261173628</v>
      </c>
      <c r="Q19" s="153" t="n">
        <v>-0.0212044322</v>
      </c>
      <c r="R19" s="154" t="n">
        <v>-0.1033053021</v>
      </c>
      <c r="S19" s="155" t="n">
        <v>-0.08437835389999999</v>
      </c>
      <c r="T19" s="92" t="n">
        <v>0.0002</v>
      </c>
    </row>
    <row r="20">
      <c r="F20" s="152" t="inlineStr">
        <is>
          <t>2011-10</t>
        </is>
      </c>
      <c r="G20" s="153" t="n">
        <v>0.0077812835</v>
      </c>
      <c r="H20" s="153" t="n">
        <v>0.09317800079999999</v>
      </c>
      <c r="I20" s="153" t="n">
        <v>0.1041626367</v>
      </c>
      <c r="J20" s="153" t="n">
        <v>0.0887445988</v>
      </c>
      <c r="K20" s="153" t="n">
        <v>-0.0857843539</v>
      </c>
      <c r="L20" s="153" t="n">
        <v>0.0885542481</v>
      </c>
      <c r="M20" s="153" t="n">
        <v>0.1473737109</v>
      </c>
      <c r="N20" s="153" t="n">
        <v>0.2143998739</v>
      </c>
      <c r="O20" s="153" t="n">
        <v>0.0528877615</v>
      </c>
      <c r="P20" s="153" t="n">
        <v>0.0512695258</v>
      </c>
      <c r="Q20" s="153" t="n">
        <v>0.1578510326</v>
      </c>
      <c r="R20" s="154" t="n">
        <v>0.1011722377</v>
      </c>
      <c r="S20" s="155" t="n">
        <v>0.0874861267</v>
      </c>
      <c r="T20" s="92" t="n">
        <v>0.0002</v>
      </c>
    </row>
    <row r="21">
      <c r="F21" s="152" t="inlineStr">
        <is>
          <t>2011-11</t>
        </is>
      </c>
      <c r="G21" s="153" t="n">
        <v>0.0386054547</v>
      </c>
      <c r="H21" s="153" t="n">
        <v>-0.1028917083</v>
      </c>
      <c r="I21" s="153" t="n">
        <v>0.013528182</v>
      </c>
      <c r="J21" s="153" t="n">
        <v>-0.0249502661</v>
      </c>
      <c r="K21" s="153" t="n">
        <v>0.013161155</v>
      </c>
      <c r="L21" s="153" t="n">
        <v>-0.0400650682</v>
      </c>
      <c r="M21" s="153" t="n">
        <v>0.0376294913</v>
      </c>
      <c r="N21" s="153" t="n">
        <v>-0.088520215</v>
      </c>
      <c r="O21" s="153" t="n">
        <v>0.0025018504</v>
      </c>
      <c r="P21" s="153" t="n">
        <v>-0.0152402184</v>
      </c>
      <c r="Q21" s="153" t="n">
        <v>0.0137513681</v>
      </c>
      <c r="R21" s="154" t="n">
        <v>-0.07268914579999999</v>
      </c>
      <c r="S21" s="155" t="n">
        <v>-0.0272045393</v>
      </c>
      <c r="T21" s="92" t="n">
        <v>0.0002</v>
      </c>
    </row>
    <row r="22">
      <c r="F22" s="152" t="inlineStr">
        <is>
          <t>2011-12</t>
        </is>
      </c>
      <c r="G22" s="153" t="n">
        <v>0.0880830281</v>
      </c>
      <c r="H22" s="153" t="n">
        <v>0.0298608384</v>
      </c>
      <c r="I22" s="153" t="n">
        <v>-0.1405942412</v>
      </c>
      <c r="J22" s="153" t="n">
        <v>-0.009684672199999999</v>
      </c>
      <c r="K22" s="153" t="n">
        <v>0.0599406011</v>
      </c>
      <c r="L22" s="153" t="n">
        <v>-0.0239408026</v>
      </c>
      <c r="M22" s="153" t="n">
        <v>0.0349603939</v>
      </c>
      <c r="N22" s="153" t="n">
        <v>-0.0342342028</v>
      </c>
      <c r="O22" s="153" t="n">
        <v>0.0894604614</v>
      </c>
      <c r="P22" s="153" t="n">
        <v>-0.0314285752</v>
      </c>
      <c r="Q22" s="153" t="n">
        <v>0.030389882</v>
      </c>
      <c r="R22" s="154" t="n">
        <v>0.0197855332</v>
      </c>
      <c r="S22" s="155" t="n">
        <v>0.0016451874</v>
      </c>
      <c r="T22" s="92" t="n">
        <v>0.0002</v>
      </c>
    </row>
    <row r="23">
      <c r="F23" s="152" t="inlineStr">
        <is>
          <t>2012-01</t>
        </is>
      </c>
      <c r="G23" s="153" t="n">
        <v>0.063353906</v>
      </c>
      <c r="H23" s="153" t="n">
        <v>0.0665566415</v>
      </c>
      <c r="I23" s="153" t="n">
        <v>0.1559326573</v>
      </c>
      <c r="J23" s="153" t="n">
        <v>-0.0285159168</v>
      </c>
      <c r="K23" s="153" t="n">
        <v>-0.0175189872</v>
      </c>
      <c r="L23" s="153" t="n">
        <v>0.1534622358</v>
      </c>
      <c r="M23" s="153" t="n">
        <v>0.0241415149</v>
      </c>
      <c r="N23" s="153" t="n">
        <v>0.2151117285</v>
      </c>
      <c r="O23" s="153" t="n">
        <v>-0.0049338128</v>
      </c>
      <c r="P23" s="153" t="n">
        <v>0.1671581145</v>
      </c>
      <c r="Q23" s="153" t="n">
        <v>0.0389804636</v>
      </c>
      <c r="R23" s="154" t="n">
        <v>0.06811951300000001</v>
      </c>
      <c r="S23" s="155" t="n">
        <v>0.0439076994</v>
      </c>
      <c r="T23" s="92" t="n">
        <v>0.0002</v>
      </c>
    </row>
    <row r="24">
      <c r="F24" s="152" t="inlineStr">
        <is>
          <t>2012-02</t>
        </is>
      </c>
      <c r="G24" s="153" t="n">
        <v>0.0617212501</v>
      </c>
      <c r="H24" s="153" t="n">
        <v>0.1317576761</v>
      </c>
      <c r="I24" s="153" t="n">
        <v>0.1848799229</v>
      </c>
      <c r="J24" s="153" t="n">
        <v>0.0761896057</v>
      </c>
      <c r="K24" s="153" t="n">
        <v>-0.0616867573</v>
      </c>
      <c r="L24" s="153" t="n">
        <v>0.0540080222</v>
      </c>
      <c r="M24" s="153" t="n">
        <v>0.058182401</v>
      </c>
      <c r="N24" s="153" t="n">
        <v>0.2203286911</v>
      </c>
      <c r="O24" s="153" t="n">
        <v>-0.0170000758</v>
      </c>
      <c r="P24" s="153" t="n">
        <v>0.0743471195</v>
      </c>
      <c r="Q24" s="153" t="n">
        <v>0.0392273937</v>
      </c>
      <c r="R24" s="154" t="n">
        <v>0.1022282385</v>
      </c>
      <c r="S24" s="155" t="n">
        <v>0.0466568341</v>
      </c>
      <c r="T24" s="92" t="n">
        <v>0.0002</v>
      </c>
    </row>
    <row r="25">
      <c r="F25" s="152" t="inlineStr">
        <is>
          <t>2012-03</t>
        </is>
      </c>
      <c r="G25" s="153" t="n">
        <v>0.1261690862</v>
      </c>
      <c r="H25" s="153" t="n">
        <v>-0.0289338256</v>
      </c>
      <c r="I25" s="153" t="n">
        <v>0.0148172156</v>
      </c>
      <c r="J25" s="153" t="n">
        <v>0.0299330219</v>
      </c>
      <c r="K25" s="153" t="n">
        <v>-0.0051360127</v>
      </c>
      <c r="L25" s="153" t="n">
        <v>-0.0929978538</v>
      </c>
      <c r="M25" s="153" t="n">
        <v>0.0095287375</v>
      </c>
      <c r="N25" s="153" t="n">
        <v>-0.0054101806</v>
      </c>
      <c r="O25" s="153" t="n">
        <v>0.048999956</v>
      </c>
      <c r="P25" s="153" t="n">
        <v>-0.0396000873</v>
      </c>
      <c r="Q25" s="153" t="n">
        <v>-0.0893070309</v>
      </c>
      <c r="R25" s="154" t="n">
        <v>0.0003835721</v>
      </c>
      <c r="S25" s="155" t="n">
        <v>-0.0082955272</v>
      </c>
      <c r="T25" s="92" t="n">
        <v>0.0002</v>
      </c>
    </row>
    <row r="26">
      <c r="F26" s="152" t="inlineStr">
        <is>
          <t>2012-04</t>
        </is>
      </c>
      <c r="G26" s="153" t="n">
        <v>-0.0286597777</v>
      </c>
      <c r="H26" s="153" t="n">
        <v>-0.1468727769</v>
      </c>
      <c r="I26" s="153" t="n">
        <v>-0.1212753802</v>
      </c>
      <c r="J26" s="153" t="n">
        <v>0.0162525103</v>
      </c>
      <c r="K26" s="153" t="n">
        <v>-0.1022199831</v>
      </c>
      <c r="L26" s="153" t="n">
        <v>0.0577874883</v>
      </c>
      <c r="M26" s="153" t="n">
        <v>0.000127349</v>
      </c>
      <c r="N26" s="153" t="n">
        <v>-0.1315623385</v>
      </c>
      <c r="O26" s="153" t="n">
        <v>-0.009788690900000001</v>
      </c>
      <c r="P26" s="153" t="n">
        <v>-0.052663911</v>
      </c>
      <c r="Q26" s="153" t="n">
        <v>-0.0439329717</v>
      </c>
      <c r="R26" s="154" t="n">
        <v>-0.1048590338</v>
      </c>
      <c r="S26" s="155" t="n">
        <v>-0.061630174</v>
      </c>
      <c r="T26" s="92" t="n">
        <v>0.0002</v>
      </c>
    </row>
    <row r="27">
      <c r="F27" s="152" t="inlineStr">
        <is>
          <t>2012-05</t>
        </is>
      </c>
      <c r="G27" s="153" t="n">
        <v>-0.0923721737</v>
      </c>
      <c r="H27" s="153" t="n">
        <v>-0.15238879</v>
      </c>
      <c r="I27" s="153" t="n">
        <v>-0.0759580837</v>
      </c>
      <c r="J27" s="153" t="n">
        <v>-0.0237063822</v>
      </c>
      <c r="K27" s="153" t="n">
        <v>-0.0463678977</v>
      </c>
      <c r="L27" s="153" t="n">
        <v>-0.0211411756</v>
      </c>
      <c r="M27" s="153" t="n">
        <v>0.007524986</v>
      </c>
      <c r="N27" s="153" t="n">
        <v>-0.0128185225</v>
      </c>
      <c r="O27" s="153" t="n">
        <v>-0.0461325724</v>
      </c>
      <c r="P27" s="153" t="n">
        <v>-0.07196721440000001</v>
      </c>
      <c r="Q27" s="153" t="n">
        <v>-0.0361799029</v>
      </c>
      <c r="R27" s="154" t="n">
        <v>-0.0770002479</v>
      </c>
      <c r="S27" s="155" t="n">
        <v>-0.0609406238</v>
      </c>
      <c r="T27" s="92" t="n">
        <v>0.0002</v>
      </c>
    </row>
    <row r="28">
      <c r="F28" s="152" t="inlineStr">
        <is>
          <t>2012-06</t>
        </is>
      </c>
      <c r="G28" s="153" t="n">
        <v>0.0321389141</v>
      </c>
      <c r="H28" s="153" t="n">
        <v>0.2356352433</v>
      </c>
      <c r="I28" s="153" t="n">
        <v>0.06422042510000001</v>
      </c>
      <c r="J28" s="153" t="n">
        <v>-0.0307765061</v>
      </c>
      <c r="K28" s="153" t="n">
        <v>0.1740214943</v>
      </c>
      <c r="L28" s="153" t="n">
        <v>-0.0546389627</v>
      </c>
      <c r="M28" s="153" t="n">
        <v>0.0665822789</v>
      </c>
      <c r="N28" s="153" t="n">
        <v>-0.036681396</v>
      </c>
      <c r="O28" s="153" t="n">
        <v>0.138388417</v>
      </c>
      <c r="P28" s="153" t="n">
        <v>0.0549943055</v>
      </c>
      <c r="Q28" s="153" t="n">
        <v>0.021141751</v>
      </c>
      <c r="R28" s="154" t="n">
        <v>0.1826675024</v>
      </c>
      <c r="S28" s="155" t="n">
        <v>0.0595423588</v>
      </c>
      <c r="T28" s="92" t="n">
        <v>0.0002</v>
      </c>
    </row>
    <row r="29">
      <c r="F29" s="152" t="inlineStr">
        <is>
          <t>2012-07</t>
        </is>
      </c>
      <c r="G29" s="153" t="n">
        <v>0.06558107000000001</v>
      </c>
      <c r="H29" s="153" t="n">
        <v>-0.0054391248</v>
      </c>
      <c r="I29" s="153" t="n">
        <v>0.0659667302</v>
      </c>
      <c r="J29" s="153" t="n">
        <v>0.009486717699999999</v>
      </c>
      <c r="K29" s="153" t="n">
        <v>-0.0303914436</v>
      </c>
      <c r="L29" s="153" t="n">
        <v>-0.0850363435</v>
      </c>
      <c r="M29" s="153" t="n">
        <v>0.0385706469</v>
      </c>
      <c r="N29" s="153" t="n">
        <v>0.1319976388</v>
      </c>
      <c r="O29" s="153" t="n">
        <v>0.1126552202</v>
      </c>
      <c r="P29" s="153" t="n">
        <v>0.0525954983</v>
      </c>
      <c r="Q29" s="153" t="n">
        <v>0.0766169433</v>
      </c>
      <c r="R29" s="154" t="n">
        <v>-0.0607582847</v>
      </c>
      <c r="S29" s="155" t="n">
        <v>0.0297217439</v>
      </c>
      <c r="T29" s="92" t="n">
        <v>0.0002</v>
      </c>
    </row>
    <row r="30">
      <c r="F30" s="152" t="inlineStr">
        <is>
          <t>2012-08</t>
        </is>
      </c>
      <c r="G30" s="153" t="n">
        <v>0.0362269096</v>
      </c>
      <c r="H30" s="153" t="n">
        <v>0.1453431648</v>
      </c>
      <c r="I30" s="153" t="n">
        <v>-0.0179770137</v>
      </c>
      <c r="J30" s="153" t="n">
        <v>0.0014148314</v>
      </c>
      <c r="K30" s="153" t="n">
        <v>0.07643636600000001</v>
      </c>
      <c r="L30" s="153" t="n">
        <v>0.0329351564</v>
      </c>
      <c r="M30" s="153" t="n">
        <v>-0.0125885789</v>
      </c>
      <c r="N30" s="153" t="n">
        <v>0.0442539462</v>
      </c>
      <c r="O30" s="153" t="n">
        <v>-0.0213630514</v>
      </c>
      <c r="P30" s="153" t="n">
        <v>0.0908103738</v>
      </c>
      <c r="Q30" s="153" t="n">
        <v>0.0558434296</v>
      </c>
      <c r="R30" s="154" t="n">
        <v>0.0011576653</v>
      </c>
      <c r="S30" s="155" t="n">
        <v>0.0368841738</v>
      </c>
      <c r="T30" s="92" t="n">
        <v>0.0002</v>
      </c>
    </row>
    <row r="31">
      <c r="F31" s="152" t="inlineStr">
        <is>
          <t>2012-09</t>
        </is>
      </c>
      <c r="G31" s="153" t="n">
        <v>-0.1865105365</v>
      </c>
      <c r="H31" s="153" t="n">
        <v>0.07017778600000001</v>
      </c>
      <c r="I31" s="153" t="n">
        <v>0.1266037741</v>
      </c>
      <c r="J31" s="153" t="n">
        <v>-0.0330978378</v>
      </c>
      <c r="K31" s="153" t="n">
        <v>-0.1111111456</v>
      </c>
      <c r="L31" s="153" t="n">
        <v>-0.0871370887</v>
      </c>
      <c r="M31" s="153" t="n">
        <v>0.0191434032</v>
      </c>
      <c r="N31" s="153" t="n">
        <v>-0.0173550181</v>
      </c>
      <c r="O31" s="153" t="n">
        <v>0.0199845732</v>
      </c>
      <c r="P31" s="153" t="n">
        <v>-0.0827524728</v>
      </c>
      <c r="Q31" s="153" t="n">
        <v>-0.0278302342</v>
      </c>
      <c r="R31" s="154" t="n">
        <v>-0.0417748162</v>
      </c>
      <c r="S31" s="155" t="n">
        <v>-0.017066746</v>
      </c>
      <c r="T31" s="92" t="n">
        <v>0.0002</v>
      </c>
    </row>
    <row r="32">
      <c r="F32" s="152" t="inlineStr">
        <is>
          <t>2012-10</t>
        </is>
      </c>
      <c r="G32" s="153" t="n">
        <v>0.1112910538</v>
      </c>
      <c r="H32" s="153" t="n">
        <v>0.0494862655</v>
      </c>
      <c r="I32" s="153" t="n">
        <v>-0.0150340914</v>
      </c>
      <c r="J32" s="153" t="n">
        <v>-0.0101233947</v>
      </c>
      <c r="K32" s="153" t="n">
        <v>0.0628491582</v>
      </c>
      <c r="L32" s="153" t="n">
        <v>0.0076555477</v>
      </c>
      <c r="M32" s="153" t="n">
        <v>-0.0490209871</v>
      </c>
      <c r="N32" s="153" t="n">
        <v>-0.0550383573</v>
      </c>
      <c r="O32" s="153" t="n">
        <v>0.0221550219</v>
      </c>
      <c r="P32" s="153" t="n">
        <v>0.0473346454</v>
      </c>
      <c r="Q32" s="153" t="n">
        <v>0.0199487804</v>
      </c>
      <c r="R32" s="154" t="n">
        <v>0.0301703147</v>
      </c>
      <c r="S32" s="155" t="n">
        <v>0.0221919357</v>
      </c>
      <c r="T32" s="92" t="n">
        <v>0.0002</v>
      </c>
    </row>
    <row r="33">
      <c r="F33" s="152" t="inlineStr">
        <is>
          <t>2012-11</t>
        </is>
      </c>
      <c r="G33" s="153" t="n">
        <v>-0.0554539415</v>
      </c>
      <c r="H33" s="153" t="n">
        <v>0.1065447162</v>
      </c>
      <c r="I33" s="153" t="n">
        <v>0.0037000593</v>
      </c>
      <c r="J33" s="153" t="n">
        <v>0.0284662635</v>
      </c>
      <c r="K33" s="153" t="n">
        <v>-0.0231572881</v>
      </c>
      <c r="L33" s="153" t="n">
        <v>0.1282051496</v>
      </c>
      <c r="M33" s="153" t="n">
        <v>0.0485366182</v>
      </c>
      <c r="N33" s="153" t="n">
        <v>0.1143146511</v>
      </c>
      <c r="O33" s="153" t="n">
        <v>0.0123859162</v>
      </c>
      <c r="P33" s="153" t="n">
        <v>0.1203484017</v>
      </c>
      <c r="Q33" s="153" t="n">
        <v>-0.008887371200000001</v>
      </c>
      <c r="R33" s="154" t="n">
        <v>-0.0064431791</v>
      </c>
      <c r="S33" s="155" t="n">
        <v>0.0373286469</v>
      </c>
      <c r="T33" s="92" t="n">
        <v>0.0002</v>
      </c>
    </row>
    <row r="34">
      <c r="F34" s="152" t="inlineStr">
        <is>
          <t>2012-12</t>
        </is>
      </c>
      <c r="G34" s="153" t="n">
        <v>0.1394360308</v>
      </c>
      <c r="H34" s="153" t="n">
        <v>-0.0083827468</v>
      </c>
      <c r="I34" s="153" t="n">
        <v>0.009523997899999999</v>
      </c>
      <c r="J34" s="153" t="n">
        <v>0.023167616</v>
      </c>
      <c r="K34" s="153" t="n">
        <v>-0.09945076</v>
      </c>
      <c r="L34" s="153" t="n">
        <v>-0.0475590435</v>
      </c>
      <c r="M34" s="153" t="n">
        <v>0.0147394147</v>
      </c>
      <c r="N34" s="153" t="n">
        <v>0.0579899371</v>
      </c>
      <c r="O34" s="153" t="n">
        <v>0.0397611146</v>
      </c>
      <c r="P34" s="153" t="n">
        <v>0.0146186376</v>
      </c>
      <c r="Q34" s="153" t="n">
        <v>0.0139051941</v>
      </c>
      <c r="R34" s="154" t="n">
        <v>0.07807385629999999</v>
      </c>
      <c r="S34" s="155" t="n">
        <v>0.0235545243</v>
      </c>
      <c r="T34" s="92" t="n">
        <v>0.0002</v>
      </c>
    </row>
    <row r="35">
      <c r="F35" s="152" t="inlineStr">
        <is>
          <t>2013-01</t>
        </is>
      </c>
      <c r="G35" s="153" t="n">
        <v>0.1730507765</v>
      </c>
      <c r="H35" s="153" t="n">
        <v>0.0851238386</v>
      </c>
      <c r="I35" s="153" t="n">
        <v>0.0804931471</v>
      </c>
      <c r="J35" s="153" t="n">
        <v>0.0227430465</v>
      </c>
      <c r="K35" s="153" t="n">
        <v>-0.0298554916</v>
      </c>
      <c r="L35" s="153" t="n">
        <v>0.0581087465</v>
      </c>
      <c r="M35" s="153" t="n">
        <v>0.0544372418</v>
      </c>
      <c r="N35" s="153" t="n">
        <v>0.0916799965</v>
      </c>
      <c r="O35" s="153" t="n">
        <v>0.0065835066</v>
      </c>
      <c r="P35" s="153" t="n">
        <v>0.023162637</v>
      </c>
      <c r="Q35" s="153" t="n">
        <v>0.039120578</v>
      </c>
      <c r="R35" s="154" t="n">
        <v>0.0435206298</v>
      </c>
      <c r="S35" s="155" t="n">
        <v>0.0251382224</v>
      </c>
      <c r="T35" s="92" t="n">
        <v>0.0002</v>
      </c>
    </row>
    <row r="36">
      <c r="F36" s="152" t="inlineStr">
        <is>
          <t>2013-02</t>
        </is>
      </c>
      <c r="G36" s="153" t="n">
        <v>0.1322062177</v>
      </c>
      <c r="H36" s="153" t="n">
        <v>-0.06719312400000001</v>
      </c>
      <c r="I36" s="153" t="n">
        <v>0.0616814701</v>
      </c>
      <c r="J36" s="153" t="n">
        <v>0.0421239624</v>
      </c>
      <c r="K36" s="153" t="n">
        <v>-0.0416942428</v>
      </c>
      <c r="L36" s="153" t="n">
        <v>0.0657755984</v>
      </c>
      <c r="M36" s="153" t="n">
        <v>0.0779825913</v>
      </c>
      <c r="N36" s="153" t="n">
        <v>0.094562678</v>
      </c>
      <c r="O36" s="153" t="n">
        <v>0.0100193972</v>
      </c>
      <c r="P36" s="153" t="n">
        <v>0.0502672005</v>
      </c>
      <c r="Q36" s="153" t="n">
        <v>-0.0409470854</v>
      </c>
      <c r="R36" s="154" t="n">
        <v>-0.0552965328</v>
      </c>
      <c r="S36" s="155" t="n">
        <v>-0.0025719599</v>
      </c>
      <c r="T36" s="92" t="n">
        <v>0.0002</v>
      </c>
    </row>
    <row r="37">
      <c r="F37" s="152" t="inlineStr">
        <is>
          <t>2013-03</t>
        </is>
      </c>
      <c r="G37" s="153" t="n">
        <v>0.0132721405</v>
      </c>
      <c r="H37" s="153" t="n">
        <v>-0.0711054507</v>
      </c>
      <c r="I37" s="153" t="n">
        <v>-0.0582307989</v>
      </c>
      <c r="J37" s="153" t="n">
        <v>0.0204925828</v>
      </c>
      <c r="K37" s="153" t="n">
        <v>0.0372928412</v>
      </c>
      <c r="L37" s="153" t="n">
        <v>0.067593553</v>
      </c>
      <c r="M37" s="153" t="n">
        <v>-0.0219338437</v>
      </c>
      <c r="N37" s="153" t="n">
        <v>0.0053481723</v>
      </c>
      <c r="O37" s="153" t="n">
        <v>0.0921743129</v>
      </c>
      <c r="P37" s="153" t="n">
        <v>-0.0325865632</v>
      </c>
      <c r="Q37" s="153" t="n">
        <v>-0.02454569</v>
      </c>
      <c r="R37" s="154" t="n">
        <v>-0.008603653899999999</v>
      </c>
      <c r="S37" s="155" t="n">
        <v>0.002261596</v>
      </c>
      <c r="T37" s="92" t="n">
        <v>0.0002</v>
      </c>
    </row>
    <row r="38">
      <c r="F38" s="152" t="inlineStr">
        <is>
          <t>2013-04</t>
        </is>
      </c>
      <c r="G38" s="153" t="n">
        <v>0.010201588</v>
      </c>
      <c r="H38" s="153" t="n">
        <v>0.0566932259</v>
      </c>
      <c r="I38" s="153" t="n">
        <v>-0.0161970964</v>
      </c>
      <c r="J38" s="153" t="n">
        <v>0.0687176821</v>
      </c>
      <c r="K38" s="153" t="n">
        <v>0.08521958120000001</v>
      </c>
      <c r="L38" s="153" t="n">
        <v>-0.0544581981</v>
      </c>
      <c r="M38" s="153" t="n">
        <v>-0.0330213194</v>
      </c>
      <c r="N38" s="153" t="n">
        <v>0.0704858921</v>
      </c>
      <c r="O38" s="153" t="n">
        <v>0.0498296107</v>
      </c>
      <c r="P38" s="153" t="n">
        <v>0.0157896754</v>
      </c>
      <c r="Q38" s="153" t="n">
        <v>0.0401642371</v>
      </c>
      <c r="R38" s="154" t="n">
        <v>0.0402616775</v>
      </c>
      <c r="S38" s="155" t="n">
        <v>0.0335877711</v>
      </c>
      <c r="T38" s="92" t="n">
        <v>0.0002</v>
      </c>
    </row>
    <row r="39">
      <c r="F39" s="152" t="inlineStr">
        <is>
          <t>2013-05</t>
        </is>
      </c>
      <c r="G39" s="153" t="n">
        <v>0.1083406537</v>
      </c>
      <c r="H39" s="153" t="n">
        <v>0.0712597614</v>
      </c>
      <c r="I39" s="153" t="n">
        <v>0.0814601229</v>
      </c>
      <c r="J39" s="153" t="n">
        <v>-0.0218927881</v>
      </c>
      <c r="K39" s="153" t="n">
        <v>0.0069103179</v>
      </c>
      <c r="L39" s="153" t="n">
        <v>0.07458041360000001</v>
      </c>
      <c r="M39" s="153" t="n">
        <v>-0.0139361994</v>
      </c>
      <c r="N39" s="153" t="n">
        <v>0.1422017505</v>
      </c>
      <c r="O39" s="153" t="n">
        <v>-0.008531537299999999</v>
      </c>
      <c r="P39" s="153" t="n">
        <v>0.059412671</v>
      </c>
      <c r="Q39" s="153" t="n">
        <v>0.0082311555</v>
      </c>
      <c r="R39" s="154" t="n">
        <v>0.1253728335</v>
      </c>
      <c r="S39" s="155" t="n">
        <v>0.0238128185</v>
      </c>
      <c r="T39" s="92" t="n">
        <v>0.0002</v>
      </c>
    </row>
    <row r="40">
      <c r="F40" s="152" t="inlineStr">
        <is>
          <t>2013-06</t>
        </is>
      </c>
      <c r="G40" s="153" t="n">
        <v>-0.0634526643</v>
      </c>
      <c r="H40" s="153" t="n">
        <v>-0.0431810787</v>
      </c>
      <c r="I40" s="153" t="n">
        <v>-0.0111197418</v>
      </c>
      <c r="J40" s="153" t="n">
        <v>0.0422666459</v>
      </c>
      <c r="K40" s="153" t="n">
        <v>-0.0447617856</v>
      </c>
      <c r="L40" s="153" t="n">
        <v>-0.0988371291</v>
      </c>
      <c r="M40" s="153" t="n">
        <v>-0.0809150827</v>
      </c>
      <c r="N40" s="153" t="n">
        <v>-0.1058723646</v>
      </c>
      <c r="O40" s="153" t="n">
        <v>-0.0028645423</v>
      </c>
      <c r="P40" s="153" t="n">
        <v>-0.061134854</v>
      </c>
      <c r="Q40" s="153" t="n">
        <v>-0.0279905281</v>
      </c>
      <c r="R40" s="154" t="n">
        <v>-0.0287188126</v>
      </c>
      <c r="S40" s="155" t="n">
        <v>-0.0531025432</v>
      </c>
      <c r="T40" s="92" t="n">
        <v>0.0002</v>
      </c>
    </row>
    <row r="41">
      <c r="F41" s="152" t="inlineStr">
        <is>
          <t>2013-07</t>
        </is>
      </c>
      <c r="G41" s="153" t="n">
        <v>0.0930232637</v>
      </c>
      <c r="H41" s="153" t="n">
        <v>0.1586659038</v>
      </c>
      <c r="I41" s="153" t="n">
        <v>0.1317030954</v>
      </c>
      <c r="J41" s="153" t="n">
        <v>0.0301767102</v>
      </c>
      <c r="K41" s="153" t="n">
        <v>0.0481888835</v>
      </c>
      <c r="L41" s="153" t="n">
        <v>0.0337751452</v>
      </c>
      <c r="M41" s="153" t="n">
        <v>0.0505929743</v>
      </c>
      <c r="N41" s="153" t="n">
        <v>0.1444876275</v>
      </c>
      <c r="O41" s="153" t="n">
        <v>0.0069076832</v>
      </c>
      <c r="P41" s="153" t="n">
        <v>0.07320995850000001</v>
      </c>
      <c r="Q41" s="153" t="n">
        <v>0.0867549428</v>
      </c>
      <c r="R41" s="154" t="n">
        <v>0.0527819203</v>
      </c>
      <c r="S41" s="155" t="n">
        <v>0.0678754063</v>
      </c>
      <c r="T41" s="92" t="n">
        <v>0.0002</v>
      </c>
    </row>
    <row r="42">
      <c r="F42" s="152" t="inlineStr">
        <is>
          <t>2013-08</t>
        </is>
      </c>
      <c r="G42" s="153" t="n">
        <v>-0.0285174366</v>
      </c>
      <c r="H42" s="153" t="n">
        <v>-0.0250847453</v>
      </c>
      <c r="I42" s="153" t="n">
        <v>0.0070475779</v>
      </c>
      <c r="J42" s="153" t="n">
        <v>-0.0515151645</v>
      </c>
      <c r="K42" s="153" t="n">
        <v>0.0399492302</v>
      </c>
      <c r="L42" s="153" t="n">
        <v>-0.006656154</v>
      </c>
      <c r="M42" s="153" t="n">
        <v>-0.0096465988</v>
      </c>
      <c r="N42" s="153" t="n">
        <v>-0.08602335749999999</v>
      </c>
      <c r="O42" s="153" t="n">
        <v>-0.0933016842</v>
      </c>
      <c r="P42" s="153" t="n">
        <v>-0.0319343447</v>
      </c>
      <c r="Q42" s="153" t="n">
        <v>0.0452619472</v>
      </c>
      <c r="R42" s="154" t="n">
        <v>-0.0374479672</v>
      </c>
      <c r="S42" s="155" t="n">
        <v>-0.014754442</v>
      </c>
      <c r="T42" s="92" t="n">
        <v>0.0002</v>
      </c>
    </row>
    <row r="43">
      <c r="F43" s="152" t="inlineStr">
        <is>
          <t>2013-09</t>
        </is>
      </c>
      <c r="G43" s="153" t="n">
        <v>0.0800367718</v>
      </c>
      <c r="H43" s="153" t="n">
        <v>0.0545184876</v>
      </c>
      <c r="I43" s="153" t="n">
        <v>0.0610522923</v>
      </c>
      <c r="J43" s="153" t="n">
        <v>-0.0124242862</v>
      </c>
      <c r="K43" s="153" t="n">
        <v>0.1323169365</v>
      </c>
      <c r="L43" s="153" t="n">
        <v>0.0488765744</v>
      </c>
      <c r="M43" s="153" t="n">
        <v>0.0449679687</v>
      </c>
      <c r="N43" s="153" t="n">
        <v>0.08968200229999999</v>
      </c>
      <c r="O43" s="153" t="n">
        <v>0.0313662058</v>
      </c>
      <c r="P43" s="153" t="n">
        <v>0.0796201076</v>
      </c>
      <c r="Q43" s="153" t="n">
        <v>0.0233809278</v>
      </c>
      <c r="R43" s="154" t="n">
        <v>0.09982091930000001</v>
      </c>
      <c r="S43" s="155" t="n">
        <v>0.0532973147</v>
      </c>
      <c r="T43" s="92" t="n">
        <v>0.0002</v>
      </c>
    </row>
    <row r="44">
      <c r="F44" s="152" t="inlineStr">
        <is>
          <t>2013-10</t>
        </is>
      </c>
      <c r="G44" s="153" t="n">
        <v>0.0746363753</v>
      </c>
      <c r="H44" s="153" t="n">
        <v>0.0908001215</v>
      </c>
      <c r="I44" s="153" t="n">
        <v>0.1018873796</v>
      </c>
      <c r="J44" s="153" t="n">
        <v>-0.0183323387</v>
      </c>
      <c r="K44" s="153" t="n">
        <v>-0.0123854984</v>
      </c>
      <c r="L44" s="153" t="n">
        <v>-0.0571215813</v>
      </c>
      <c r="M44" s="153" t="n">
        <v>-0.0358424706</v>
      </c>
      <c r="N44" s="153" t="n">
        <v>0.0946885371</v>
      </c>
      <c r="O44" s="153" t="n">
        <v>0.0476190273</v>
      </c>
      <c r="P44" s="153" t="n">
        <v>-0.0073589074</v>
      </c>
      <c r="Q44" s="153" t="n">
        <v>0.070032542</v>
      </c>
      <c r="R44" s="154" t="n">
        <v>0.0994883911</v>
      </c>
      <c r="S44" s="155" t="n">
        <v>0.0377585285</v>
      </c>
      <c r="T44" s="92" t="n">
        <v>0.0002</v>
      </c>
    </row>
    <row r="45">
      <c r="F45" s="152" t="inlineStr">
        <is>
          <t>2013-11</t>
        </is>
      </c>
      <c r="G45" s="153" t="n">
        <v>0.0326021676</v>
      </c>
      <c r="H45" s="153" t="n">
        <v>0.0130179077</v>
      </c>
      <c r="I45" s="153" t="n">
        <v>-0.0092878015</v>
      </c>
      <c r="J45" s="153" t="n">
        <v>-0.020871498</v>
      </c>
      <c r="K45" s="153" t="n">
        <v>-0.0692476145</v>
      </c>
      <c r="L45" s="153" t="n">
        <v>0.0243125578</v>
      </c>
      <c r="M45" s="153" t="n">
        <v>-0.0572880526</v>
      </c>
      <c r="N45" s="153" t="n">
        <v>0.012091215</v>
      </c>
      <c r="O45" s="153" t="n">
        <v>-0.0089128605</v>
      </c>
      <c r="P45" s="153" t="n">
        <v>0.0041901708</v>
      </c>
      <c r="Q45" s="153" t="n">
        <v>-0.0148016201</v>
      </c>
      <c r="R45" s="154" t="n">
        <v>0.0016930832</v>
      </c>
      <c r="S45" s="155" t="n">
        <v>-0.0010884408</v>
      </c>
      <c r="T45" s="92" t="n">
        <v>0.0002</v>
      </c>
    </row>
    <row r="46">
      <c r="F46" s="152" t="inlineStr">
        <is>
          <t>2013-12</t>
        </is>
      </c>
      <c r="G46" s="153" t="n">
        <v>0.0679298088</v>
      </c>
      <c r="H46" s="153" t="n">
        <v>0.0253394975</v>
      </c>
      <c r="I46" s="153" t="n">
        <v>0.0235416459</v>
      </c>
      <c r="J46" s="153" t="n">
        <v>-0.0216903603</v>
      </c>
      <c r="K46" s="153" t="n">
        <v>0.0484126754</v>
      </c>
      <c r="L46" s="153" t="n">
        <v>0.025291915</v>
      </c>
      <c r="M46" s="153" t="n">
        <v>0.0021179087</v>
      </c>
      <c r="N46" s="153" t="n">
        <v>-0.1047634326</v>
      </c>
      <c r="O46" s="153" t="n">
        <v>-0.009249557</v>
      </c>
      <c r="P46" s="153" t="n">
        <v>0.0174933102</v>
      </c>
      <c r="Q46" s="153" t="n">
        <v>-0.0014575238</v>
      </c>
      <c r="R46" s="154" t="n">
        <v>0.0203170575</v>
      </c>
      <c r="S46" s="155" t="n">
        <v>0.0001723395</v>
      </c>
      <c r="T46" s="92" t="n">
        <v>0.0002</v>
      </c>
    </row>
    <row r="47">
      <c r="F47" s="152" t="inlineStr">
        <is>
          <t>2014-01</t>
        </is>
      </c>
      <c r="G47" s="153" t="n">
        <v>-0.0573375371</v>
      </c>
      <c r="H47" s="153" t="n">
        <v>0.0141217707</v>
      </c>
      <c r="I47" s="153" t="n">
        <v>0.029309913</v>
      </c>
      <c r="J47" s="153" t="n">
        <v>-0.06335997040000001</v>
      </c>
      <c r="K47" s="153" t="n">
        <v>-0.0415325043</v>
      </c>
      <c r="L47" s="153" t="n">
        <v>-0.1034154963</v>
      </c>
      <c r="M47" s="153" t="n">
        <v>-0.0382804218</v>
      </c>
      <c r="N47" s="153" t="n">
        <v>0.1079557161</v>
      </c>
      <c r="O47" s="153" t="n">
        <v>-0.0560164583</v>
      </c>
      <c r="P47" s="153" t="n">
        <v>-0.0553626673</v>
      </c>
      <c r="Q47" s="153" t="n">
        <v>-0.0354878714</v>
      </c>
      <c r="R47" s="154" t="n">
        <v>0.0177072643</v>
      </c>
      <c r="S47" s="155" t="n">
        <v>-0.0303145927</v>
      </c>
      <c r="T47" s="92" t="n">
        <v>0.0002</v>
      </c>
    </row>
    <row r="48">
      <c r="F48" s="152" t="inlineStr">
        <is>
          <t>2014-02</t>
        </is>
      </c>
      <c r="G48" s="153" t="n">
        <v>0.0148260292</v>
      </c>
      <c r="H48" s="153" t="n">
        <v>0.034986626</v>
      </c>
      <c r="I48" s="153" t="n">
        <v>0.1218113631</v>
      </c>
      <c r="J48" s="153" t="n">
        <v>0.044383181</v>
      </c>
      <c r="K48" s="153" t="n">
        <v>0.1345741522</v>
      </c>
      <c r="L48" s="153" t="n">
        <v>-0.0116402836</v>
      </c>
      <c r="M48" s="153" t="n">
        <v>0.0709443532</v>
      </c>
      <c r="N48" s="153" t="n">
        <v>0.1150399277</v>
      </c>
      <c r="O48" s="153" t="n">
        <v>0.0347526215</v>
      </c>
      <c r="P48" s="153" t="n">
        <v>0.0811486106</v>
      </c>
      <c r="Q48" s="153" t="n">
        <v>0.1107698375</v>
      </c>
      <c r="R48" s="154" t="n">
        <v>0.1145885089</v>
      </c>
      <c r="S48" s="155" t="n">
        <v>0.0581795826</v>
      </c>
      <c r="T48" s="92" t="n">
        <v>0.0002</v>
      </c>
    </row>
    <row r="49">
      <c r="F49" s="152" t="inlineStr">
        <is>
          <t>2014-03</t>
        </is>
      </c>
      <c r="G49" s="153" t="n">
        <v>-0.0262220305</v>
      </c>
      <c r="H49" s="153" t="n">
        <v>-0.0583583062</v>
      </c>
      <c r="I49" s="153" t="n">
        <v>-0.0313765461</v>
      </c>
      <c r="J49" s="153" t="n">
        <v>0.002930497</v>
      </c>
      <c r="K49" s="153" t="n">
        <v>0.06831632629999999</v>
      </c>
      <c r="L49" s="153" t="n">
        <v>0.0411969534</v>
      </c>
      <c r="M49" s="153" t="n">
        <v>-0.0092626176</v>
      </c>
      <c r="N49" s="153" t="n">
        <v>-0.023126951</v>
      </c>
      <c r="O49" s="153" t="n">
        <v>0.0046461596</v>
      </c>
      <c r="P49" s="153" t="n">
        <v>-0.0061776877</v>
      </c>
      <c r="Q49" s="153" t="n">
        <v>0.0121204205</v>
      </c>
      <c r="R49" s="154" t="n">
        <v>-0.0040639426</v>
      </c>
      <c r="S49" s="155" t="n">
        <v>-0.0037612924</v>
      </c>
      <c r="T49" s="92" t="n">
        <v>0.0002</v>
      </c>
    </row>
    <row r="50">
      <c r="F50" s="152" t="inlineStr">
        <is>
          <t>2014-04</t>
        </is>
      </c>
      <c r="G50" s="153" t="n">
        <v>-0.0480861188</v>
      </c>
      <c r="H50" s="153" t="n">
        <v>-0.0335774308</v>
      </c>
      <c r="I50" s="153" t="n">
        <v>-0.0735215345</v>
      </c>
      <c r="J50" s="153" t="n">
        <v>0.0356518417</v>
      </c>
      <c r="K50" s="153" t="n">
        <v>-0.0848437958</v>
      </c>
      <c r="L50" s="153" t="n">
        <v>0.0478062739</v>
      </c>
      <c r="M50" s="153" t="n">
        <v>0.0237868884</v>
      </c>
      <c r="N50" s="153" t="n">
        <v>-0.0055287683</v>
      </c>
      <c r="O50" s="153" t="n">
        <v>0.0309197555</v>
      </c>
      <c r="P50" s="153" t="n">
        <v>0.0497280677</v>
      </c>
      <c r="Q50" s="153" t="n">
        <v>0.0950959557</v>
      </c>
      <c r="R50" s="154" t="n">
        <v>0.007975968700000001</v>
      </c>
      <c r="S50" s="155" t="n">
        <v>0.0218353949</v>
      </c>
      <c r="T50" s="92" t="n">
        <v>0.0002</v>
      </c>
    </row>
    <row r="51">
      <c r="F51" s="152" t="inlineStr">
        <is>
          <t>2014-05</t>
        </is>
      </c>
      <c r="G51" s="153" t="n">
        <v>0.06304291469999999</v>
      </c>
      <c r="H51" s="153" t="n">
        <v>-0.0506376772</v>
      </c>
      <c r="I51" s="153" t="n">
        <v>0.0477312571</v>
      </c>
      <c r="J51" s="153" t="n">
        <v>0.0276524758</v>
      </c>
      <c r="K51" s="153" t="n">
        <v>0.1683855545</v>
      </c>
      <c r="L51" s="153" t="n">
        <v>0.0270591306</v>
      </c>
      <c r="M51" s="153" t="n">
        <v>0.0397641874</v>
      </c>
      <c r="N51" s="153" t="n">
        <v>-0.0155381855</v>
      </c>
      <c r="O51" s="153" t="n">
        <v>0.0053831118</v>
      </c>
      <c r="P51" s="153" t="n">
        <v>0.0226498585</v>
      </c>
      <c r="Q51" s="153" t="n">
        <v>0</v>
      </c>
      <c r="R51" s="154" t="n">
        <v>0.0223050465</v>
      </c>
      <c r="S51" s="155" t="n">
        <v>0.0071711366</v>
      </c>
      <c r="T51" s="92" t="n">
        <v>0.0002</v>
      </c>
    </row>
    <row r="52">
      <c r="F52" s="152" t="inlineStr">
        <is>
          <t>2014-06</t>
        </is>
      </c>
      <c r="G52" s="153" t="n">
        <v>-0.0564365783</v>
      </c>
      <c r="H52" s="153" t="n">
        <v>-0.0069920231</v>
      </c>
      <c r="I52" s="153" t="n">
        <v>-0.0015807164</v>
      </c>
      <c r="J52" s="153" t="n">
        <v>0.0212006426</v>
      </c>
      <c r="K52" s="153" t="n">
        <v>-0.018550433</v>
      </c>
      <c r="L52" s="153" t="n">
        <v>0.0365385797</v>
      </c>
      <c r="M52" s="153" t="n">
        <v>-0.0250139887</v>
      </c>
      <c r="N52" s="153" t="n">
        <v>-0.0192044047</v>
      </c>
      <c r="O52" s="153" t="n">
        <v>0.025884664</v>
      </c>
      <c r="P52" s="153" t="n">
        <v>0.029072353</v>
      </c>
      <c r="Q52" s="153" t="n">
        <v>0.025252494</v>
      </c>
      <c r="R52" s="154" t="n">
        <v>0.0055249645</v>
      </c>
      <c r="S52" s="155" t="n">
        <v>-0.0214024751</v>
      </c>
      <c r="T52" s="92" t="n">
        <v>0.0002</v>
      </c>
    </row>
    <row r="53">
      <c r="F53" s="152" t="inlineStr">
        <is>
          <t>2014-07</t>
        </is>
      </c>
      <c r="G53" s="153" t="n">
        <v>-0.1140169659</v>
      </c>
      <c r="H53" s="153" t="n">
        <v>-0.0009080932</v>
      </c>
      <c r="I53" s="153" t="n">
        <v>0.040882775</v>
      </c>
      <c r="J53" s="153" t="n">
        <v>-0.0027656004</v>
      </c>
      <c r="K53" s="153" t="n">
        <v>-0.042526532</v>
      </c>
      <c r="L53" s="153" t="n">
        <v>-0.0380462981</v>
      </c>
      <c r="M53" s="153" t="n">
        <v>-0.0456100393</v>
      </c>
      <c r="N53" s="153" t="n">
        <v>-0.0554293127</v>
      </c>
      <c r="O53" s="153" t="n">
        <v>0.013405274</v>
      </c>
      <c r="P53" s="153" t="n">
        <v>-0.08043619740000001</v>
      </c>
      <c r="Q53" s="153" t="n">
        <v>-0.07793376220000001</v>
      </c>
      <c r="R53" s="154" t="n">
        <v>-0.0545788565</v>
      </c>
      <c r="S53" s="155" t="n">
        <v>-0.0399516404</v>
      </c>
      <c r="T53" s="92" t="n">
        <v>0.0002</v>
      </c>
    </row>
    <row r="54">
      <c r="F54" s="152" t="inlineStr">
        <is>
          <t>2014-08</t>
        </is>
      </c>
      <c r="G54" s="153" t="n">
        <v>0.0794510038</v>
      </c>
      <c r="H54" s="153" t="n">
        <v>0.037979823</v>
      </c>
      <c r="I54" s="153" t="n">
        <v>-0.0022127544</v>
      </c>
      <c r="J54" s="153" t="n">
        <v>-0.0175632965</v>
      </c>
      <c r="K54" s="153" t="n">
        <v>-0.0262337218</v>
      </c>
      <c r="L54" s="153" t="n">
        <v>0.0147258769</v>
      </c>
      <c r="M54" s="153" t="n">
        <v>0.0822032989</v>
      </c>
      <c r="N54" s="153" t="n">
        <v>-0.0447330119</v>
      </c>
      <c r="O54" s="153" t="n">
        <v>0.0620706142</v>
      </c>
      <c r="P54" s="153" t="n">
        <v>0.0173994369</v>
      </c>
      <c r="Q54" s="153" t="n">
        <v>0.0436680919</v>
      </c>
      <c r="R54" s="154" t="n">
        <v>-0.0362263456</v>
      </c>
      <c r="S54" s="155" t="n">
        <v>0.0317700071</v>
      </c>
      <c r="T54" s="92" t="n">
        <v>0.0002</v>
      </c>
    </row>
    <row r="55">
      <c r="F55" s="152" t="inlineStr">
        <is>
          <t>2014-09</t>
        </is>
      </c>
      <c r="G55" s="153" t="n">
        <v>0.0644160394</v>
      </c>
      <c r="H55" s="153" t="n">
        <v>0.022187706</v>
      </c>
      <c r="I55" s="153" t="n">
        <v>0.0502681574</v>
      </c>
      <c r="J55" s="153" t="n">
        <v>-0.0026343959</v>
      </c>
      <c r="K55" s="153" t="n">
        <v>0.0594824242</v>
      </c>
      <c r="L55" s="153" t="n">
        <v>-0.09585656920000001</v>
      </c>
      <c r="M55" s="153" t="n">
        <v>-0.0011142141</v>
      </c>
      <c r="N55" s="153" t="n">
        <v>-0.0374286889</v>
      </c>
      <c r="O55" s="153" t="n">
        <v>0.0725750634</v>
      </c>
      <c r="P55" s="153" t="n">
        <v>-0.0547263697</v>
      </c>
      <c r="Q55" s="153" t="n">
        <v>0.0251044496</v>
      </c>
      <c r="R55" s="154" t="n">
        <v>-0.075276285</v>
      </c>
      <c r="S55" s="155" t="n">
        <v>0.008034666399999999</v>
      </c>
      <c r="T55" s="92" t="n">
        <v>0.0002</v>
      </c>
    </row>
    <row r="56">
      <c r="F56" s="152" t="inlineStr">
        <is>
          <t>2014-10</t>
        </is>
      </c>
      <c r="G56" s="153" t="n">
        <v>-0.0445603183</v>
      </c>
      <c r="H56" s="153" t="n">
        <v>-0.0453159977</v>
      </c>
      <c r="I56" s="153" t="n">
        <v>-0.07689612210000001</v>
      </c>
      <c r="J56" s="153" t="n">
        <v>0.0230187788</v>
      </c>
      <c r="K56" s="153" t="n">
        <v>-0.0254280578</v>
      </c>
      <c r="L56" s="153" t="n">
        <v>0.0437170649</v>
      </c>
      <c r="M56" s="153" t="n">
        <v>0.0132753275</v>
      </c>
      <c r="N56" s="153" t="n">
        <v>0.0327811328</v>
      </c>
      <c r="O56" s="153" t="n">
        <v>-0.1775346077</v>
      </c>
      <c r="P56" s="153" t="n">
        <v>0.0342106544</v>
      </c>
      <c r="Q56" s="153" t="n">
        <v>-0.0669750826</v>
      </c>
      <c r="R56" s="154" t="n">
        <v>-0.0115205077</v>
      </c>
      <c r="S56" s="155" t="n">
        <v>-0.0414720171</v>
      </c>
      <c r="T56" s="92" t="n">
        <v>0.0002</v>
      </c>
    </row>
    <row r="57">
      <c r="F57" s="152" t="inlineStr">
        <is>
          <t>2014-11</t>
        </is>
      </c>
      <c r="G57" s="153" t="n">
        <v>0.0293066933</v>
      </c>
      <c r="H57" s="153" t="n">
        <v>0.0283204934</v>
      </c>
      <c r="I57" s="153" t="n">
        <v>0.1233320932</v>
      </c>
      <c r="J57" s="153" t="n">
        <v>0.0466616261</v>
      </c>
      <c r="K57" s="153" t="n">
        <v>0.0521964083</v>
      </c>
      <c r="L57" s="153" t="n">
        <v>0.0896400232</v>
      </c>
      <c r="M57" s="153" t="n">
        <v>0.0493229385</v>
      </c>
      <c r="N57" s="153" t="n">
        <v>0.0893127843</v>
      </c>
      <c r="O57" s="153" t="n">
        <v>0.0570186453</v>
      </c>
      <c r="P57" s="153" t="n">
        <v>0.0432569645</v>
      </c>
      <c r="Q57" s="153" t="n">
        <v>-0.0512436459</v>
      </c>
      <c r="R57" s="154" t="n">
        <v>-0.0439802575</v>
      </c>
      <c r="S57" s="155" t="n">
        <v>0.0371100869</v>
      </c>
      <c r="T57" s="92" t="n">
        <v>0.0002</v>
      </c>
    </row>
    <row r="58">
      <c r="F58" s="152" t="inlineStr">
        <is>
          <t>2014-12</t>
        </is>
      </c>
      <c r="G58" s="153" t="n">
        <v>-0.1560363353</v>
      </c>
      <c r="H58" s="153" t="n">
        <v>-0.0446082363</v>
      </c>
      <c r="I58" s="153" t="n">
        <v>0.009333038300000001</v>
      </c>
      <c r="J58" s="153" t="n">
        <v>-0.0405286212</v>
      </c>
      <c r="K58" s="153" t="n">
        <v>-0.0194296293</v>
      </c>
      <c r="L58" s="153" t="n">
        <v>0.0948930642</v>
      </c>
      <c r="M58" s="153" t="n">
        <v>-0.0232552233</v>
      </c>
      <c r="N58" s="153" t="n">
        <v>-0.0618413445</v>
      </c>
      <c r="O58" s="153" t="n">
        <v>-0.0282557716</v>
      </c>
      <c r="P58" s="153" t="n">
        <v>-0.0760671117</v>
      </c>
      <c r="Q58" s="153" t="n">
        <v>-0.054901442</v>
      </c>
      <c r="R58" s="154" t="n">
        <v>0.06991428970000001</v>
      </c>
      <c r="S58" s="155" t="n">
        <v>-0.0267483727</v>
      </c>
      <c r="T58" s="92" t="n">
        <v>0.0002</v>
      </c>
    </row>
    <row r="59">
      <c r="F59" s="152" t="inlineStr">
        <is>
          <t>2015-01</t>
        </is>
      </c>
      <c r="G59" s="153" t="n">
        <v>0.1414752418</v>
      </c>
      <c r="H59" s="153" t="n">
        <v>-0.0504464466</v>
      </c>
      <c r="I59" s="153" t="n">
        <v>0.0855750299</v>
      </c>
      <c r="J59" s="153" t="n">
        <v>0.09403125549999999</v>
      </c>
      <c r="K59" s="153" t="n">
        <v>0.0151828996</v>
      </c>
      <c r="L59" s="153" t="n">
        <v>0.0191658139</v>
      </c>
      <c r="M59" s="153" t="n">
        <v>0.1554302838</v>
      </c>
      <c r="N59" s="153" t="n">
        <v>0.1268794268</v>
      </c>
      <c r="O59" s="153" t="n">
        <v>0.08379617020000001</v>
      </c>
      <c r="P59" s="153" t="n">
        <v>0.1054280794</v>
      </c>
      <c r="Q59" s="153" t="n">
        <v>0.08619187289999999</v>
      </c>
      <c r="R59" s="154" t="n">
        <v>0.0292245754</v>
      </c>
      <c r="S59" s="155" t="n">
        <v>0.0775846937</v>
      </c>
      <c r="T59" s="92" t="n">
        <v>0.0002</v>
      </c>
    </row>
    <row r="60">
      <c r="F60" s="152" t="inlineStr">
        <is>
          <t>2015-02</t>
        </is>
      </c>
      <c r="G60" s="153" t="n">
        <v>0.1722457939</v>
      </c>
      <c r="H60" s="153" t="n">
        <v>0.1136288012</v>
      </c>
      <c r="I60" s="153" t="n">
        <v>0.1192504261</v>
      </c>
      <c r="J60" s="153" t="n">
        <v>0.0463320292</v>
      </c>
      <c r="K60" s="153" t="n">
        <v>0.0076046903</v>
      </c>
      <c r="L60" s="153" t="n">
        <v>-0.0402731499</v>
      </c>
      <c r="M60" s="153" t="n">
        <v>-0.0060974329</v>
      </c>
      <c r="N60" s="153" t="n">
        <v>0.2586131374</v>
      </c>
      <c r="O60" s="153" t="n">
        <v>0.0695119044</v>
      </c>
      <c r="P60" s="153" t="n">
        <v>0.0743282764</v>
      </c>
      <c r="Q60" s="153" t="n">
        <v>0.0601101842</v>
      </c>
      <c r="R60" s="154" t="n">
        <v>0.1319383951</v>
      </c>
      <c r="S60" s="155" t="n">
        <v>0.0754151014</v>
      </c>
      <c r="T60" s="92" t="n">
        <v>0.0002</v>
      </c>
    </row>
    <row r="61">
      <c r="F61" s="152" t="inlineStr">
        <is>
          <t>2015-03</t>
        </is>
      </c>
      <c r="G61" s="153" t="n">
        <v>0.092354982</v>
      </c>
      <c r="H61" s="153" t="n">
        <v>0.0860053477</v>
      </c>
      <c r="I61" s="153" t="n">
        <v>0.056731693</v>
      </c>
      <c r="J61" s="153" t="n">
        <v>0.0046527113</v>
      </c>
      <c r="K61" s="153" t="n">
        <v>-0.0739625097</v>
      </c>
      <c r="L61" s="153" t="n">
        <v>0.1388934469</v>
      </c>
      <c r="M61" s="153" t="n">
        <v>0.0396413189</v>
      </c>
      <c r="N61" s="153" t="n">
        <v>-0.0125801233</v>
      </c>
      <c r="O61" s="153" t="n">
        <v>0.0482327172</v>
      </c>
      <c r="P61" s="153" t="n">
        <v>0.0051405305</v>
      </c>
      <c r="Q61" s="153" t="n">
        <v>-0.0406344262</v>
      </c>
      <c r="R61" s="154" t="n">
        <v>0.0039608166</v>
      </c>
      <c r="S61" s="155" t="n">
        <v>0.0165930503</v>
      </c>
      <c r="T61" s="92" t="n">
        <v>0.0002</v>
      </c>
    </row>
    <row r="62">
      <c r="F62" s="152" t="inlineStr">
        <is>
          <t>2015-04</t>
        </is>
      </c>
      <c r="G62" s="153" t="n">
        <v>0.0258106847</v>
      </c>
      <c r="H62" s="153" t="n">
        <v>-0.0022984492</v>
      </c>
      <c r="I62" s="153" t="n">
        <v>0.040984617</v>
      </c>
      <c r="J62" s="153" t="n">
        <v>0.0301819539</v>
      </c>
      <c r="K62" s="153" t="n">
        <v>-0.0108666151</v>
      </c>
      <c r="L62" s="153" t="n">
        <v>0.031724021</v>
      </c>
      <c r="M62" s="153" t="n">
        <v>0.0077166286</v>
      </c>
      <c r="N62" s="153" t="n">
        <v>0.110062407</v>
      </c>
      <c r="O62" s="153" t="n">
        <v>-0.007940836600000001</v>
      </c>
      <c r="P62" s="153" t="n">
        <v>-0.07615764329999999</v>
      </c>
      <c r="Q62" s="153" t="n">
        <v>0.06134927</v>
      </c>
      <c r="R62" s="154" t="n">
        <v>0.0298704301</v>
      </c>
      <c r="S62" s="155" t="n">
        <v>0.0025528439</v>
      </c>
      <c r="T62" s="92" t="n">
        <v>0.0002</v>
      </c>
    </row>
    <row r="63">
      <c r="F63" s="152" t="inlineStr">
        <is>
          <t>2015-05</t>
        </is>
      </c>
      <c r="G63" s="153" t="n">
        <v>0</v>
      </c>
      <c r="H63" s="153" t="n">
        <v>-0.0267539106</v>
      </c>
      <c r="I63" s="153" t="n">
        <v>-0.0060376185</v>
      </c>
      <c r="J63" s="153" t="n">
        <v>-0.0306928652</v>
      </c>
      <c r="K63" s="153" t="n">
        <v>0.0370138189</v>
      </c>
      <c r="L63" s="153" t="n">
        <v>0.055184197</v>
      </c>
      <c r="M63" s="153" t="n">
        <v>0.013963857</v>
      </c>
      <c r="N63" s="153" t="n">
        <v>0.004569713</v>
      </c>
      <c r="O63" s="153" t="n">
        <v>-0.0224781658</v>
      </c>
      <c r="P63" s="153" t="n">
        <v>0.0594391538</v>
      </c>
      <c r="Q63" s="153" t="n">
        <v>-0.0517687467</v>
      </c>
      <c r="R63" s="154" t="n">
        <v>0.0081982898</v>
      </c>
      <c r="S63" s="155" t="n">
        <v>-0.0076488997</v>
      </c>
      <c r="T63" s="92" t="n">
        <v>0.0002</v>
      </c>
    </row>
    <row r="64">
      <c r="F64" s="152" t="inlineStr">
        <is>
          <t>2015-06</t>
        </is>
      </c>
      <c r="G64" s="153" t="n">
        <v>-0.0612903076</v>
      </c>
      <c r="H64" s="153" t="n">
        <v>0.0122480527</v>
      </c>
      <c r="I64" s="153" t="n">
        <v>0.0195618444</v>
      </c>
      <c r="J64" s="153" t="n">
        <v>-0.0503225112</v>
      </c>
      <c r="K64" s="153" t="n">
        <v>-0.0944216406</v>
      </c>
      <c r="L64" s="153" t="n">
        <v>-0.0591871152</v>
      </c>
      <c r="M64" s="153" t="n">
        <v>-0.0795199805</v>
      </c>
      <c r="N64" s="153" t="n">
        <v>0.008796739200000001</v>
      </c>
      <c r="O64" s="153" t="n">
        <v>0.0217242416</v>
      </c>
      <c r="P64" s="153" t="n">
        <v>-0.0995929663</v>
      </c>
      <c r="Q64" s="153" t="n">
        <v>-0.052310869</v>
      </c>
      <c r="R64" s="154" t="n">
        <v>-0.0406805938</v>
      </c>
      <c r="S64" s="155" t="n">
        <v>-0.0434693924</v>
      </c>
      <c r="T64" s="92" t="n">
        <v>0.0002</v>
      </c>
    </row>
    <row r="65">
      <c r="F65" s="152" t="inlineStr">
        <is>
          <t>2015-07</t>
        </is>
      </c>
      <c r="G65" s="153" t="n">
        <v>0.1318728195</v>
      </c>
      <c r="H65" s="153" t="n">
        <v>0.09529098580000001</v>
      </c>
      <c r="I65" s="153" t="n">
        <v>0.0967619483</v>
      </c>
      <c r="J65" s="153" t="n">
        <v>0.0638039041</v>
      </c>
      <c r="K65" s="153" t="n">
        <v>0.0507814611</v>
      </c>
      <c r="L65" s="153" t="n">
        <v>0.07852546840000001</v>
      </c>
      <c r="M65" s="153" t="n">
        <v>0.0526062256</v>
      </c>
      <c r="N65" s="153" t="n">
        <v>-0.1031898836</v>
      </c>
      <c r="O65" s="153" t="n">
        <v>0.1102674981</v>
      </c>
      <c r="P65" s="153" t="n">
        <v>0.0268045887</v>
      </c>
      <c r="Q65" s="153" t="n">
        <v>0.048582819</v>
      </c>
      <c r="R65" s="154" t="n">
        <v>0.1256745805</v>
      </c>
      <c r="S65" s="155" t="n">
        <v>0.0610433084</v>
      </c>
      <c r="T65" s="92" t="n">
        <v>0.0002</v>
      </c>
    </row>
    <row r="66">
      <c r="F66" s="152" t="inlineStr">
        <is>
          <t>2015-08</t>
        </is>
      </c>
      <c r="G66" s="153" t="n">
        <v>-0.1007739047</v>
      </c>
      <c r="H66" s="153" t="n">
        <v>-0.051256051</v>
      </c>
      <c r="I66" s="153" t="n">
        <v>-0.0796094276</v>
      </c>
      <c r="J66" s="153" t="n">
        <v>-0.1021235029</v>
      </c>
      <c r="K66" s="153" t="n">
        <v>-0.08578792960000001</v>
      </c>
      <c r="L66" s="153" t="n">
        <v>-0.1066442056</v>
      </c>
      <c r="M66" s="153" t="n">
        <v>-0.1355964774</v>
      </c>
      <c r="N66" s="153" t="n">
        <v>-0.1156600146</v>
      </c>
      <c r="O66" s="153" t="n">
        <v>-0.1000307377</v>
      </c>
      <c r="P66" s="153" t="n">
        <v>-0.114168868</v>
      </c>
      <c r="Q66" s="153" t="n">
        <v>-0.09473092819999999</v>
      </c>
      <c r="R66" s="154" t="n">
        <v>-0.0169519175</v>
      </c>
      <c r="S66" s="155" t="n">
        <v>-0.0845352446</v>
      </c>
      <c r="T66" s="92" t="n">
        <v>0.0002</v>
      </c>
    </row>
    <row r="67">
      <c r="F67" s="152" t="inlineStr">
        <is>
          <t>2015-09</t>
        </is>
      </c>
      <c r="G67" s="153" t="n">
        <v>-0.08917201769999999</v>
      </c>
      <c r="H67" s="153" t="n">
        <v>-0.06770941849999999</v>
      </c>
      <c r="I67" s="153" t="n">
        <v>-0.0062406792</v>
      </c>
      <c r="J67" s="153" t="n">
        <v>0.0185952088</v>
      </c>
      <c r="K67" s="153" t="n">
        <v>-0.09665300860000001</v>
      </c>
      <c r="L67" s="153" t="n">
        <v>0.026369934</v>
      </c>
      <c r="M67" s="153" t="n">
        <v>-0.0357140066</v>
      </c>
      <c r="N67" s="153" t="n">
        <v>-0.1361857221</v>
      </c>
      <c r="O67" s="153" t="n">
        <v>-0.0372006903</v>
      </c>
      <c r="P67" s="153" t="n">
        <v>-0.1121962371</v>
      </c>
      <c r="Q67" s="153" t="n">
        <v>-0.0148268756</v>
      </c>
      <c r="R67" s="154" t="n">
        <v>-0.0121930729</v>
      </c>
      <c r="S67" s="155" t="n">
        <v>-0.0424806086</v>
      </c>
      <c r="T67" s="92" t="n">
        <v>0.0002</v>
      </c>
    </row>
    <row r="68">
      <c r="F68" s="152" t="inlineStr">
        <is>
          <t>2015-10</t>
        </is>
      </c>
      <c r="G68" s="153" t="n">
        <v>0.1975051885</v>
      </c>
      <c r="H68" s="153" t="n">
        <v>0.0533739518</v>
      </c>
      <c r="I68" s="153" t="n">
        <v>0.0177090416</v>
      </c>
      <c r="J68" s="153" t="n">
        <v>0.1238924885</v>
      </c>
      <c r="K68" s="153" t="n">
        <v>0.104916676</v>
      </c>
      <c r="L68" s="153" t="n">
        <v>0.0780000444</v>
      </c>
      <c r="M68" s="153" t="n">
        <v>0.1887334134</v>
      </c>
      <c r="N68" s="153" t="n">
        <v>0.339531421</v>
      </c>
      <c r="O68" s="153" t="n">
        <v>0.08198851529999999</v>
      </c>
      <c r="P68" s="153" t="n">
        <v>0.101379862</v>
      </c>
      <c r="Q68" s="153" t="n">
        <v>0.1149761757</v>
      </c>
      <c r="R68" s="154" t="n">
        <v>0.0823489479</v>
      </c>
      <c r="S68" s="155" t="n">
        <v>0.0992909807</v>
      </c>
      <c r="T68" s="92" t="n">
        <v>0.0002</v>
      </c>
    </row>
    <row r="69">
      <c r="F69" s="152" t="inlineStr">
        <is>
          <t>2015-11</t>
        </is>
      </c>
      <c r="G69" s="153" t="n">
        <v>0.0801769088</v>
      </c>
      <c r="H69" s="153" t="n">
        <v>0.0153819363</v>
      </c>
      <c r="I69" s="153" t="n">
        <v>0.0776258316</v>
      </c>
      <c r="J69" s="153" t="n">
        <v>0.0460494346</v>
      </c>
      <c r="K69" s="153" t="n">
        <v>0.06857888049999999</v>
      </c>
      <c r="L69" s="153" t="n">
        <v>-0.0488082954</v>
      </c>
      <c r="M69" s="153" t="n">
        <v>0.0046643585</v>
      </c>
      <c r="N69" s="153" t="n">
        <v>0.1140791111</v>
      </c>
      <c r="O69" s="153" t="n">
        <v>-0.0813282182</v>
      </c>
      <c r="P69" s="153" t="n">
        <v>0.08932475569999999</v>
      </c>
      <c r="Q69" s="153" t="n">
        <v>0.0646729269</v>
      </c>
      <c r="R69" s="154" t="n">
        <v>0.0029323823</v>
      </c>
      <c r="S69" s="155" t="n">
        <v>0.0122384852</v>
      </c>
      <c r="T69" s="92" t="n">
        <v>0.0002</v>
      </c>
    </row>
    <row r="70">
      <c r="F70" s="152" t="inlineStr">
        <is>
          <t>2015-12</t>
        </is>
      </c>
      <c r="G70" s="153" t="n">
        <v>-0.094097132</v>
      </c>
      <c r="H70" s="153" t="n">
        <v>-0.0691500169</v>
      </c>
      <c r="I70" s="153" t="n">
        <v>-0.0196978008</v>
      </c>
      <c r="J70" s="153" t="n">
        <v>-0.0610582899</v>
      </c>
      <c r="K70" s="153" t="n">
        <v>-0.0100059741</v>
      </c>
      <c r="L70" s="153" t="n">
        <v>-0.0645162432</v>
      </c>
      <c r="M70" s="153" t="n">
        <v>-0.0140935472</v>
      </c>
      <c r="N70" s="153" t="n">
        <v>-0.030153963</v>
      </c>
      <c r="O70" s="153" t="n">
        <v>-0.0684997245</v>
      </c>
      <c r="P70" s="153" t="n">
        <v>-0.1240000916</v>
      </c>
      <c r="Q70" s="153" t="n">
        <v>-0.1220212949</v>
      </c>
      <c r="R70" s="154" t="n">
        <v>-0.0303724102</v>
      </c>
      <c r="S70" s="155" t="n">
        <v>-0.0646562919</v>
      </c>
      <c r="T70" s="92" t="n">
        <v>0.0002</v>
      </c>
    </row>
    <row r="71">
      <c r="F71" s="152" t="inlineStr">
        <is>
          <t>2016-01</t>
        </is>
      </c>
      <c r="G71" s="153" t="n">
        <v>-0.0674193807</v>
      </c>
      <c r="H71" s="153" t="n">
        <v>-0.1628373963</v>
      </c>
      <c r="I71" s="153" t="n">
        <v>-0.017756898</v>
      </c>
      <c r="J71" s="153" t="n">
        <v>0.018786163</v>
      </c>
      <c r="K71" s="153" t="n">
        <v>-0.0998470909</v>
      </c>
      <c r="L71" s="153" t="n">
        <v>0.005773745</v>
      </c>
      <c r="M71" s="153" t="n">
        <v>0.0261408028</v>
      </c>
      <c r="N71" s="153" t="n">
        <v>-0.1586958685</v>
      </c>
      <c r="O71" s="153" t="n">
        <v>-0.0260814331</v>
      </c>
      <c r="P71" s="153" t="n">
        <v>-0.06563916979999999</v>
      </c>
      <c r="Q71" s="153" t="n">
        <v>0.0062501777</v>
      </c>
      <c r="R71" s="154" t="n">
        <v>0.0554614785</v>
      </c>
      <c r="S71" s="155" t="n">
        <v>-0.0474524885</v>
      </c>
      <c r="T71" s="92" t="n">
        <v>0.0002</v>
      </c>
    </row>
    <row r="72">
      <c r="F72" s="152" t="inlineStr">
        <is>
          <t>2016-02</t>
        </is>
      </c>
      <c r="G72" s="153" t="n">
        <v>0.0338982802</v>
      </c>
      <c r="H72" s="153" t="n">
        <v>-0.0165808679</v>
      </c>
      <c r="I72" s="153" t="n">
        <v>-0.0877736055</v>
      </c>
      <c r="J72" s="153" t="n">
        <v>0.0122932238</v>
      </c>
      <c r="K72" s="153" t="n">
        <v>-0.027900718</v>
      </c>
      <c r="L72" s="153" t="n">
        <v>0.0030297821</v>
      </c>
      <c r="M72" s="153" t="n">
        <v>-0.0911533358</v>
      </c>
      <c r="N72" s="153" t="n">
        <v>0.07968691429999999</v>
      </c>
      <c r="O72" s="153" t="n">
        <v>-0.0438928019</v>
      </c>
      <c r="P72" s="153" t="n">
        <v>0.1152513284</v>
      </c>
      <c r="Q72" s="153" t="n">
        <v>0.0111198869</v>
      </c>
      <c r="R72" s="154" t="n">
        <v>0.0224287598</v>
      </c>
      <c r="S72" s="155" t="n">
        <v>-0.0143694651</v>
      </c>
      <c r="T72" s="92" t="n">
        <v>0.0002</v>
      </c>
    </row>
    <row r="73">
      <c r="F73" s="152" t="inlineStr">
        <is>
          <t>2016-03</t>
        </is>
      </c>
      <c r="G73" s="153" t="n">
        <v>-0.0239209439</v>
      </c>
      <c r="H73" s="153" t="n">
        <v>0.0286047552</v>
      </c>
      <c r="I73" s="153" t="n">
        <v>0.0766623847</v>
      </c>
      <c r="J73" s="153" t="n">
        <v>-0.0267788019</v>
      </c>
      <c r="K73" s="153" t="n">
        <v>-0.0451519813</v>
      </c>
      <c r="L73" s="153" t="n">
        <v>-0.0114266918</v>
      </c>
      <c r="M73" s="153" t="n">
        <v>-0.0011212633</v>
      </c>
      <c r="N73" s="153" t="n">
        <v>0.0377939495</v>
      </c>
      <c r="O73" s="153" t="n">
        <v>-0.031835052</v>
      </c>
      <c r="P73" s="153" t="n">
        <v>0.0140587778</v>
      </c>
      <c r="Q73" s="153" t="n">
        <v>-0.0317827141</v>
      </c>
      <c r="R73" s="154" t="n">
        <v>0.0258541663</v>
      </c>
      <c r="S73" s="155" t="n">
        <v>0.0072378301</v>
      </c>
      <c r="T73" s="92" t="n">
        <v>0.0002</v>
      </c>
    </row>
    <row r="74">
      <c r="F74" s="152" t="inlineStr">
        <is>
          <t>2016-04</t>
        </is>
      </c>
      <c r="G74" s="153" t="n">
        <v>-0.0640960465</v>
      </c>
      <c r="H74" s="153" t="n">
        <v>0.0454443058</v>
      </c>
      <c r="I74" s="153" t="n">
        <v>-0.0127148886</v>
      </c>
      <c r="J74" s="153" t="n">
        <v>-0.0214367457</v>
      </c>
      <c r="K74" s="153" t="n">
        <v>0.0557183298</v>
      </c>
      <c r="L74" s="153" t="n">
        <v>0.0050090209</v>
      </c>
      <c r="M74" s="153" t="n">
        <v>-0.0379592547</v>
      </c>
      <c r="N74" s="153" t="n">
        <v>-0.0348143515</v>
      </c>
      <c r="O74" s="153" t="n">
        <v>0.0176403269</v>
      </c>
      <c r="P74" s="153" t="n">
        <v>0.0234066168</v>
      </c>
      <c r="Q74" s="153" t="n">
        <v>0.1124262966</v>
      </c>
      <c r="R74" s="154" t="n">
        <v>-0.003513022</v>
      </c>
      <c r="S74" s="155" t="n">
        <v>0.0100112431</v>
      </c>
      <c r="T74" s="92" t="n">
        <v>0.0002</v>
      </c>
    </row>
    <row r="75">
      <c r="F75" s="152" t="inlineStr">
        <is>
          <t>2016-05</t>
        </is>
      </c>
      <c r="G75" s="153" t="n">
        <v>0.0258194251</v>
      </c>
      <c r="H75" s="153" t="n">
        <v>0.0762325997</v>
      </c>
      <c r="I75" s="153" t="n">
        <v>0.051146491</v>
      </c>
      <c r="J75" s="153" t="n">
        <v>0.031224654</v>
      </c>
      <c r="K75" s="153" t="n">
        <v>-0.038541697</v>
      </c>
      <c r="L75" s="153" t="n">
        <v>0.0448552066</v>
      </c>
      <c r="M75" s="153" t="n">
        <v>0.0385027633</v>
      </c>
      <c r="N75" s="153" t="n">
        <v>0.0007119113</v>
      </c>
      <c r="O75" s="153" t="n">
        <v>0.021911115</v>
      </c>
      <c r="P75" s="153" t="n">
        <v>0.022343331</v>
      </c>
      <c r="Q75" s="153" t="n">
        <v>-0.005804507</v>
      </c>
      <c r="R75" s="154" t="n">
        <v>0.0565119713</v>
      </c>
      <c r="S75" s="155" t="n">
        <v>0.0173088393</v>
      </c>
      <c r="T75" s="92" t="n">
        <v>0.0002</v>
      </c>
    </row>
    <row r="76">
      <c r="F76" s="152" t="inlineStr">
        <is>
          <t>2016-06</t>
        </is>
      </c>
      <c r="G76" s="153" t="n">
        <v>-0.0540615132</v>
      </c>
      <c r="H76" s="153" t="n">
        <v>-0.2011454244</v>
      </c>
      <c r="I76" s="153" t="n">
        <v>-0.0729689917</v>
      </c>
      <c r="J76" s="153" t="n">
        <v>0.0325426963</v>
      </c>
      <c r="K76" s="153" t="n">
        <v>0.08740183059999999</v>
      </c>
      <c r="L76" s="153" t="n">
        <v>0.0369288003</v>
      </c>
      <c r="M76" s="153" t="n">
        <v>0.0223671277</v>
      </c>
      <c r="N76" s="153" t="n">
        <v>-0.1641111877</v>
      </c>
      <c r="O76" s="153" t="n">
        <v>0.0601856269</v>
      </c>
      <c r="P76" s="153" t="n">
        <v>-0.0523890359</v>
      </c>
      <c r="Q76" s="153" t="n">
        <v>-0.0067543187</v>
      </c>
      <c r="R76" s="154" t="n">
        <v>-0.0577008666</v>
      </c>
      <c r="S76" s="155" t="n">
        <v>-0.0595123712</v>
      </c>
      <c r="T76" s="92" t="n">
        <v>0.0002</v>
      </c>
    </row>
    <row r="77">
      <c r="F77" s="152" t="inlineStr">
        <is>
          <t>2016-07</t>
        </is>
      </c>
      <c r="G77" s="153" t="n">
        <v>0.0173979915</v>
      </c>
      <c r="H77" s="153" t="n">
        <v>0.1710746421</v>
      </c>
      <c r="I77" s="153" t="n">
        <v>0.0991048826</v>
      </c>
      <c r="J77" s="153" t="n">
        <v>0.0862640209</v>
      </c>
      <c r="K77" s="153" t="n">
        <v>0.0148173666</v>
      </c>
      <c r="L77" s="153" t="n">
        <v>0.1485653076</v>
      </c>
      <c r="M77" s="153" t="n">
        <v>0.0209790162</v>
      </c>
      <c r="N77" s="153" t="n">
        <v>0.1433372252</v>
      </c>
      <c r="O77" s="153" t="n">
        <v>0.01641763</v>
      </c>
      <c r="P77" s="153" t="n">
        <v>0.1029023782</v>
      </c>
      <c r="Q77" s="153" t="n">
        <v>0.0001316792</v>
      </c>
      <c r="R77" s="154" t="n">
        <v>0.06594445290000001</v>
      </c>
      <c r="S77" s="155" t="n">
        <v>0.0477477366</v>
      </c>
      <c r="T77" s="92" t="n">
        <v>0.0002</v>
      </c>
    </row>
    <row r="78">
      <c r="F78" s="152" t="inlineStr">
        <is>
          <t>2016-08</t>
        </is>
      </c>
      <c r="G78" s="153" t="n">
        <v>-0.006460149</v>
      </c>
      <c r="H78" s="153" t="n">
        <v>0.0281817757</v>
      </c>
      <c r="I78" s="153" t="n">
        <v>0.0161721086</v>
      </c>
      <c r="J78" s="153" t="n">
        <v>-0.0111787921</v>
      </c>
      <c r="K78" s="153" t="n">
        <v>-0.0295415616</v>
      </c>
      <c r="L78" s="153" t="n">
        <v>-0.0161123556</v>
      </c>
      <c r="M78" s="153" t="n">
        <v>0.0160229242</v>
      </c>
      <c r="N78" s="153" t="n">
        <v>-0.06313111389999999</v>
      </c>
      <c r="O78" s="153" t="n">
        <v>-0.0929744025</v>
      </c>
      <c r="P78" s="153" t="n">
        <v>0.0439166286</v>
      </c>
      <c r="Q78" s="153" t="n">
        <v>-0.0002335629</v>
      </c>
      <c r="R78" s="154" t="n">
        <v>0.0014729218</v>
      </c>
      <c r="S78" s="155" t="n">
        <v>-0.0003580882</v>
      </c>
      <c r="T78" s="92" t="n">
        <v>0.0002</v>
      </c>
    </row>
    <row r="79">
      <c r="F79" s="152" t="inlineStr">
        <is>
          <t>2016-09</t>
        </is>
      </c>
      <c r="G79" s="153" t="n">
        <v>0.0296422976</v>
      </c>
      <c r="H79" s="153" t="n">
        <v>0.003618147</v>
      </c>
      <c r="I79" s="153" t="n">
        <v>-0.0018318199</v>
      </c>
      <c r="J79" s="153" t="n">
        <v>-0.0302451599</v>
      </c>
      <c r="K79" s="153" t="n">
        <v>-0.0349894058</v>
      </c>
      <c r="L79" s="153" t="n">
        <v>-0.0431852721</v>
      </c>
      <c r="M79" s="153" t="n">
        <v>0.0238094363</v>
      </c>
      <c r="N79" s="153" t="n">
        <v>-0.0023188146</v>
      </c>
      <c r="O79" s="153" t="n">
        <v>-0.0207036745</v>
      </c>
      <c r="P79" s="153" t="n">
        <v>0.0158782447</v>
      </c>
      <c r="Q79" s="153" t="n">
        <v>-0.0135672757</v>
      </c>
      <c r="R79" s="154" t="n">
        <v>0.0019121139</v>
      </c>
      <c r="S79" s="155" t="n">
        <v>0.0022620668</v>
      </c>
      <c r="T79" s="92" t="n">
        <v>0.0002</v>
      </c>
    </row>
    <row r="80">
      <c r="F80" s="152" t="inlineStr">
        <is>
          <t>2016-10</t>
        </is>
      </c>
      <c r="G80" s="153" t="n">
        <v>0.0057579641</v>
      </c>
      <c r="H80" s="153" t="n">
        <v>0.1544677055</v>
      </c>
      <c r="I80" s="153" t="n">
        <v>-0.1342050778</v>
      </c>
      <c r="J80" s="153" t="n">
        <v>-0.0449660014</v>
      </c>
      <c r="K80" s="153" t="n">
        <v>-0.0474982396</v>
      </c>
      <c r="L80" s="153" t="n">
        <v>0.0189094731</v>
      </c>
      <c r="M80" s="153" t="n">
        <v>0.0284765662</v>
      </c>
      <c r="N80" s="153" t="n">
        <v>0.0816242603</v>
      </c>
      <c r="O80" s="153" t="n">
        <v>0.0490832407</v>
      </c>
      <c r="P80" s="153" t="n">
        <v>-0.0148243434</v>
      </c>
      <c r="Q80" s="153" t="n">
        <v>0.0521362071</v>
      </c>
      <c r="R80" s="154" t="n">
        <v>-0.0314151524</v>
      </c>
      <c r="S80" s="155" t="n">
        <v>0.0137132279</v>
      </c>
      <c r="T80" s="92" t="n">
        <v>0.0002</v>
      </c>
    </row>
    <row r="81">
      <c r="F81" s="152" t="inlineStr">
        <is>
          <t>2016-11</t>
        </is>
      </c>
      <c r="G81" s="153" t="n">
        <v>0.1130193995</v>
      </c>
      <c r="H81" s="153" t="n">
        <v>0.0367147902</v>
      </c>
      <c r="I81" s="153" t="n">
        <v>-0.0129836094</v>
      </c>
      <c r="J81" s="153" t="n">
        <v>-0.0589726322</v>
      </c>
      <c r="K81" s="153" t="n">
        <v>-0.0782883724</v>
      </c>
      <c r="L81" s="153" t="n">
        <v>0.0549985119</v>
      </c>
      <c r="M81" s="153" t="n">
        <v>-0.0862944449</v>
      </c>
      <c r="N81" s="153" t="n">
        <v>-0.0602957488</v>
      </c>
      <c r="O81" s="153" t="n">
        <v>0.07257617130000001</v>
      </c>
      <c r="P81" s="153" t="n">
        <v>0.0274778184</v>
      </c>
      <c r="Q81" s="153" t="n">
        <v>0.0282478538</v>
      </c>
      <c r="R81" s="154" t="n">
        <v>-0.071991544</v>
      </c>
      <c r="S81" s="155" t="n">
        <v>0.0153196049</v>
      </c>
      <c r="T81" s="92" t="n">
        <v>0.0002</v>
      </c>
    </row>
    <row r="82">
      <c r="F82" s="152" t="inlineStr">
        <is>
          <t>2016-12</t>
        </is>
      </c>
      <c r="G82" s="153" t="n">
        <v>0.0426412541</v>
      </c>
      <c r="H82" s="153" t="n">
        <v>0.105330494</v>
      </c>
      <c r="I82" s="153" t="n">
        <v>0.0758390063</v>
      </c>
      <c r="J82" s="153" t="n">
        <v>0.0141509576</v>
      </c>
      <c r="K82" s="153" t="n">
        <v>0.0403433963</v>
      </c>
      <c r="L82" s="153" t="n">
        <v>0.0015410509</v>
      </c>
      <c r="M82" s="153" t="n">
        <v>0.0503086346</v>
      </c>
      <c r="N82" s="153" t="n">
        <v>0.1368039694</v>
      </c>
      <c r="O82" s="153" t="n">
        <v>0.0103797888</v>
      </c>
      <c r="P82" s="153" t="n">
        <v>0.0523718764</v>
      </c>
      <c r="Q82" s="153" t="n">
        <v>0.08375053909999999</v>
      </c>
      <c r="R82" s="154" t="n">
        <v>0.0672298336</v>
      </c>
      <c r="S82" s="155" t="n">
        <v>0.062024713</v>
      </c>
      <c r="T82" s="92" t="n">
        <v>0.0002</v>
      </c>
    </row>
    <row r="83">
      <c r="F83" s="152" t="inlineStr">
        <is>
          <t>2017-01</t>
        </is>
      </c>
      <c r="G83" s="153" t="n">
        <v>-0.0012730657</v>
      </c>
      <c r="H83" s="153" t="n">
        <v>-0.0226261249</v>
      </c>
      <c r="I83" s="153" t="n">
        <v>-0.0596380367</v>
      </c>
      <c r="J83" s="153" t="n">
        <v>-0.0367109053</v>
      </c>
      <c r="K83" s="153" t="n">
        <v>-0.08704625489999999</v>
      </c>
      <c r="L83" s="153" t="n">
        <v>0.0319230067</v>
      </c>
      <c r="M83" s="153" t="n">
        <v>0.0524526953</v>
      </c>
      <c r="N83" s="153" t="n">
        <v>-0.0133712963</v>
      </c>
      <c r="O83" s="153" t="n">
        <v>-0.0313393686</v>
      </c>
      <c r="P83" s="153" t="n">
        <v>0.0016639714</v>
      </c>
      <c r="Q83" s="153" t="n">
        <v>-0.0300249174</v>
      </c>
      <c r="R83" s="154" t="n">
        <v>0.0030913195</v>
      </c>
      <c r="S83" s="155" t="n">
        <v>-0.0233243366</v>
      </c>
      <c r="T83" s="92" t="n">
        <v>0.0002</v>
      </c>
    </row>
    <row r="84">
      <c r="F84" s="152" t="inlineStr">
        <is>
          <t>2017-02</t>
        </is>
      </c>
      <c r="G84" s="153" t="n">
        <v>0.104525151</v>
      </c>
      <c r="H84" s="153" t="n">
        <v>-0.06843520760000001</v>
      </c>
      <c r="I84" s="153" t="n">
        <v>0.0705849491</v>
      </c>
      <c r="J84" s="153" t="n">
        <v>0.0788066358</v>
      </c>
      <c r="K84" s="153" t="n">
        <v>0.0429283147</v>
      </c>
      <c r="L84" s="153" t="n">
        <v>0.0234811317</v>
      </c>
      <c r="M84" s="153" t="n">
        <v>-0.0041530705</v>
      </c>
      <c r="N84" s="153" t="n">
        <v>0.0039576186</v>
      </c>
      <c r="O84" s="153" t="n">
        <v>0.0918242194</v>
      </c>
      <c r="P84" s="153" t="n">
        <v>-0.0351857113</v>
      </c>
      <c r="Q84" s="153" t="n">
        <v>0.0083587379</v>
      </c>
      <c r="R84" s="154" t="n">
        <v>0.0479200915</v>
      </c>
      <c r="S84" s="155" t="n">
        <v>0.0230959123</v>
      </c>
      <c r="T84" s="92" t="n">
        <v>0.0002</v>
      </c>
    </row>
    <row r="85">
      <c r="F85" s="152" t="inlineStr">
        <is>
          <t>2017-03</t>
        </is>
      </c>
      <c r="G85" s="153" t="n">
        <v>0.0289961082</v>
      </c>
      <c r="H85" s="153" t="n">
        <v>0.1324142106</v>
      </c>
      <c r="I85" s="153" t="n">
        <v>0.0727474417</v>
      </c>
      <c r="J85" s="153" t="n">
        <v>0.019181353</v>
      </c>
      <c r="K85" s="153" t="n">
        <v>0.15077988</v>
      </c>
      <c r="L85" s="153" t="n">
        <v>0.08215184439999999</v>
      </c>
      <c r="M85" s="153" t="n">
        <v>0.0278034039</v>
      </c>
      <c r="N85" s="153" t="n">
        <v>-0.0272368032</v>
      </c>
      <c r="O85" s="153" t="n">
        <v>0.0404526688</v>
      </c>
      <c r="P85" s="153" t="n">
        <v>0.0741899347</v>
      </c>
      <c r="Q85" s="153" t="n">
        <v>0.007757183</v>
      </c>
      <c r="R85" s="154" t="n">
        <v>0.092486265</v>
      </c>
      <c r="S85" s="155" t="n">
        <v>0.0543223912</v>
      </c>
      <c r="T85" s="92" t="n">
        <v>0.0002</v>
      </c>
    </row>
    <row r="86">
      <c r="F86" s="152" t="inlineStr">
        <is>
          <t>2017-04</t>
        </is>
      </c>
      <c r="G86" s="153" t="n">
        <v>0.0406560653</v>
      </c>
      <c r="H86" s="153" t="n">
        <v>0.0376422399</v>
      </c>
      <c r="I86" s="153" t="n">
        <v>0.06169141</v>
      </c>
      <c r="J86" s="153" t="n">
        <v>0.0065873333</v>
      </c>
      <c r="K86" s="153" t="n">
        <v>-0.0248495347</v>
      </c>
      <c r="L86" s="153" t="n">
        <v>-0.0110337596</v>
      </c>
      <c r="M86" s="153" t="n">
        <v>0.0356175685</v>
      </c>
      <c r="N86" s="153" t="n">
        <v>0.0513326516</v>
      </c>
      <c r="O86" s="153" t="n">
        <v>0.0235168176</v>
      </c>
      <c r="P86" s="153" t="n">
        <v>0.0563893297</v>
      </c>
      <c r="Q86" s="153" t="n">
        <v>0.0078136903</v>
      </c>
      <c r="R86" s="154" t="n">
        <v>0.0511440338</v>
      </c>
      <c r="S86" s="155" t="n">
        <v>0.028271359</v>
      </c>
      <c r="T86" s="92" t="n">
        <v>0.0002</v>
      </c>
    </row>
    <row r="87">
      <c r="F87" s="152" t="inlineStr">
        <is>
          <t>2017-05</t>
        </is>
      </c>
      <c r="G87" s="153" t="n">
        <v>0.0033626774</v>
      </c>
      <c r="H87" s="153" t="n">
        <v>-0.0302562334</v>
      </c>
      <c r="I87" s="153" t="n">
        <v>0.0028291794</v>
      </c>
      <c r="J87" s="153" t="n">
        <v>0.029604338</v>
      </c>
      <c r="K87" s="153" t="n">
        <v>0.0490348314</v>
      </c>
      <c r="L87" s="153" t="n">
        <v>0.0017078775</v>
      </c>
      <c r="M87" s="153" t="n">
        <v>0.0526774595</v>
      </c>
      <c r="N87" s="153" t="n">
        <v>-0.029435921</v>
      </c>
      <c r="O87" s="153" t="n">
        <v>0.0180117892</v>
      </c>
      <c r="P87" s="153" t="n">
        <v>-0.0543449626</v>
      </c>
      <c r="Q87" s="153" t="n">
        <v>0.0021202004</v>
      </c>
      <c r="R87" s="154" t="n">
        <v>0.0142553585</v>
      </c>
      <c r="S87" s="155" t="n">
        <v>0.0030945098</v>
      </c>
      <c r="T87" s="92" t="n">
        <v>0.0002</v>
      </c>
    </row>
    <row r="88">
      <c r="F88" s="152" t="inlineStr">
        <is>
          <t>2017-06</t>
        </is>
      </c>
      <c r="G88" s="153" t="n">
        <v>-0.0146435465</v>
      </c>
      <c r="H88" s="153" t="n">
        <v>0.0464019192</v>
      </c>
      <c r="I88" s="153" t="n">
        <v>-0.0017155677</v>
      </c>
      <c r="J88" s="153" t="n">
        <v>0.0224506964</v>
      </c>
      <c r="K88" s="153" t="n">
        <v>0.0090070853</v>
      </c>
      <c r="L88" s="153" t="n">
        <v>-0.0165929138</v>
      </c>
      <c r="M88" s="153" t="n">
        <v>-0.0301900679</v>
      </c>
      <c r="N88" s="153" t="n">
        <v>-0.0462150914</v>
      </c>
      <c r="O88" s="153" t="n">
        <v>-0.0186001946</v>
      </c>
      <c r="P88" s="153" t="n">
        <v>0.0088081835</v>
      </c>
      <c r="Q88" s="153" t="n">
        <v>-0.0843030187</v>
      </c>
      <c r="R88" s="154" t="n">
        <v>-0.0385950166</v>
      </c>
      <c r="S88" s="155" t="n">
        <v>-0.0308404848</v>
      </c>
      <c r="T88" s="92" t="n">
        <v>0.0002</v>
      </c>
    </row>
    <row r="89">
      <c r="F89" s="152" t="inlineStr">
        <is>
          <t>2017-07</t>
        </is>
      </c>
      <c r="G89" s="153" t="n">
        <v>-0.019444505</v>
      </c>
      <c r="H89" s="153" t="n">
        <v>0.0398034318</v>
      </c>
      <c r="I89" s="153" t="n">
        <v>0.0167994778</v>
      </c>
      <c r="J89" s="153" t="n">
        <v>-0.0413310292</v>
      </c>
      <c r="K89" s="153" t="n">
        <v>0.0295117949</v>
      </c>
      <c r="L89" s="153" t="n">
        <v>-0.0057407783</v>
      </c>
      <c r="M89" s="153" t="n">
        <v>0</v>
      </c>
      <c r="N89" s="153" t="n">
        <v>-0.0006473793</v>
      </c>
      <c r="O89" s="153" t="n">
        <v>-0.0362941676</v>
      </c>
      <c r="P89" s="153" t="n">
        <v>-0.0136761613</v>
      </c>
      <c r="Q89" s="153" t="n">
        <v>0.0058169758</v>
      </c>
      <c r="R89" s="154" t="n">
        <v>0.0135152314</v>
      </c>
      <c r="S89" s="155" t="n">
        <v>-0.0052551918</v>
      </c>
      <c r="T89" s="92" t="n">
        <v>0.0002</v>
      </c>
    </row>
    <row r="90">
      <c r="F90" s="152" t="inlineStr">
        <is>
          <t>2017-08</t>
        </is>
      </c>
      <c r="G90" s="153" t="n">
        <v>0.0001416635</v>
      </c>
      <c r="H90" s="153" t="n">
        <v>-0.0253164265</v>
      </c>
      <c r="I90" s="153" t="n">
        <v>0.0122825302</v>
      </c>
      <c r="J90" s="153" t="n">
        <v>0.0485022093</v>
      </c>
      <c r="K90" s="153" t="n">
        <v>0.0305036268</v>
      </c>
      <c r="L90" s="153" t="n">
        <v>0.038084294</v>
      </c>
      <c r="M90" s="153" t="n">
        <v>-0.0130266151</v>
      </c>
      <c r="N90" s="153" t="n">
        <v>-0.0237657408</v>
      </c>
      <c r="O90" s="153" t="n">
        <v>0.0116451218</v>
      </c>
      <c r="P90" s="153" t="n">
        <v>0.0207988597</v>
      </c>
      <c r="Q90" s="153" t="n">
        <v>0.0112890152</v>
      </c>
      <c r="R90" s="154" t="n">
        <v>0.0212568321</v>
      </c>
      <c r="S90" s="155" t="n">
        <v>-0.0016059178</v>
      </c>
      <c r="T90" s="92" t="n">
        <v>0.0002</v>
      </c>
    </row>
    <row r="91">
      <c r="F91" s="152" t="inlineStr">
        <is>
          <t>2017-09</t>
        </is>
      </c>
      <c r="G91" s="153" t="n">
        <v>0.1387907953</v>
      </c>
      <c r="H91" s="153" t="n">
        <v>0.06790789160000001</v>
      </c>
      <c r="I91" s="153" t="n">
        <v>0.0647482251</v>
      </c>
      <c r="J91" s="153" t="n">
        <v>0.0033258318</v>
      </c>
      <c r="K91" s="153" t="n">
        <v>0.0249643936</v>
      </c>
      <c r="L91" s="153" t="n">
        <v>-0.0399505469</v>
      </c>
      <c r="M91" s="153" t="n">
        <v>0.0195992034</v>
      </c>
      <c r="N91" s="153" t="n">
        <v>0.1178210933</v>
      </c>
      <c r="O91" s="153" t="n">
        <v>0.0287778552</v>
      </c>
      <c r="P91" s="153" t="n">
        <v>0.0871103979</v>
      </c>
      <c r="Q91" s="153" t="n">
        <v>0.0460351167</v>
      </c>
      <c r="R91" s="154" t="n">
        <v>0.039431341</v>
      </c>
      <c r="S91" s="155" t="n">
        <v>0.0480220038</v>
      </c>
      <c r="T91" s="92" t="n">
        <v>0.0002</v>
      </c>
    </row>
    <row r="92">
      <c r="F92" s="152" t="inlineStr">
        <is>
          <t>2017-10</t>
        </is>
      </c>
      <c r="G92" s="153" t="n">
        <v>0.0912820822</v>
      </c>
      <c r="H92" s="153" t="n">
        <v>-0.0177287818</v>
      </c>
      <c r="I92" s="153" t="n">
        <v>0.0523395984</v>
      </c>
      <c r="J92" s="153" t="n">
        <v>0.0568027567</v>
      </c>
      <c r="K92" s="153" t="n">
        <v>0.009742540799999999</v>
      </c>
      <c r="L92" s="153" t="n">
        <v>0.0445433152</v>
      </c>
      <c r="M92" s="153" t="n">
        <v>0.0999573539</v>
      </c>
      <c r="N92" s="153" t="n">
        <v>0.0244254588</v>
      </c>
      <c r="O92" s="153" t="n">
        <v>-0.0323771468</v>
      </c>
      <c r="P92" s="153" t="n">
        <v>0.0247183</v>
      </c>
      <c r="Q92" s="153" t="n">
        <v>0.0677737815</v>
      </c>
      <c r="R92" s="154" t="n">
        <v>0.0453980414</v>
      </c>
      <c r="S92" s="155" t="n">
        <v>0.0325489987</v>
      </c>
      <c r="T92" s="92" t="n">
        <v>0.0002</v>
      </c>
    </row>
    <row r="93">
      <c r="F93" s="152" t="inlineStr">
        <is>
          <t>2017-11</t>
        </is>
      </c>
      <c r="G93" s="153" t="n">
        <v>-0.0052422355</v>
      </c>
      <c r="H93" s="153" t="n">
        <v>-0.0516110015</v>
      </c>
      <c r="I93" s="153" t="n">
        <v>-0.0715859828</v>
      </c>
      <c r="J93" s="153" t="n">
        <v>0.011120495</v>
      </c>
      <c r="K93" s="153" t="n">
        <v>0.0386758251</v>
      </c>
      <c r="L93" s="153" t="n">
        <v>-0.0060598688</v>
      </c>
      <c r="M93" s="153" t="n">
        <v>0.017863938</v>
      </c>
      <c r="N93" s="153" t="n">
        <v>0.0028188893</v>
      </c>
      <c r="O93" s="153" t="n">
        <v>-0.0576946462</v>
      </c>
      <c r="P93" s="153" t="n">
        <v>-0.0429424678</v>
      </c>
      <c r="Q93" s="153" t="n">
        <v>-0.0097141582</v>
      </c>
      <c r="R93" s="154" t="n">
        <v>0.0212965509</v>
      </c>
      <c r="S93" s="155" t="n">
        <v>-0.0237130878</v>
      </c>
      <c r="T93" s="92" t="n">
        <v>0.0002</v>
      </c>
    </row>
    <row r="94">
      <c r="F94" s="152" t="inlineStr">
        <is>
          <t>2017-12</t>
        </is>
      </c>
      <c r="G94" s="153" t="n">
        <v>-0.0491464764</v>
      </c>
      <c r="H94" s="153" t="n">
        <v>-0.0209185334</v>
      </c>
      <c r="I94" s="153" t="n">
        <v>0.0207472929</v>
      </c>
      <c r="J94" s="153" t="n">
        <v>-0.0136774418</v>
      </c>
      <c r="K94" s="153" t="n">
        <v>-0.0251614627</v>
      </c>
      <c r="L94" s="153" t="n">
        <v>0.007677545</v>
      </c>
      <c r="M94" s="153" t="n">
        <v>0.0154253326</v>
      </c>
      <c r="N94" s="153" t="n">
        <v>-0.0172171783</v>
      </c>
      <c r="O94" s="153" t="n">
        <v>-0.062010407</v>
      </c>
      <c r="P94" s="153" t="n">
        <v>-0.0186952381</v>
      </c>
      <c r="Q94" s="153" t="n">
        <v>-0.0286885635</v>
      </c>
      <c r="R94" s="154" t="n">
        <v>1.3483e-05</v>
      </c>
      <c r="S94" s="155" t="n">
        <v>-0.0112101869</v>
      </c>
      <c r="T94" s="92" t="n">
        <v>0.0002</v>
      </c>
    </row>
    <row r="95">
      <c r="F95" s="152" t="inlineStr">
        <is>
          <t>2018-01</t>
        </is>
      </c>
      <c r="G95" s="153" t="n">
        <v>0.1144577735</v>
      </c>
      <c r="H95" s="153" t="n">
        <v>0.069879365</v>
      </c>
      <c r="I95" s="153" t="n">
        <v>0.0815047812</v>
      </c>
      <c r="J95" s="153" t="n">
        <v>-0.0070049521</v>
      </c>
      <c r="K95" s="153" t="n">
        <v>-0.0247646727</v>
      </c>
      <c r="L95" s="153" t="n">
        <v>-0.0023527707</v>
      </c>
      <c r="M95" s="153" t="n">
        <v>-0.0276617972</v>
      </c>
      <c r="N95" s="153" t="n">
        <v>0.0555356988</v>
      </c>
      <c r="O95" s="153" t="n">
        <v>-0.0101600771</v>
      </c>
      <c r="P95" s="153" t="n">
        <v>0.06519897500000001</v>
      </c>
      <c r="Q95" s="153" t="n">
        <v>0.0262493924</v>
      </c>
      <c r="R95" s="154" t="n">
        <v>0.0217263596</v>
      </c>
      <c r="S95" s="155" t="n">
        <v>0.0318810734</v>
      </c>
      <c r="T95" s="92" t="n">
        <v>0.0002</v>
      </c>
    </row>
    <row r="96">
      <c r="F96" s="152" t="inlineStr">
        <is>
          <t>2018-02</t>
        </is>
      </c>
      <c r="G96" s="153" t="n">
        <v>0.0631351397</v>
      </c>
      <c r="H96" s="153" t="n">
        <v>-0.0184683211</v>
      </c>
      <c r="I96" s="153" t="n">
        <v>-0.0374006227</v>
      </c>
      <c r="J96" s="153" t="n">
        <v>-0.0534119134</v>
      </c>
      <c r="K96" s="153" t="n">
        <v>-0.07904145799999999</v>
      </c>
      <c r="L96" s="153" t="n">
        <v>-0.0069633925</v>
      </c>
      <c r="M96" s="153" t="n">
        <v>0.0522210705</v>
      </c>
      <c r="N96" s="153" t="n">
        <v>0.010274592</v>
      </c>
      <c r="O96" s="153" t="n">
        <v>-0.08562985939999999</v>
      </c>
      <c r="P96" s="153" t="n">
        <v>-0.0516693896</v>
      </c>
      <c r="Q96" s="153" t="n">
        <v>0.0071836454</v>
      </c>
      <c r="R96" s="154" t="n">
        <v>-0.065287284</v>
      </c>
      <c r="S96" s="155" t="n">
        <v>-0.0294494706</v>
      </c>
      <c r="T96" s="92" t="n">
        <v>0.0002</v>
      </c>
    </row>
    <row r="97">
      <c r="F97" s="152" t="inlineStr">
        <is>
          <t>2018-03</t>
        </is>
      </c>
      <c r="G97" s="153" t="n">
        <v>-0.0461662937</v>
      </c>
      <c r="H97" s="153" t="n">
        <v>-0.0795474288</v>
      </c>
      <c r="I97" s="153" t="n">
        <v>-0.0169985116</v>
      </c>
      <c r="J97" s="153" t="n">
        <v>-0.000304223</v>
      </c>
      <c r="K97" s="153" t="n">
        <v>0.0528156301</v>
      </c>
      <c r="L97" s="153" t="n">
        <v>0.0928321975</v>
      </c>
      <c r="M97" s="153" t="n">
        <v>0.001851813</v>
      </c>
      <c r="N97" s="153" t="n">
        <v>0.1008043798</v>
      </c>
      <c r="O97" s="153" t="n">
        <v>0.0046132181</v>
      </c>
      <c r="P97" s="153" t="n">
        <v>-0.0033529272</v>
      </c>
      <c r="Q97" s="153" t="n">
        <v>-0.017883583</v>
      </c>
      <c r="R97" s="154" t="n">
        <v>-0.0174621863</v>
      </c>
      <c r="S97" s="155" t="n">
        <v>-0.0287925403</v>
      </c>
      <c r="T97" s="92" t="n">
        <v>0.0002</v>
      </c>
    </row>
    <row r="98">
      <c r="F98" s="152" t="inlineStr">
        <is>
          <t>2018-04</t>
        </is>
      </c>
      <c r="G98" s="153" t="n">
        <v>0.0383794769</v>
      </c>
      <c r="H98" s="153" t="n">
        <v>0.063320818</v>
      </c>
      <c r="I98" s="153" t="n">
        <v>0.1264821154</v>
      </c>
      <c r="J98" s="153" t="n">
        <v>0.0206905082</v>
      </c>
      <c r="K98" s="153" t="n">
        <v>0.0734046356</v>
      </c>
      <c r="L98" s="153" t="n">
        <v>0.1127726454</v>
      </c>
      <c r="M98" s="153" t="n">
        <v>0.0170056639</v>
      </c>
      <c r="N98" s="153" t="n">
        <v>-0.0879188112</v>
      </c>
      <c r="O98" s="153" t="n">
        <v>0.0070411472</v>
      </c>
      <c r="P98" s="153" t="n">
        <v>0.0552282646</v>
      </c>
      <c r="Q98" s="153" t="n">
        <v>0.1493166847</v>
      </c>
      <c r="R98" s="154" t="n">
        <v>0.0400500464</v>
      </c>
      <c r="S98" s="155" t="n">
        <v>0.06835295199999999</v>
      </c>
      <c r="T98" s="92" t="n">
        <v>0.0002</v>
      </c>
    </row>
    <row r="99">
      <c r="F99" s="152" t="inlineStr">
        <is>
          <t>2018-05</t>
        </is>
      </c>
      <c r="G99" s="153" t="n">
        <v>0.0157271849</v>
      </c>
      <c r="H99" s="153" t="n">
        <v>-0.17067827</v>
      </c>
      <c r="I99" s="153" t="n">
        <v>-0.0118419938</v>
      </c>
      <c r="J99" s="153" t="n">
        <v>-0.0253389755</v>
      </c>
      <c r="K99" s="153" t="n">
        <v>-0.0697595682</v>
      </c>
      <c r="L99" s="153" t="n">
        <v>0.1362446849</v>
      </c>
      <c r="M99" s="153" t="n">
        <v>0.0447109237</v>
      </c>
      <c r="N99" s="153" t="n">
        <v>-0.0802537237</v>
      </c>
      <c r="O99" s="153" t="n">
        <v>-0.0024320737</v>
      </c>
      <c r="P99" s="153" t="n">
        <v>-0.0199254178</v>
      </c>
      <c r="Q99" s="153" t="n">
        <v>-0.0053508022</v>
      </c>
      <c r="R99" s="154" t="n">
        <v>0.0288603613</v>
      </c>
      <c r="S99" s="155" t="n">
        <v>-0.0221175795</v>
      </c>
      <c r="T99" s="92" t="n">
        <v>0.0002</v>
      </c>
    </row>
    <row r="100">
      <c r="F100" s="152" t="inlineStr">
        <is>
          <t>2018-06</t>
        </is>
      </c>
      <c r="G100" s="153" t="n">
        <v>0.0303155363</v>
      </c>
      <c r="H100" s="153" t="n">
        <v>0.0583058859</v>
      </c>
      <c r="I100" s="153" t="n">
        <v>0.0226363845</v>
      </c>
      <c r="J100" s="153" t="n">
        <v>-0.0103817086</v>
      </c>
      <c r="K100" s="153" t="n">
        <v>-0.0060958944</v>
      </c>
      <c r="L100" s="153" t="n">
        <v>-0.1396188779</v>
      </c>
      <c r="M100" s="153" t="n">
        <v>-0.0264439384</v>
      </c>
      <c r="N100" s="153" t="n">
        <v>-0.1186009462</v>
      </c>
      <c r="O100" s="153" t="n">
        <v>0.0965317923</v>
      </c>
      <c r="P100" s="153" t="n">
        <v>-0.0295377518</v>
      </c>
      <c r="Q100" s="153" t="n">
        <v>0.0030737615</v>
      </c>
      <c r="R100" s="154" t="n">
        <v>-0.0162445991</v>
      </c>
      <c r="S100" s="155" t="n">
        <v>-0.0138689461</v>
      </c>
      <c r="T100" s="92" t="n">
        <v>0.0002</v>
      </c>
    </row>
    <row r="101">
      <c r="F101" s="152" t="inlineStr">
        <is>
          <t>2018-07</t>
        </is>
      </c>
      <c r="G101" s="153" t="n">
        <v>0.0572511006</v>
      </c>
      <c r="H101" s="153" t="n">
        <v>0.0466252286</v>
      </c>
      <c r="I101" s="153" t="n">
        <v>-0.0325927665</v>
      </c>
      <c r="J101" s="153" t="n">
        <v>0.0690313154</v>
      </c>
      <c r="K101" s="153" t="n">
        <v>0.0521705924</v>
      </c>
      <c r="L101" s="153" t="n">
        <v>0.0473333456</v>
      </c>
      <c r="M101" s="153" t="n">
        <v>-0.0139385855</v>
      </c>
      <c r="N101" s="153" t="n">
        <v>0.08127190419999999</v>
      </c>
      <c r="O101" s="153" t="n">
        <v>0.0833213074</v>
      </c>
      <c r="P101" s="153" t="n">
        <v>-0.0361242905</v>
      </c>
      <c r="Q101" s="153" t="n">
        <v>0.0825499638</v>
      </c>
      <c r="R101" s="154" t="n">
        <v>0.0441958508</v>
      </c>
      <c r="S101" s="155" t="n">
        <v>0.0352717139</v>
      </c>
      <c r="T101" s="92" t="n">
        <v>0.0002</v>
      </c>
    </row>
    <row r="102">
      <c r="F102" s="152" t="inlineStr">
        <is>
          <t>2018-08</t>
        </is>
      </c>
      <c r="G102" s="153" t="n">
        <v>0.0024528266</v>
      </c>
      <c r="H102" s="153" t="n">
        <v>-0.09089268239999999</v>
      </c>
      <c r="I102" s="153" t="n">
        <v>0.0063752198</v>
      </c>
      <c r="J102" s="153" t="n">
        <v>0.0090759763</v>
      </c>
      <c r="K102" s="153" t="n">
        <v>-0.08577624740000001</v>
      </c>
      <c r="L102" s="153" t="n">
        <v>0.0343427615</v>
      </c>
      <c r="M102" s="153" t="n">
        <v>-0.0068934738</v>
      </c>
      <c r="N102" s="153" t="n">
        <v>-0.0144774359</v>
      </c>
      <c r="O102" s="153" t="n">
        <v>-0.0051094609</v>
      </c>
      <c r="P102" s="153" t="n">
        <v>0.020337059</v>
      </c>
      <c r="Q102" s="153" t="n">
        <v>-0.0356248953</v>
      </c>
      <c r="R102" s="154" t="n">
        <v>-0.0399998982</v>
      </c>
      <c r="S102" s="155" t="n">
        <v>-0.0189519189</v>
      </c>
      <c r="T102" s="92" t="n">
        <v>0.0002</v>
      </c>
    </row>
    <row r="103">
      <c r="F103" s="152" t="inlineStr">
        <is>
          <t>2018-09</t>
        </is>
      </c>
      <c r="G103" s="153" t="n">
        <v>0.018068886</v>
      </c>
      <c r="H103" s="153" t="n">
        <v>0.0414939075</v>
      </c>
      <c r="I103" s="153" t="n">
        <v>-0.0190045818</v>
      </c>
      <c r="J103" s="153" t="n">
        <v>-0.0165141859</v>
      </c>
      <c r="K103" s="153" t="n">
        <v>0.0027712823</v>
      </c>
      <c r="L103" s="153" t="n">
        <v>0.0185645905</v>
      </c>
      <c r="M103" s="153" t="n">
        <v>0.0389707624</v>
      </c>
      <c r="N103" s="153" t="n">
        <v>0.0040431986</v>
      </c>
      <c r="O103" s="153" t="n">
        <v>0.0347344569</v>
      </c>
      <c r="P103" s="153" t="n">
        <v>-0.0133825881</v>
      </c>
      <c r="Q103" s="153" t="n">
        <v>0.0365695417</v>
      </c>
      <c r="R103" s="154" t="n">
        <v>-0.0065405283</v>
      </c>
      <c r="S103" s="155" t="n">
        <v>0.0160241426</v>
      </c>
      <c r="T103" s="92" t="n">
        <v>0.0002</v>
      </c>
    </row>
    <row r="104">
      <c r="F104" s="152" t="inlineStr">
        <is>
          <t>2018-10</t>
        </is>
      </c>
      <c r="G104" s="153" t="n">
        <v>-0.0967832038</v>
      </c>
      <c r="H104" s="153" t="n">
        <v>-0.1248341472</v>
      </c>
      <c r="I104" s="153" t="n">
        <v>-0.0036901027</v>
      </c>
      <c r="J104" s="153" t="n">
        <v>-0.0617690862</v>
      </c>
      <c r="K104" s="153" t="n">
        <v>-0.0702725844</v>
      </c>
      <c r="L104" s="153" t="n">
        <v>-0.1149666138</v>
      </c>
      <c r="M104" s="153" t="n">
        <v>-0.0460013855</v>
      </c>
      <c r="N104" s="153" t="n">
        <v>-0.113154378</v>
      </c>
      <c r="O104" s="153" t="n">
        <v>0.0297803086</v>
      </c>
      <c r="P104" s="153" t="n">
        <v>-0.0770564386</v>
      </c>
      <c r="Q104" s="153" t="n">
        <v>-0.0586347461</v>
      </c>
      <c r="R104" s="154" t="n">
        <v>-0.0382834371</v>
      </c>
      <c r="S104" s="155" t="n">
        <v>-0.07282260929999999</v>
      </c>
      <c r="T104" s="92" t="n">
        <v>0.0002</v>
      </c>
    </row>
    <row r="105">
      <c r="F105" s="152" t="inlineStr">
        <is>
          <t>2018-11</t>
        </is>
      </c>
      <c r="G105" s="153" t="n">
        <v>-0.0316241773</v>
      </c>
      <c r="H105" s="153" t="n">
        <v>-0.0380446744</v>
      </c>
      <c r="I105" s="153" t="n">
        <v>-0.045833189</v>
      </c>
      <c r="J105" s="153" t="n">
        <v>0.0556086687</v>
      </c>
      <c r="K105" s="153" t="n">
        <v>0.0861493421</v>
      </c>
      <c r="L105" s="153" t="n">
        <v>-0.0540594991</v>
      </c>
      <c r="M105" s="153" t="n">
        <v>0.0474776012</v>
      </c>
      <c r="N105" s="153" t="n">
        <v>-0.0608446038</v>
      </c>
      <c r="O105" s="153" t="n">
        <v>0.0123034664</v>
      </c>
      <c r="P105" s="153" t="n">
        <v>0.0050032093</v>
      </c>
      <c r="Q105" s="153" t="n">
        <v>-0.053791256</v>
      </c>
      <c r="R105" s="154" t="n">
        <v>-0.0225656055</v>
      </c>
      <c r="S105" s="155" t="n">
        <v>-0.0175755522</v>
      </c>
      <c r="T105" s="92" t="n">
        <v>0.0002</v>
      </c>
    </row>
    <row r="106">
      <c r="F106" s="152" t="inlineStr">
        <is>
          <t>2018-12</t>
        </is>
      </c>
      <c r="G106" s="153" t="n">
        <v>-0.1126611932</v>
      </c>
      <c r="H106" s="153" t="n">
        <v>-0.1104224443</v>
      </c>
      <c r="I106" s="153" t="n">
        <v>-0.1576905511</v>
      </c>
      <c r="J106" s="153" t="n">
        <v>-0.0688767423</v>
      </c>
      <c r="K106" s="153" t="n">
        <v>0.008453747899999999</v>
      </c>
      <c r="L106" s="153" t="n">
        <v>0.0148628484</v>
      </c>
      <c r="M106" s="153" t="n">
        <v>0.0246308918</v>
      </c>
      <c r="N106" s="153" t="n">
        <v>-0.1208702442</v>
      </c>
      <c r="O106" s="153" t="n">
        <v>-0.0519984421</v>
      </c>
      <c r="P106" s="153" t="n">
        <v>-0.0709396531</v>
      </c>
      <c r="Q106" s="153" t="n">
        <v>-0.0607138085</v>
      </c>
      <c r="R106" s="154" t="n">
        <v>-0.0568596662</v>
      </c>
      <c r="S106" s="155" t="n">
        <v>-0.054603188</v>
      </c>
      <c r="T106" s="92" t="n">
        <v>0.0002</v>
      </c>
    </row>
    <row r="107">
      <c r="F107" s="152" t="inlineStr">
        <is>
          <t>2019-01</t>
        </is>
      </c>
      <c r="G107" s="153" t="n">
        <v>0.193663811</v>
      </c>
      <c r="H107" s="153" t="n">
        <v>0.0377454972</v>
      </c>
      <c r="I107" s="153" t="n">
        <v>0.1115208921</v>
      </c>
      <c r="J107" s="153" t="n">
        <v>0.032352498</v>
      </c>
      <c r="K107" s="153" t="n">
        <v>0.1165670325</v>
      </c>
      <c r="L107" s="153" t="n">
        <v>0.0816834557</v>
      </c>
      <c r="M107" s="153" t="n">
        <v>0.0118633249</v>
      </c>
      <c r="N107" s="153" t="n">
        <v>0.1338222352</v>
      </c>
      <c r="O107" s="153" t="n">
        <v>0.0021147415</v>
      </c>
      <c r="P107" s="153" t="n">
        <v>0.0395178366</v>
      </c>
      <c r="Q107" s="153" t="n">
        <v>0.05283786</v>
      </c>
      <c r="R107" s="154" t="n">
        <v>0.06748123390000001</v>
      </c>
      <c r="S107" s="155" t="n">
        <v>0.0553894414</v>
      </c>
      <c r="T107" s="92" t="n">
        <v>0.0002</v>
      </c>
    </row>
    <row r="108">
      <c r="F108" s="152" t="inlineStr">
        <is>
          <t>2019-02</t>
        </is>
      </c>
      <c r="G108" s="153" t="n">
        <v>0.1335061513</v>
      </c>
      <c r="H108" s="153" t="n">
        <v>0.0998411842</v>
      </c>
      <c r="I108" s="153" t="n">
        <v>0.0903812832</v>
      </c>
      <c r="J108" s="153" t="n">
        <v>0.0445667894</v>
      </c>
      <c r="K108" s="153" t="n">
        <v>-0.0525562639</v>
      </c>
      <c r="L108" s="153" t="n">
        <v>0.0617850867</v>
      </c>
      <c r="M108" s="153" t="n">
        <v>0.0441378689</v>
      </c>
      <c r="N108" s="153" t="n">
        <v>-0.0261925381</v>
      </c>
      <c r="O108" s="153" t="n">
        <v>-0.0305987284</v>
      </c>
      <c r="P108" s="153" t="n">
        <v>0.1021262127</v>
      </c>
      <c r="Q108" s="153" t="n">
        <v>0.041892804</v>
      </c>
      <c r="R108" s="154" t="n">
        <v>0.0915714448</v>
      </c>
      <c r="S108" s="155" t="n">
        <v>0.0496341793</v>
      </c>
      <c r="T108" s="92" t="n">
        <v>0.0002</v>
      </c>
    </row>
    <row r="109">
      <c r="F109" s="152" t="inlineStr">
        <is>
          <t>2019-03</t>
        </is>
      </c>
      <c r="G109" s="153" t="n">
        <v>0.037852152</v>
      </c>
      <c r="H109" s="153" t="n">
        <v>-0.0542670215</v>
      </c>
      <c r="I109" s="153" t="n">
        <v>0.0275665689</v>
      </c>
      <c r="J109" s="153" t="n">
        <v>0.0355798874</v>
      </c>
      <c r="K109" s="153" t="n">
        <v>0.0022640218</v>
      </c>
      <c r="L109" s="153" t="n">
        <v>0.0593067301</v>
      </c>
      <c r="M109" s="153" t="n">
        <v>0.0568032798</v>
      </c>
      <c r="N109" s="153" t="n">
        <v>-0.0219158847</v>
      </c>
      <c r="O109" s="153" t="n">
        <v>0.0712922627</v>
      </c>
      <c r="P109" s="153" t="n">
        <v>0.0222158414</v>
      </c>
      <c r="Q109" s="153" t="n">
        <v>-0.009402282600000001</v>
      </c>
      <c r="R109" s="154" t="n">
        <v>0.0333651913</v>
      </c>
      <c r="S109" s="155" t="n">
        <v>0.0209902442</v>
      </c>
      <c r="T109" s="92" t="n">
        <v>0.0002</v>
      </c>
    </row>
    <row r="110">
      <c r="F110" s="152" t="inlineStr">
        <is>
          <t>2019-04</t>
        </is>
      </c>
      <c r="G110" s="153" t="n">
        <v>0.0337575059</v>
      </c>
      <c r="H110" s="153" t="n">
        <v>0.1135885614</v>
      </c>
      <c r="I110" s="153" t="n">
        <v>0</v>
      </c>
      <c r="J110" s="153" t="n">
        <v>0.0493521155</v>
      </c>
      <c r="K110" s="153" t="n">
        <v>-0.0056474447</v>
      </c>
      <c r="L110" s="153" t="n">
        <v>0.06630405809999999</v>
      </c>
      <c r="M110" s="153" t="n">
        <v>-0.0290624973</v>
      </c>
      <c r="N110" s="153" t="n">
        <v>0.0324222393</v>
      </c>
      <c r="O110" s="153" t="n">
        <v>-0.0158750119</v>
      </c>
      <c r="P110" s="153" t="n">
        <v>0.0789248917</v>
      </c>
      <c r="Q110" s="153" t="n">
        <v>0.0129070752</v>
      </c>
      <c r="R110" s="154" t="n">
        <v>0.0380535227</v>
      </c>
      <c r="S110" s="155" t="n">
        <v>0.0440854234</v>
      </c>
      <c r="T110" s="92" t="n">
        <v>0.0002</v>
      </c>
    </row>
    <row r="111">
      <c r="F111" s="152" t="inlineStr">
        <is>
          <t>2019-05</t>
        </is>
      </c>
      <c r="G111" s="153" t="n">
        <v>-0.0443016993</v>
      </c>
      <c r="H111" s="153" t="n">
        <v>-0.1385669451</v>
      </c>
      <c r="I111" s="153" t="n">
        <v>-0.0740055583</v>
      </c>
      <c r="J111" s="153" t="n">
        <v>-0.009433973300000001</v>
      </c>
      <c r="K111" s="153" t="n">
        <v>-0.0571754284</v>
      </c>
      <c r="L111" s="153" t="n">
        <v>-0.051658411</v>
      </c>
      <c r="M111" s="153" t="n">
        <v>0.0157707961</v>
      </c>
      <c r="N111" s="153" t="n">
        <v>-0.1134495696</v>
      </c>
      <c r="O111" s="153" t="n">
        <v>-0.06775075580000001</v>
      </c>
      <c r="P111" s="153" t="n">
        <v>-0.0321233917</v>
      </c>
      <c r="Q111" s="153" t="n">
        <v>-0.0586336024</v>
      </c>
      <c r="R111" s="154" t="n">
        <v>0.0042477904</v>
      </c>
      <c r="S111" s="155" t="n">
        <v>-0.06780387810000001</v>
      </c>
      <c r="T111" s="92" t="n">
        <v>0.0002</v>
      </c>
    </row>
    <row r="112">
      <c r="F112" s="152" t="inlineStr">
        <is>
          <t>2019-06</t>
        </is>
      </c>
      <c r="G112" s="153" t="n">
        <v>0.0854953485</v>
      </c>
      <c r="H112" s="153" t="n">
        <v>0.0965525215</v>
      </c>
      <c r="I112" s="153" t="n">
        <v>0.0924076252</v>
      </c>
      <c r="J112" s="153" t="n">
        <v>0.0721298442</v>
      </c>
      <c r="K112" s="153" t="n">
        <v>0.1342439575</v>
      </c>
      <c r="L112" s="153" t="n">
        <v>0.0662411737</v>
      </c>
      <c r="M112" s="153" t="n">
        <v>0.0269327585</v>
      </c>
      <c r="N112" s="153" t="n">
        <v>0.0254081215</v>
      </c>
      <c r="O112" s="153" t="n">
        <v>0.0950882691</v>
      </c>
      <c r="P112" s="153" t="n">
        <v>0.1265539045</v>
      </c>
      <c r="Q112" s="153" t="n">
        <v>0.0564967349</v>
      </c>
      <c r="R112" s="154" t="n">
        <v>0.0180872672</v>
      </c>
      <c r="S112" s="155" t="n">
        <v>0.0636259372</v>
      </c>
      <c r="T112" s="92" t="n">
        <v>0.0002</v>
      </c>
    </row>
    <row r="113">
      <c r="F113" s="152" t="inlineStr">
        <is>
          <t>2019-07</t>
        </is>
      </c>
      <c r="G113" s="153" t="n">
        <v>0.0271093225</v>
      </c>
      <c r="H113" s="153" t="n">
        <v>0.009936641899999999</v>
      </c>
      <c r="I113" s="153" t="n">
        <v>0.0725994906</v>
      </c>
      <c r="J113" s="153" t="n">
        <v>0.052348891</v>
      </c>
      <c r="K113" s="153" t="n">
        <v>0.0434782513</v>
      </c>
      <c r="L113" s="153" t="n">
        <v>0.008851635700000001</v>
      </c>
      <c r="M113" s="153" t="n">
        <v>-0.0185126312</v>
      </c>
      <c r="N113" s="153" t="n">
        <v>-0.0242651566</v>
      </c>
      <c r="O113" s="153" t="n">
        <v>-0.0059280385</v>
      </c>
      <c r="P113" s="153" t="n">
        <v>-0.0210632032</v>
      </c>
      <c r="Q113" s="153" t="n">
        <v>-0.0326276144</v>
      </c>
      <c r="R113" s="154" t="n">
        <v>0.0353098236</v>
      </c>
      <c r="S113" s="155" t="n">
        <v>-0.0036234736</v>
      </c>
      <c r="T113" s="92" t="n">
        <v>0.0002</v>
      </c>
    </row>
    <row r="114">
      <c r="F114" s="152" t="inlineStr">
        <is>
          <t>2019-08</t>
        </is>
      </c>
      <c r="G114" s="153" t="n">
        <v>-0.0212399719</v>
      </c>
      <c r="H114" s="153" t="n">
        <v>-0.0271455349</v>
      </c>
      <c r="I114" s="153" t="n">
        <v>-0.0529284355</v>
      </c>
      <c r="J114" s="153" t="n">
        <v>0.0390307785</v>
      </c>
      <c r="K114" s="153" t="n">
        <v>-0.006824734</v>
      </c>
      <c r="L114" s="153" t="n">
        <v>-0.0245050892</v>
      </c>
      <c r="M114" s="153" t="n">
        <v>0.1001474424</v>
      </c>
      <c r="N114" s="153" t="n">
        <v>0.0320538649</v>
      </c>
      <c r="O114" s="153" t="n">
        <v>0.0352504617</v>
      </c>
      <c r="P114" s="153" t="n">
        <v>-0.024590309</v>
      </c>
      <c r="Q114" s="153" t="n">
        <v>-0.034974075</v>
      </c>
      <c r="R114" s="154" t="n">
        <v>0.0671385977</v>
      </c>
      <c r="S114" s="155" t="n">
        <v>-0.0069615182</v>
      </c>
      <c r="T114" s="92" t="n">
        <v>0.0002</v>
      </c>
    </row>
    <row r="115">
      <c r="F115" s="152" t="inlineStr">
        <is>
          <t>2019-09</t>
        </is>
      </c>
      <c r="G115" s="153" t="n">
        <v>-0.0489868029</v>
      </c>
      <c r="H115" s="153" t="n">
        <v>0.0885827617</v>
      </c>
      <c r="I115" s="153" t="n">
        <v>-0.009619889100000001</v>
      </c>
      <c r="J115" s="153" t="n">
        <v>-0.0078565444</v>
      </c>
      <c r="K115" s="153" t="n">
        <v>0.0835441972</v>
      </c>
      <c r="L115" s="153" t="n">
        <v>0.0209337906</v>
      </c>
      <c r="M115" s="153" t="n">
        <v>-0.0592977607</v>
      </c>
      <c r="N115" s="153" t="n">
        <v>0.009585821899999999</v>
      </c>
      <c r="O115" s="153" t="n">
        <v>0.0888376266</v>
      </c>
      <c r="P115" s="153" t="n">
        <v>0.0569851091</v>
      </c>
      <c r="Q115" s="153" t="n">
        <v>0.0549680094</v>
      </c>
      <c r="R115" s="154" t="n">
        <v>-0.0068341787</v>
      </c>
      <c r="S115" s="155" t="n">
        <v>0.0360023318</v>
      </c>
      <c r="T115" s="92" t="n">
        <v>0.0002</v>
      </c>
    </row>
    <row r="116">
      <c r="F116" s="152" t="inlineStr">
        <is>
          <t>2019-10</t>
        </is>
      </c>
      <c r="G116" s="153" t="n">
        <v>0.0773490361</v>
      </c>
      <c r="H116" s="153" t="n">
        <v>0.0479069491</v>
      </c>
      <c r="I116" s="153" t="n">
        <v>-0.0661423478</v>
      </c>
      <c r="J116" s="153" t="n">
        <v>-0.0799307932</v>
      </c>
      <c r="K116" s="153" t="n">
        <v>0.00100139</v>
      </c>
      <c r="L116" s="153" t="n">
        <v>0.0173501314</v>
      </c>
      <c r="M116" s="153" t="n">
        <v>0.0128521902</v>
      </c>
      <c r="N116" s="153" t="n">
        <v>-0.1310292521</v>
      </c>
      <c r="O116" s="153" t="n">
        <v>-0.0286857681</v>
      </c>
      <c r="P116" s="153" t="n">
        <v>0.0342860916</v>
      </c>
      <c r="Q116" s="153" t="n">
        <v>-0.0017571016</v>
      </c>
      <c r="R116" s="154" t="n">
        <v>0.0180125288</v>
      </c>
      <c r="S116" s="155" t="n">
        <v>0.009170790700000001</v>
      </c>
      <c r="T116" s="92" t="n">
        <v>0.0002</v>
      </c>
    </row>
    <row r="117">
      <c r="F117" s="152" t="inlineStr">
        <is>
          <t>2019-11</t>
        </is>
      </c>
      <c r="G117" s="153" t="n">
        <v>0.0387789913</v>
      </c>
      <c r="H117" s="153" t="n">
        <v>0.0888698064</v>
      </c>
      <c r="I117" s="153" t="n">
        <v>0.0633976878</v>
      </c>
      <c r="J117" s="153" t="n">
        <v>0.0048413248</v>
      </c>
      <c r="K117" s="153" t="n">
        <v>-0.0423473829</v>
      </c>
      <c r="L117" s="153" t="n">
        <v>0.0542636396</v>
      </c>
      <c r="M117" s="153" t="n">
        <v>0.0072504888</v>
      </c>
      <c r="N117" s="153" t="n">
        <v>-0.050371453</v>
      </c>
      <c r="O117" s="153" t="n">
        <v>0.0228758736</v>
      </c>
      <c r="P117" s="153" t="n">
        <v>0.0521257973</v>
      </c>
      <c r="Q117" s="153" t="n">
        <v>0.0107137672</v>
      </c>
      <c r="R117" s="154" t="n">
        <v>-0.0161033423</v>
      </c>
      <c r="S117" s="155" t="n">
        <v>0.0305958719</v>
      </c>
      <c r="T117" s="92" t="n">
        <v>0.0002</v>
      </c>
    </row>
    <row r="118">
      <c r="F118" s="152" t="inlineStr">
        <is>
          <t>2019-12</t>
        </is>
      </c>
      <c r="G118" s="153" t="n">
        <v>-0.0218889849</v>
      </c>
      <c r="H118" s="153" t="n">
        <v>0.0364922046</v>
      </c>
      <c r="I118" s="153" t="n">
        <v>0.0144388206</v>
      </c>
      <c r="J118" s="153" t="n">
        <v>-0.0109743605</v>
      </c>
      <c r="K118" s="153" t="n">
        <v>0.0027854971</v>
      </c>
      <c r="L118" s="153" t="n">
        <v>-0.0202941205</v>
      </c>
      <c r="M118" s="153" t="n">
        <v>-0.0325183624</v>
      </c>
      <c r="N118" s="153" t="n">
        <v>-0.029340833</v>
      </c>
      <c r="O118" s="153" t="n">
        <v>0.0604663565</v>
      </c>
      <c r="P118" s="153" t="n">
        <v>0.0445205356</v>
      </c>
      <c r="Q118" s="153" t="n">
        <v>0.0327455647</v>
      </c>
      <c r="R118" s="154" t="n">
        <v>0.0079785029</v>
      </c>
      <c r="S118" s="155" t="n">
        <v>0.0123434444</v>
      </c>
      <c r="T118" s="92" t="n">
        <v>0.0002</v>
      </c>
    </row>
    <row r="119">
      <c r="F119" s="152" t="inlineStr">
        <is>
          <t>2020-01</t>
        </is>
      </c>
      <c r="G119" s="153" t="n">
        <v>0.0211527214</v>
      </c>
      <c r="H119" s="153" t="n">
        <v>-0.0905736197</v>
      </c>
      <c r="I119" s="153" t="n">
        <v>0.0316804477</v>
      </c>
      <c r="J119" s="153" t="n">
        <v>-0.0202977303</v>
      </c>
      <c r="K119" s="153" t="n">
        <v>0.0805555397</v>
      </c>
      <c r="L119" s="153" t="n">
        <v>0.0156108681</v>
      </c>
      <c r="M119" s="153" t="n">
        <v>-0.0181931393</v>
      </c>
      <c r="N119" s="153" t="n">
        <v>-0.1644144043</v>
      </c>
      <c r="O119" s="153" t="n">
        <v>-0.0297925684</v>
      </c>
      <c r="P119" s="153" t="n">
        <v>-0.0107104862</v>
      </c>
      <c r="Q119" s="153" t="n">
        <v>-0.1027436182</v>
      </c>
      <c r="R119" s="154" t="n">
        <v>0.0121210475</v>
      </c>
      <c r="S119" s="155" t="n">
        <v>-0.0287250735</v>
      </c>
      <c r="T119" s="92" t="n">
        <v>0.0002</v>
      </c>
    </row>
    <row r="120">
      <c r="F120" s="152" t="inlineStr">
        <is>
          <t>2020-02</t>
        </is>
      </c>
      <c r="G120" s="153" t="n">
        <v>-0.1886821705</v>
      </c>
      <c r="H120" s="153" t="n">
        <v>-0.0886668791</v>
      </c>
      <c r="I120" s="153" t="n">
        <v>-0.1168669293</v>
      </c>
      <c r="J120" s="153" t="n">
        <v>-0.1198894681</v>
      </c>
      <c r="K120" s="153" t="n">
        <v>-0.0340617344</v>
      </c>
      <c r="L120" s="153" t="n">
        <v>-0.0688734778</v>
      </c>
      <c r="M120" s="153" t="n">
        <v>-0.0645368424</v>
      </c>
      <c r="N120" s="153" t="n">
        <v>-0.2482620477</v>
      </c>
      <c r="O120" s="153" t="n">
        <v>-0.0347325833</v>
      </c>
      <c r="P120" s="153" t="n">
        <v>-0.0002208903</v>
      </c>
      <c r="Q120" s="153" t="n">
        <v>-0.1190518722</v>
      </c>
      <c r="R120" s="154" t="n">
        <v>-0.092015741</v>
      </c>
      <c r="S120" s="155" t="n">
        <v>-0.08549963570000001</v>
      </c>
      <c r="T120" s="92" t="n">
        <v>0.0002</v>
      </c>
    </row>
    <row r="121">
      <c r="F121" s="152" t="inlineStr">
        <is>
          <t>2020-03</t>
        </is>
      </c>
      <c r="G121" s="153" t="n">
        <v>-0.4510638486</v>
      </c>
      <c r="H121" s="153" t="n">
        <v>-0.3717026283</v>
      </c>
      <c r="I121" s="153" t="n">
        <v>-0.2239468632</v>
      </c>
      <c r="J121" s="153" t="n">
        <v>-0.0797238286</v>
      </c>
      <c r="K121" s="153" t="n">
        <v>-0.3737857899</v>
      </c>
      <c r="L121" s="153" t="n">
        <v>-0.0019051404</v>
      </c>
      <c r="M121" s="153" t="n">
        <v>-0.1157787273</v>
      </c>
      <c r="N121" s="153" t="n">
        <v>-0.3316475874</v>
      </c>
      <c r="O121" s="153" t="n">
        <v>-0.0451566633</v>
      </c>
      <c r="P121" s="153" t="n">
        <v>-0.1317125559</v>
      </c>
      <c r="Q121" s="153" t="n">
        <v>-0.0779048344</v>
      </c>
      <c r="R121" s="154" t="n">
        <v>-0.1712465536</v>
      </c>
      <c r="S121" s="155" t="n">
        <v>-0.1720898326</v>
      </c>
      <c r="T121" s="92" t="n">
        <v>0.0002</v>
      </c>
    </row>
    <row r="122">
      <c r="F122" s="152" t="inlineStr">
        <is>
          <t>2020-04</t>
        </is>
      </c>
      <c r="G122" s="153" t="n">
        <v>-0.0246038283</v>
      </c>
      <c r="H122" s="153" t="n">
        <v>0.0423482231</v>
      </c>
      <c r="I122" s="153" t="n">
        <v>0.1135065662</v>
      </c>
      <c r="J122" s="153" t="n">
        <v>0.0787857983</v>
      </c>
      <c r="K122" s="153" t="n">
        <v>0.0522737785</v>
      </c>
      <c r="L122" s="153" t="n">
        <v>0.0645383053</v>
      </c>
      <c r="M122" s="153" t="n">
        <v>0.0745463289</v>
      </c>
      <c r="N122" s="153" t="n">
        <v>0.0224759096</v>
      </c>
      <c r="O122" s="153" t="n">
        <v>0.1129274302</v>
      </c>
      <c r="P122" s="153" t="n">
        <v>0.0621019679</v>
      </c>
      <c r="Q122" s="153" t="n">
        <v>-0.0517783476</v>
      </c>
      <c r="R122" s="154" t="n">
        <v>-0.009283789299999999</v>
      </c>
      <c r="S122" s="155" t="n">
        <v>0.0400489645</v>
      </c>
      <c r="T122" s="92" t="n">
        <v>0.0002</v>
      </c>
    </row>
    <row r="123">
      <c r="F123" s="152" t="inlineStr">
        <is>
          <t>2020-05</t>
        </is>
      </c>
      <c r="G123" s="153" t="n">
        <v>-0.0203870692</v>
      </c>
      <c r="H123" s="153" t="n">
        <v>0.1248474485</v>
      </c>
      <c r="I123" s="153" t="n">
        <v>0.07417768080000001</v>
      </c>
      <c r="J123" s="153" t="n">
        <v>-0.0268732584</v>
      </c>
      <c r="K123" s="153" t="n">
        <v>0.07380870840000001</v>
      </c>
      <c r="L123" s="153" t="n">
        <v>0.124800525</v>
      </c>
      <c r="M123" s="153" t="n">
        <v>0.007188993</v>
      </c>
      <c r="N123" s="153" t="n">
        <v>0.1159283105</v>
      </c>
      <c r="O123" s="153" t="n">
        <v>-0.018612073</v>
      </c>
      <c r="P123" s="153" t="n">
        <v>0.0692548858</v>
      </c>
      <c r="Q123" s="153" t="n">
        <v>0.023592162</v>
      </c>
      <c r="R123" s="154" t="n">
        <v>0.11164672</v>
      </c>
      <c r="S123" s="155" t="n">
        <v>0.0269586414</v>
      </c>
      <c r="T123" s="92" t="n">
        <v>0.0002</v>
      </c>
    </row>
    <row r="124">
      <c r="F124" s="152" t="inlineStr">
        <is>
          <t>2020-06</t>
        </is>
      </c>
      <c r="G124" s="153" t="n">
        <v>0.1202822074</v>
      </c>
      <c r="H124" s="153" t="n">
        <v>0.0965741323</v>
      </c>
      <c r="I124" s="153" t="n">
        <v>0.1069490408</v>
      </c>
      <c r="J124" s="153" t="n">
        <v>0</v>
      </c>
      <c r="K124" s="153" t="n">
        <v>0.0343204629</v>
      </c>
      <c r="L124" s="153" t="n">
        <v>-0.0053491752</v>
      </c>
      <c r="M124" s="153" t="n">
        <v>-0.000356949</v>
      </c>
      <c r="N124" s="153" t="n">
        <v>0.1175451206</v>
      </c>
      <c r="O124" s="153" t="n">
        <v>0.07377575779999999</v>
      </c>
      <c r="P124" s="153" t="n">
        <v>0.1442517046</v>
      </c>
      <c r="Q124" s="153" t="n">
        <v>0.0104088383</v>
      </c>
      <c r="R124" s="154" t="n">
        <v>-0.012524098</v>
      </c>
      <c r="S124" s="155" t="n">
        <v>0.0512306186</v>
      </c>
      <c r="T124" s="92" t="n">
        <v>0.0002</v>
      </c>
    </row>
    <row r="125">
      <c r="F125" s="152" t="inlineStr">
        <is>
          <t>2020-07</t>
        </is>
      </c>
      <c r="G125" s="153" t="n">
        <v>-0.0237720949</v>
      </c>
      <c r="H125" s="153" t="n">
        <v>-0.0354818753</v>
      </c>
      <c r="I125" s="153" t="n">
        <v>0.0897839511</v>
      </c>
      <c r="J125" s="153" t="n">
        <v>-0.08154629269999999</v>
      </c>
      <c r="K125" s="153" t="n">
        <v>0.0263637662</v>
      </c>
      <c r="L125" s="153" t="n">
        <v>-0.077440152</v>
      </c>
      <c r="M125" s="153" t="n">
        <v>0.0424847529</v>
      </c>
      <c r="N125" s="153" t="n">
        <v>-0.111824604</v>
      </c>
      <c r="O125" s="153" t="n">
        <v>-0.0231661561</v>
      </c>
      <c r="P125" s="153" t="n">
        <v>-0.006472493</v>
      </c>
      <c r="Q125" s="153" t="n">
        <v>-0.0605578073</v>
      </c>
      <c r="R125" s="154" t="n">
        <v>-0.09901356460000001</v>
      </c>
      <c r="S125" s="155" t="n">
        <v>-0.0308550637</v>
      </c>
      <c r="T125" s="92" t="n">
        <v>0.0002</v>
      </c>
    </row>
    <row r="126">
      <c r="F126" s="152" t="inlineStr">
        <is>
          <t>2020-08</t>
        </is>
      </c>
      <c r="G126" s="153" t="n">
        <v>0.1101433468</v>
      </c>
      <c r="H126" s="153" t="n">
        <v>0.0718157143</v>
      </c>
      <c r="I126" s="153" t="n">
        <v>0.059360799</v>
      </c>
      <c r="J126" s="153" t="n">
        <v>0.0090190892</v>
      </c>
      <c r="K126" s="153" t="n">
        <v>0.0323293954</v>
      </c>
      <c r="L126" s="153" t="n">
        <v>0.0483825477</v>
      </c>
      <c r="M126" s="153" t="n">
        <v>-0.008872499900000001</v>
      </c>
      <c r="N126" s="153" t="n">
        <v>0.1887309579</v>
      </c>
      <c r="O126" s="153" t="n">
        <v>-0.041558426</v>
      </c>
      <c r="P126" s="153" t="n">
        <v>0.0560872246</v>
      </c>
      <c r="Q126" s="153" t="n">
        <v>0.0575082605</v>
      </c>
      <c r="R126" s="154" t="n">
        <v>0.0793955004</v>
      </c>
      <c r="S126" s="155" t="n">
        <v>0.034184965</v>
      </c>
      <c r="T126" s="92" t="n">
        <v>0.0002</v>
      </c>
    </row>
    <row r="127">
      <c r="F127" s="152" t="inlineStr">
        <is>
          <t>2020-09</t>
        </is>
      </c>
      <c r="G127" s="153" t="n">
        <v>-0.0983438415</v>
      </c>
      <c r="H127" s="153" t="n">
        <v>-0.1528783518</v>
      </c>
      <c r="I127" s="153" t="n">
        <v>-0.0538792266</v>
      </c>
      <c r="J127" s="153" t="n">
        <v>0.0021778486</v>
      </c>
      <c r="K127" s="153" t="n">
        <v>-0.0201630939</v>
      </c>
      <c r="L127" s="153" t="n">
        <v>0.0233526169</v>
      </c>
      <c r="M127" s="153" t="n">
        <v>-0.051219575</v>
      </c>
      <c r="N127" s="153" t="n">
        <v>-0.06900164039999999</v>
      </c>
      <c r="O127" s="153" t="n">
        <v>0.0054200232</v>
      </c>
      <c r="P127" s="153" t="n">
        <v>0.0221687074</v>
      </c>
      <c r="Q127" s="153" t="n">
        <v>-0.1178249341</v>
      </c>
      <c r="R127" s="154" t="n">
        <v>-0.0898448288</v>
      </c>
      <c r="S127" s="155" t="n">
        <v>-0.0290628408</v>
      </c>
      <c r="T127" s="92" t="n">
        <v>0.0002</v>
      </c>
    </row>
    <row r="128">
      <c r="F128" s="152" t="inlineStr">
        <is>
          <t>2020-10</t>
        </is>
      </c>
      <c r="G128" s="153" t="n">
        <v>0.0083777018</v>
      </c>
      <c r="H128" s="153" t="n">
        <v>-0.0361582702</v>
      </c>
      <c r="I128" s="153" t="n">
        <v>-0.0966744137</v>
      </c>
      <c r="J128" s="153" t="n">
        <v>-0.1416151693</v>
      </c>
      <c r="K128" s="153" t="n">
        <v>-0.0906304205</v>
      </c>
      <c r="L128" s="153" t="n">
        <v>0.08530299230000001</v>
      </c>
      <c r="M128" s="153" t="n">
        <v>0.0165259038</v>
      </c>
      <c r="N128" s="153" t="n">
        <v>-0.0423519869</v>
      </c>
      <c r="O128" s="153" t="n">
        <v>-0.0932848304</v>
      </c>
      <c r="P128" s="153" t="n">
        <v>-0.0174446879</v>
      </c>
      <c r="Q128" s="153" t="n">
        <v>-0.095178447</v>
      </c>
      <c r="R128" s="154" t="n">
        <v>-0.051733583</v>
      </c>
      <c r="S128" s="155" t="n">
        <v>-0.0435520605</v>
      </c>
      <c r="T128" s="92" t="n">
        <v>0.0002</v>
      </c>
    </row>
    <row r="129">
      <c r="F129" s="152" t="inlineStr">
        <is>
          <t>2020-11</t>
        </is>
      </c>
      <c r="G129" s="153" t="n">
        <v>0.4016616862</v>
      </c>
      <c r="H129" s="153" t="n">
        <v>0.4391224317</v>
      </c>
      <c r="I129" s="153" t="n">
        <v>0.1730886532</v>
      </c>
      <c r="J129" s="153" t="n">
        <v>0.1362868337</v>
      </c>
      <c r="K129" s="153" t="n">
        <v>0.1911412255</v>
      </c>
      <c r="L129" s="153" t="n">
        <v>0.0230287817</v>
      </c>
      <c r="M129" s="153" t="n">
        <v>0.1560694479</v>
      </c>
      <c r="N129" s="153" t="n">
        <v>0.5692779699</v>
      </c>
      <c r="O129" s="153" t="n">
        <v>0.0948687535</v>
      </c>
      <c r="P129" s="153" t="n">
        <v>0.1194818903</v>
      </c>
      <c r="Q129" s="153" t="n">
        <v>0.3874902638</v>
      </c>
      <c r="R129" s="154" t="n">
        <v>0.2606898216</v>
      </c>
      <c r="S129" s="155" t="n">
        <v>0.2011887762</v>
      </c>
      <c r="T129" s="92" t="n">
        <v>0.0002</v>
      </c>
    </row>
    <row r="130">
      <c r="F130" s="152" t="inlineStr">
        <is>
          <t>2020-12</t>
        </is>
      </c>
      <c r="G130" s="153" t="n">
        <v>0.0233670896</v>
      </c>
      <c r="H130" s="153" t="n">
        <v>0.0032585462</v>
      </c>
      <c r="I130" s="153" t="n">
        <v>0.0902836828</v>
      </c>
      <c r="J130" s="153" t="n">
        <v>-0.0018567145</v>
      </c>
      <c r="K130" s="153" t="n">
        <v>0.012125942</v>
      </c>
      <c r="L130" s="153" t="n">
        <v>0.07609495030000001</v>
      </c>
      <c r="M130" s="153" t="n">
        <v>-0.0200000971</v>
      </c>
      <c r="N130" s="153" t="n">
        <v>0.07210300259999999</v>
      </c>
      <c r="O130" s="153" t="n">
        <v>-0.07094782199999999</v>
      </c>
      <c r="P130" s="153" t="n">
        <v>0.0141448646</v>
      </c>
      <c r="Q130" s="153" t="n">
        <v>-0.0146545659</v>
      </c>
      <c r="R130" s="154" t="n">
        <v>-0.048420847</v>
      </c>
      <c r="S130" s="155" t="n">
        <v>0.0059545266</v>
      </c>
      <c r="T130" s="92" t="n">
        <v>0.0002</v>
      </c>
    </row>
    <row r="131">
      <c r="F131" s="152" t="inlineStr">
        <is>
          <t>2021-01</t>
        </is>
      </c>
      <c r="G131" s="153" t="n">
        <v>-0.0732903238</v>
      </c>
      <c r="H131" s="153" t="n">
        <v>-0.07713730689999999</v>
      </c>
      <c r="I131" s="153" t="n">
        <v>-0.0575710276</v>
      </c>
      <c r="J131" s="153" t="n">
        <v>0.0223214127</v>
      </c>
      <c r="K131" s="153" t="n">
        <v>0.0239616827</v>
      </c>
      <c r="L131" s="153" t="n">
        <v>-0.0420647298</v>
      </c>
      <c r="M131" s="153" t="n">
        <v>0.0024404455</v>
      </c>
      <c r="N131" s="153" t="n">
        <v>-0.0145411411</v>
      </c>
      <c r="O131" s="153" t="n">
        <v>-0.0196950596</v>
      </c>
      <c r="P131" s="153" t="n">
        <v>0.0224006097</v>
      </c>
      <c r="Q131" s="153" t="n">
        <v>-0.0114733436</v>
      </c>
      <c r="R131" s="154" t="n">
        <v>-0.0587513455</v>
      </c>
      <c r="S131" s="155" t="n">
        <v>-0.0274164926</v>
      </c>
      <c r="T131" s="92" t="n">
        <v>0.0002</v>
      </c>
    </row>
    <row r="132">
      <c r="F132" s="152" t="inlineStr">
        <is>
          <t>2021-02</t>
        </is>
      </c>
      <c r="G132" s="153" t="n">
        <v>0.152764412</v>
      </c>
      <c r="H132" s="153" t="n">
        <v>0.2386880311</v>
      </c>
      <c r="I132" s="153" t="n">
        <v>0.1142259928</v>
      </c>
      <c r="J132" s="153" t="n">
        <v>0.0272926211</v>
      </c>
      <c r="K132" s="153" t="n">
        <v>-0.0573321655</v>
      </c>
      <c r="L132" s="153" t="n">
        <v>0.09565647889999999</v>
      </c>
      <c r="M132" s="153" t="n">
        <v>0.0105972266</v>
      </c>
      <c r="N132" s="153" t="n">
        <v>0.0534902172</v>
      </c>
      <c r="O132" s="153" t="n">
        <v>-0.0174985351</v>
      </c>
      <c r="P132" s="153" t="n">
        <v>0.0157089636</v>
      </c>
      <c r="Q132" s="153" t="n">
        <v>0.1206813767</v>
      </c>
      <c r="R132" s="154" t="n">
        <v>0.1235308517</v>
      </c>
      <c r="S132" s="155" t="n">
        <v>0.056306433</v>
      </c>
      <c r="T132" s="92" t="n">
        <v>0.0002</v>
      </c>
    </row>
    <row r="133">
      <c r="F133" s="152" t="inlineStr">
        <is>
          <t>2021-03</t>
        </is>
      </c>
      <c r="G133" s="153" t="n">
        <v>0.0065686989</v>
      </c>
      <c r="H133" s="153" t="n">
        <v>0.0528665489</v>
      </c>
      <c r="I133" s="153" t="n">
        <v>0.08974846440000001</v>
      </c>
      <c r="J133" s="153" t="n">
        <v>0.0361317728</v>
      </c>
      <c r="K133" s="153" t="n">
        <v>0.0016548115</v>
      </c>
      <c r="L133" s="153" t="n">
        <v>0.0225303158</v>
      </c>
      <c r="M133" s="153" t="n">
        <v>0.0171595017</v>
      </c>
      <c r="N133" s="153" t="n">
        <v>-0.0052524206</v>
      </c>
      <c r="O133" s="153" t="n">
        <v>0.111477659</v>
      </c>
      <c r="P133" s="153" t="n">
        <v>0.0602360846</v>
      </c>
      <c r="Q133" s="153" t="n">
        <v>0.0364820012</v>
      </c>
      <c r="R133" s="154" t="n">
        <v>0.015341803</v>
      </c>
      <c r="S133" s="155" t="n">
        <v>0.0638253043</v>
      </c>
      <c r="T133" s="92" t="n">
        <v>0.0002</v>
      </c>
    </row>
    <row r="134">
      <c r="F134" s="152" t="inlineStr">
        <is>
          <t>2021-04</t>
        </is>
      </c>
      <c r="G134" s="153" t="n">
        <v>0.0352186332</v>
      </c>
      <c r="H134" s="153" t="n">
        <v>0.0291054967</v>
      </c>
      <c r="I134" s="153" t="n">
        <v>0.0503100536</v>
      </c>
      <c r="J134" s="153" t="n">
        <v>0.0022221854</v>
      </c>
      <c r="K134" s="153" t="n">
        <v>0.0218919268</v>
      </c>
      <c r="L134" s="153" t="n">
        <v>0.1077211496</v>
      </c>
      <c r="M134" s="153" t="n">
        <v>0.0665415602</v>
      </c>
      <c r="N134" s="153" t="n">
        <v>-0.0922015119</v>
      </c>
      <c r="O134" s="153" t="n">
        <v>0.0358457803</v>
      </c>
      <c r="P134" s="153" t="n">
        <v>0.0212668498</v>
      </c>
      <c r="Q134" s="153" t="n">
        <v>-0.0586604379</v>
      </c>
      <c r="R134" s="154" t="n">
        <v>0.0462453857</v>
      </c>
      <c r="S134" s="155" t="n">
        <v>0.0333348168</v>
      </c>
      <c r="T134" s="92" t="n">
        <v>0.0002</v>
      </c>
    </row>
    <row r="135">
      <c r="F135" s="152" t="inlineStr">
        <is>
          <t>2021-05</t>
        </is>
      </c>
      <c r="G135" s="153" t="n">
        <v>0.06724031060000001</v>
      </c>
      <c r="H135" s="153" t="n">
        <v>0.0460760588</v>
      </c>
      <c r="I135" s="153" t="n">
        <v>0.0016405865</v>
      </c>
      <c r="J135" s="153" t="n">
        <v>-0.0056285715</v>
      </c>
      <c r="K135" s="153" t="n">
        <v>-0.0177850241</v>
      </c>
      <c r="L135" s="153" t="n">
        <v>0.10392733</v>
      </c>
      <c r="M135" s="153" t="n">
        <v>0.0553602519</v>
      </c>
      <c r="N135" s="153" t="n">
        <v>0.009246768400000001</v>
      </c>
      <c r="O135" s="153" t="n">
        <v>-0.003437563</v>
      </c>
      <c r="P135" s="153" t="n">
        <v>-0.027214058</v>
      </c>
      <c r="Q135" s="153" t="n">
        <v>0.0293276714</v>
      </c>
      <c r="R135" s="154" t="n">
        <v>0.0396635287</v>
      </c>
      <c r="S135" s="155" t="n">
        <v>0.0283420542</v>
      </c>
      <c r="T135" s="92" t="n">
        <v>0.0002</v>
      </c>
    </row>
    <row r="136">
      <c r="F136" s="152" t="inlineStr">
        <is>
          <t>2021-06</t>
        </is>
      </c>
      <c r="G136" s="153" t="n">
        <v>0.0166885352</v>
      </c>
      <c r="H136" s="153" t="n">
        <v>-0.0342974412</v>
      </c>
      <c r="I136" s="153" t="n">
        <v>0.0612511846</v>
      </c>
      <c r="J136" s="153" t="n">
        <v>0.0528798898</v>
      </c>
      <c r="K136" s="153" t="n">
        <v>-0.009097826599999999</v>
      </c>
      <c r="L136" s="153" t="n">
        <v>0.0689864127</v>
      </c>
      <c r="M136" s="153" t="n">
        <v>0.0391341158</v>
      </c>
      <c r="N136" s="153" t="n">
        <v>0.0073887471</v>
      </c>
      <c r="O136" s="153" t="n">
        <v>0.0550690511</v>
      </c>
      <c r="P136" s="153" t="n">
        <v>0.0454890878</v>
      </c>
      <c r="Q136" s="153" t="n">
        <v>0.0065958255</v>
      </c>
      <c r="R136" s="154" t="n">
        <v>-0.0315324159</v>
      </c>
      <c r="S136" s="155" t="n">
        <v>0.009408803699999999</v>
      </c>
      <c r="T136" s="92" t="n">
        <v>0.0002</v>
      </c>
    </row>
    <row r="137">
      <c r="F137" s="152" t="inlineStr">
        <is>
          <t>2021-07</t>
        </is>
      </c>
      <c r="G137" s="153" t="n">
        <v>0.0669494343</v>
      </c>
      <c r="H137" s="153" t="n">
        <v>-0.0268580752</v>
      </c>
      <c r="I137" s="153" t="n">
        <v>0.1395619039</v>
      </c>
      <c r="J137" s="153" t="n">
        <v>0.0453090609</v>
      </c>
      <c r="K137" s="153" t="n">
        <v>-0.0261382158</v>
      </c>
      <c r="L137" s="153" t="n">
        <v>0.0492468958</v>
      </c>
      <c r="M137" s="153" t="n">
        <v>-0.0058762487</v>
      </c>
      <c r="N137" s="153" t="n">
        <v>-0.0604370576</v>
      </c>
      <c r="O137" s="153" t="n">
        <v>-0.0167497901</v>
      </c>
      <c r="P137" s="153" t="n">
        <v>0.0649685751</v>
      </c>
      <c r="Q137" s="153" t="n">
        <v>-0.0220132895</v>
      </c>
      <c r="R137" s="154" t="n">
        <v>-0.008667657299999999</v>
      </c>
      <c r="S137" s="155" t="n">
        <v>0.0161236059</v>
      </c>
      <c r="T137" s="92" t="n">
        <v>0.0002</v>
      </c>
    </row>
    <row r="138">
      <c r="F138" s="152" t="inlineStr">
        <is>
          <t>2021-08</t>
        </is>
      </c>
      <c r="G138" s="153" t="n">
        <v>0</v>
      </c>
      <c r="H138" s="153" t="n">
        <v>0.0443147186</v>
      </c>
      <c r="I138" s="153" t="n">
        <v>0.0433470315</v>
      </c>
      <c r="J138" s="153" t="n">
        <v>-0.0030615633</v>
      </c>
      <c r="K138" s="153" t="n">
        <v>0.0782084711</v>
      </c>
      <c r="L138" s="153" t="n">
        <v>-0.0345228391</v>
      </c>
      <c r="M138" s="153" t="n">
        <v>-0.0368354172</v>
      </c>
      <c r="N138" s="153" t="n">
        <v>-0.0179547237</v>
      </c>
      <c r="O138" s="153" t="n">
        <v>0.008517453600000001</v>
      </c>
      <c r="P138" s="153" t="n">
        <v>0.0707711778</v>
      </c>
      <c r="Q138" s="153" t="n">
        <v>0.0175749576</v>
      </c>
      <c r="R138" s="154" t="n">
        <v>0.0188319743</v>
      </c>
      <c r="S138" s="155" t="n">
        <v>0.0101955027</v>
      </c>
      <c r="T138" s="92" t="n">
        <v>0.0002</v>
      </c>
    </row>
    <row r="139">
      <c r="F139" s="152" t="inlineStr">
        <is>
          <t>2021-09</t>
        </is>
      </c>
      <c r="G139" s="153" t="n">
        <v>-0.005185895</v>
      </c>
      <c r="H139" s="153" t="n">
        <v>0.0318257177</v>
      </c>
      <c r="I139" s="153" t="n">
        <v>-0.0525900821</v>
      </c>
      <c r="J139" s="153" t="n">
        <v>-0.0455794548</v>
      </c>
      <c r="K139" s="153" t="n">
        <v>-0.0651170831</v>
      </c>
      <c r="L139" s="153" t="n">
        <v>-0.0385697251</v>
      </c>
      <c r="M139" s="153" t="n">
        <v>0.0716493386</v>
      </c>
      <c r="N139" s="153" t="n">
        <v>-0.0176470154</v>
      </c>
      <c r="O139" s="153" t="n">
        <v>-0.051814656</v>
      </c>
      <c r="P139" s="153" t="n">
        <v>-0.0489094042</v>
      </c>
      <c r="Q139" s="153" t="n">
        <v>0.1068414567</v>
      </c>
      <c r="R139" s="154" t="n">
        <v>-0.0081416526</v>
      </c>
      <c r="S139" s="155" t="n">
        <v>-0.0239769596</v>
      </c>
      <c r="T139" s="92" t="n">
        <v>0.0002</v>
      </c>
    </row>
    <row r="140">
      <c r="F140" s="152" t="inlineStr">
        <is>
          <t>2021-10</t>
        </is>
      </c>
      <c r="G140" s="153" t="n">
        <v>-0.0390964238</v>
      </c>
      <c r="H140" s="153" t="n">
        <v>0.0738316</v>
      </c>
      <c r="I140" s="153" t="n">
        <v>0.1174021486</v>
      </c>
      <c r="J140" s="153" t="n">
        <v>-0.0457240197</v>
      </c>
      <c r="K140" s="153" t="n">
        <v>0.0841120995</v>
      </c>
      <c r="L140" s="153" t="n">
        <v>0.145424186</v>
      </c>
      <c r="M140" s="153" t="n">
        <v>0.0419508389</v>
      </c>
      <c r="N140" s="153" t="n">
        <v>0.0053405127</v>
      </c>
      <c r="O140" s="153" t="n">
        <v>0.040322643</v>
      </c>
      <c r="P140" s="153" t="n">
        <v>0.0347462442</v>
      </c>
      <c r="Q140" s="153" t="n">
        <v>0.0678548881</v>
      </c>
      <c r="R140" s="154" t="n">
        <v>0.024625552</v>
      </c>
      <c r="S140" s="155" t="n">
        <v>0.0475965665</v>
      </c>
      <c r="T140" s="92" t="n">
        <v>0.0002</v>
      </c>
    </row>
    <row r="141">
      <c r="F141" s="152" t="inlineStr">
        <is>
          <t>2021-11</t>
        </is>
      </c>
      <c r="G141" s="153" t="n">
        <v>-0.1074140645</v>
      </c>
      <c r="H141" s="153" t="n">
        <v>-0.0487047535</v>
      </c>
      <c r="I141" s="153" t="n">
        <v>0.0139096377</v>
      </c>
      <c r="J141" s="153" t="n">
        <v>-0.07737341960000001</v>
      </c>
      <c r="K141" s="153" t="n">
        <v>0.0418023886</v>
      </c>
      <c r="L141" s="153" t="n">
        <v>0.2061292437</v>
      </c>
      <c r="M141" s="153" t="n">
        <v>0.0191243653</v>
      </c>
      <c r="N141" s="153" t="n">
        <v>-0.08370891010000001</v>
      </c>
      <c r="O141" s="153" t="n">
        <v>-0.0297350886</v>
      </c>
      <c r="P141" s="153" t="n">
        <v>0.0491606841</v>
      </c>
      <c r="Q141" s="153" t="n">
        <v>-0.0636383829</v>
      </c>
      <c r="R141" s="154" t="n">
        <v>-0.0942945553</v>
      </c>
      <c r="S141" s="155" t="n">
        <v>-0.0159845176</v>
      </c>
      <c r="T141" s="92" t="n">
        <v>0.0002</v>
      </c>
    </row>
    <row r="142">
      <c r="F142" s="152" t="inlineStr">
        <is>
          <t>2021-12</t>
        </is>
      </c>
      <c r="G142" s="153" t="n">
        <v>0.1381685836</v>
      </c>
      <c r="H142" s="153" t="n">
        <v>0.1033042479</v>
      </c>
      <c r="I142" s="153" t="n">
        <v>0.055855017</v>
      </c>
      <c r="J142" s="153" t="n">
        <v>0.0500095433</v>
      </c>
      <c r="K142" s="153" t="n">
        <v>0.0159249654</v>
      </c>
      <c r="L142" s="153" t="n">
        <v>-0.0707804221</v>
      </c>
      <c r="M142" s="153" t="n">
        <v>0.053329629</v>
      </c>
      <c r="N142" s="153" t="n">
        <v>0.0732607342</v>
      </c>
      <c r="O142" s="153" t="n">
        <v>0.0562843228</v>
      </c>
      <c r="P142" s="153" t="n">
        <v>0.1039559518</v>
      </c>
      <c r="Q142" s="153" t="n">
        <v>0.0989901364</v>
      </c>
      <c r="R142" s="154" t="n">
        <v>0.1182475726</v>
      </c>
      <c r="S142" s="155" t="n">
        <v>0.0642552207</v>
      </c>
      <c r="T142" s="92" t="n">
        <v>0.0002</v>
      </c>
    </row>
    <row r="143">
      <c r="F143" s="152" t="inlineStr">
        <is>
          <t>2022-01</t>
        </is>
      </c>
      <c r="G143" s="153" t="n">
        <v>-0.0021359905</v>
      </c>
      <c r="H143" s="153" t="n">
        <v>0.0366958114</v>
      </c>
      <c r="I143" s="153" t="n">
        <v>-0.0837588089</v>
      </c>
      <c r="J143" s="153" t="n">
        <v>0.0120901265</v>
      </c>
      <c r="K143" s="153" t="n">
        <v>0.0414937602</v>
      </c>
      <c r="L143" s="153" t="n">
        <v>-0.1416014369</v>
      </c>
      <c r="M143" s="153" t="n">
        <v>-0.1063830354</v>
      </c>
      <c r="N143" s="153" t="n">
        <v>0.1430676488</v>
      </c>
      <c r="O143" s="153" t="n">
        <v>0.0470761091</v>
      </c>
      <c r="P143" s="153" t="n">
        <v>-0.1339442611</v>
      </c>
      <c r="Q143" s="153" t="n">
        <v>0.1252525926</v>
      </c>
      <c r="R143" s="154" t="n">
        <v>0.0403616059</v>
      </c>
      <c r="S143" s="155" t="n">
        <v>-0.0215055151</v>
      </c>
      <c r="T143" s="92" t="n">
        <v>0.0002</v>
      </c>
    </row>
    <row r="144">
      <c r="F144" s="152" t="inlineStr">
        <is>
          <t>2022-02</t>
        </is>
      </c>
      <c r="G144" s="153" t="n">
        <v>0.0247949258</v>
      </c>
      <c r="H144" s="153" t="n">
        <v>-0.1665079946</v>
      </c>
      <c r="I144" s="153" t="n">
        <v>-0.0463407378</v>
      </c>
      <c r="J144" s="153" t="n">
        <v>-0.0170135526</v>
      </c>
      <c r="K144" s="153" t="n">
        <v>0.0526781859</v>
      </c>
      <c r="L144" s="153" t="n">
        <v>-0.0580207204</v>
      </c>
      <c r="M144" s="153" t="n">
        <v>0.0351851652</v>
      </c>
      <c r="N144" s="153" t="n">
        <v>-0.1825862303</v>
      </c>
      <c r="O144" s="153" t="n">
        <v>0.0077628393</v>
      </c>
      <c r="P144" s="153" t="n">
        <v>-0.0641401603</v>
      </c>
      <c r="Q144" s="153" t="n">
        <v>-0.0785683338</v>
      </c>
      <c r="R144" s="154" t="n">
        <v>-0.022139556</v>
      </c>
      <c r="S144" s="155" t="n">
        <v>-0.0486298588</v>
      </c>
      <c r="T144" s="92" t="n">
        <v>0.0002</v>
      </c>
    </row>
    <row r="145">
      <c r="F145" s="152" t="inlineStr">
        <is>
          <t>2022-03</t>
        </is>
      </c>
      <c r="G145" s="153" t="n">
        <v>-0.039512672</v>
      </c>
      <c r="H145" s="153" t="n">
        <v>-0.0110456064</v>
      </c>
      <c r="I145" s="153" t="n">
        <v>0.07541149480000001</v>
      </c>
      <c r="J145" s="153" t="n">
        <v>-0.078806894</v>
      </c>
      <c r="K145" s="153" t="n">
        <v>-0.1635828091</v>
      </c>
      <c r="L145" s="153" t="n">
        <v>0.0420206174</v>
      </c>
      <c r="M145" s="153" t="n">
        <v>0.0186558068</v>
      </c>
      <c r="N145" s="153" t="n">
        <v>-0.1634549387</v>
      </c>
      <c r="O145" s="153" t="n">
        <v>-0.0102707225</v>
      </c>
      <c r="P145" s="153" t="n">
        <v>0.088567758</v>
      </c>
      <c r="Q145" s="153" t="n">
        <v>0.0096511697</v>
      </c>
      <c r="R145" s="154" t="n">
        <v>-0.0161870504</v>
      </c>
      <c r="S145" s="155" t="n">
        <v>0.0001561895</v>
      </c>
      <c r="T145" s="92" t="n">
        <v>0.0002</v>
      </c>
    </row>
    <row r="146">
      <c r="F146" s="152" t="inlineStr">
        <is>
          <t>2022-04</t>
        </is>
      </c>
      <c r="G146" s="153" t="n">
        <v>-0.0436753003</v>
      </c>
      <c r="H146" s="153" t="n">
        <v>-0.042845907</v>
      </c>
      <c r="I146" s="153" t="n">
        <v>-0.0316048484</v>
      </c>
      <c r="J146" s="153" t="n">
        <v>0.1521088674</v>
      </c>
      <c r="K146" s="153" t="n">
        <v>-0.051282168</v>
      </c>
      <c r="L146" s="153" t="n">
        <v>-0.081300671</v>
      </c>
      <c r="M146" s="153" t="n">
        <v>-0.0082790307</v>
      </c>
      <c r="N146" s="153" t="n">
        <v>-0.012565283</v>
      </c>
      <c r="O146" s="153" t="n">
        <v>0.0937195622</v>
      </c>
      <c r="P146" s="153" t="n">
        <v>-0.0950316927</v>
      </c>
      <c r="Q146" s="153" t="n">
        <v>0.040970604</v>
      </c>
      <c r="R146" s="154" t="n">
        <v>-0.0016131346</v>
      </c>
      <c r="S146" s="155" t="n">
        <v>-0.0189343179</v>
      </c>
      <c r="T146" s="92" t="n">
        <v>0.0002</v>
      </c>
    </row>
    <row r="147">
      <c r="F147" s="152" t="inlineStr">
        <is>
          <t>2022-05</t>
        </is>
      </c>
      <c r="G147" s="153" t="n">
        <v>0.0454770593</v>
      </c>
      <c r="H147" s="153" t="n">
        <v>0.06850417640000001</v>
      </c>
      <c r="I147" s="153" t="n">
        <v>-0.07955128039999999</v>
      </c>
      <c r="J147" s="153" t="n">
        <v>-0.0504858303</v>
      </c>
      <c r="K147" s="153" t="n">
        <v>0.1872454635</v>
      </c>
      <c r="L147" s="153" t="n">
        <v>-0.0602820466</v>
      </c>
      <c r="M147" s="153" t="n">
        <v>-0.0766505113</v>
      </c>
      <c r="N147" s="153" t="n">
        <v>0.0837750152</v>
      </c>
      <c r="O147" s="153" t="n">
        <v>-0.0124242201</v>
      </c>
      <c r="P147" s="153" t="n">
        <v>-0.0628903871</v>
      </c>
      <c r="Q147" s="153" t="n">
        <v>0.1771306271</v>
      </c>
      <c r="R147" s="154" t="n">
        <v>-0.0103742701</v>
      </c>
      <c r="S147" s="155" t="n">
        <v>-0.009943756</v>
      </c>
      <c r="T147" s="92" t="n">
        <v>0.0002</v>
      </c>
    </row>
    <row r="148">
      <c r="F148" s="152" t="inlineStr">
        <is>
          <t>2022-06</t>
        </is>
      </c>
      <c r="G148" s="153" t="n">
        <v>-0.1501195175</v>
      </c>
      <c r="H148" s="153" t="n">
        <v>-0.0831835324</v>
      </c>
      <c r="I148" s="153" t="n">
        <v>-0.09445987860000001</v>
      </c>
      <c r="J148" s="153" t="n">
        <v>0.008134324599999999</v>
      </c>
      <c r="K148" s="153" t="n">
        <v>-0.1224391141</v>
      </c>
      <c r="L148" s="153" t="n">
        <v>-0.0387386492</v>
      </c>
      <c r="M148" s="153" t="n">
        <v>-0.0394520816</v>
      </c>
      <c r="N148" s="153" t="n">
        <v>-0.0688844037</v>
      </c>
      <c r="O148" s="153" t="n">
        <v>0.0029854655</v>
      </c>
      <c r="P148" s="153" t="n">
        <v>-0.104733613</v>
      </c>
      <c r="Q148" s="153" t="n">
        <v>-0.09390154439999999</v>
      </c>
      <c r="R148" s="154" t="n">
        <v>-0.0526315475</v>
      </c>
      <c r="S148" s="155" t="n">
        <v>-0.08439586289999999</v>
      </c>
      <c r="T148" s="92" t="n">
        <v>0.0002</v>
      </c>
    </row>
    <row r="149">
      <c r="F149" s="152" t="inlineStr">
        <is>
          <t>2022-07</t>
        </is>
      </c>
      <c r="G149" s="153" t="n">
        <v>0.1344510846</v>
      </c>
      <c r="H149" s="153" t="n">
        <v>0.0139976072</v>
      </c>
      <c r="I149" s="153" t="n">
        <v>0.149267084</v>
      </c>
      <c r="J149" s="153" t="n">
        <v>0.0103266757</v>
      </c>
      <c r="K149" s="153" t="n">
        <v>0.0997629621</v>
      </c>
      <c r="L149" s="153" t="n">
        <v>0.2502339957</v>
      </c>
      <c r="M149" s="153" t="n">
        <v>0.09241292080000001</v>
      </c>
      <c r="N149" s="153" t="n">
        <v>0.2082807175</v>
      </c>
      <c r="O149" s="153" t="n">
        <v>0.009030566</v>
      </c>
      <c r="P149" s="153" t="n">
        <v>0.191673932</v>
      </c>
      <c r="Q149" s="153" t="n">
        <v>0.0010372968</v>
      </c>
      <c r="R149" s="154" t="n">
        <v>0.0991053133</v>
      </c>
      <c r="S149" s="155" t="n">
        <v>0.088747691</v>
      </c>
      <c r="T149" s="92" t="n">
        <v>0.0002</v>
      </c>
    </row>
    <row r="150">
      <c r="F150" s="152" t="inlineStr">
        <is>
          <t>2022-08</t>
        </is>
      </c>
      <c r="G150" s="153" t="n">
        <v>-0.06664772870000001</v>
      </c>
      <c r="H150" s="153" t="n">
        <v>0.0105434082</v>
      </c>
      <c r="I150" s="153" t="n">
        <v>-0.0666307884</v>
      </c>
      <c r="J150" s="153" t="n">
        <v>-0.0241590826</v>
      </c>
      <c r="K150" s="153" t="n">
        <v>-0.0159203741</v>
      </c>
      <c r="L150" s="153" t="n">
        <v>-0.0386055308</v>
      </c>
      <c r="M150" s="153" t="n">
        <v>-0.0329646528</v>
      </c>
      <c r="N150" s="153" t="n">
        <v>-0.0046964236</v>
      </c>
      <c r="O150" s="153" t="n">
        <v>-0.1546138209</v>
      </c>
      <c r="P150" s="153" t="n">
        <v>-0.1171398225</v>
      </c>
      <c r="Q150" s="153" t="n">
        <v>0.018689612</v>
      </c>
      <c r="R150" s="154" t="n">
        <v>-0.0121009192</v>
      </c>
      <c r="S150" s="155" t="n">
        <v>-0.0501511828</v>
      </c>
      <c r="T150" s="92" t="n">
        <v>0.0002</v>
      </c>
    </row>
    <row r="151">
      <c r="F151" s="152" t="inlineStr">
        <is>
          <t>2022-09</t>
        </is>
      </c>
      <c r="G151" s="153" t="n">
        <v>-0.0919398314</v>
      </c>
      <c r="H151" s="153" t="n">
        <v>-0.0619554201</v>
      </c>
      <c r="I151" s="153" t="n">
        <v>-0.0433525154</v>
      </c>
      <c r="J151" s="153" t="n">
        <v>-0.07503333450000001</v>
      </c>
      <c r="K151" s="153" t="n">
        <v>-0.002190832</v>
      </c>
      <c r="L151" s="153" t="n">
        <v>-0.0510721263</v>
      </c>
      <c r="M151" s="153" t="n">
        <v>0.028874967</v>
      </c>
      <c r="N151" s="153" t="n">
        <v>-0.0223698609</v>
      </c>
      <c r="O151" s="153" t="n">
        <v>-0.0459965333</v>
      </c>
      <c r="P151" s="153" t="n">
        <v>-0.0154907712</v>
      </c>
      <c r="Q151" s="153" t="n">
        <v>-0.0476422186</v>
      </c>
      <c r="R151" s="154" t="n">
        <v>-0.0984282955</v>
      </c>
      <c r="S151" s="155" t="n">
        <v>-0.059225196</v>
      </c>
      <c r="T151" s="92" t="n">
        <v>0.0002</v>
      </c>
    </row>
    <row r="152">
      <c r="F152" s="152" t="inlineStr">
        <is>
          <t>2022-10</t>
        </is>
      </c>
      <c r="G152" s="153" t="n">
        <v>0.2327595796</v>
      </c>
      <c r="H152" s="153" t="n">
        <v>0.08920980050000001</v>
      </c>
      <c r="I152" s="153" t="n">
        <v>0.0045316824</v>
      </c>
      <c r="J152" s="153" t="n">
        <v>0.0364422415</v>
      </c>
      <c r="K152" s="153" t="n">
        <v>0.1107921373</v>
      </c>
      <c r="L152" s="153" t="n">
        <v>0.0768282337</v>
      </c>
      <c r="M152" s="153" t="n">
        <v>-0.059041579</v>
      </c>
      <c r="N152" s="153" t="n">
        <v>0.1144083676</v>
      </c>
      <c r="O152" s="153" t="n">
        <v>0.1139030588</v>
      </c>
      <c r="P152" s="153" t="n">
        <v>0.0968017605</v>
      </c>
      <c r="Q152" s="153" t="n">
        <v>0.1577233362</v>
      </c>
      <c r="R152" s="154" t="n">
        <v>0.12035595</v>
      </c>
      <c r="S152" s="155" t="n">
        <v>0.0875391229</v>
      </c>
      <c r="T152" s="92" t="n">
        <v>0.0002</v>
      </c>
    </row>
    <row r="153">
      <c r="F153" s="152" t="inlineStr">
        <is>
          <t>2022-11</t>
        </is>
      </c>
      <c r="G153" s="153" t="n">
        <v>-0.0034676981</v>
      </c>
      <c r="H153" s="153" t="n">
        <v>0.1249607067</v>
      </c>
      <c r="I153" s="153" t="n">
        <v>0.0285714142</v>
      </c>
      <c r="J153" s="153" t="n">
        <v>-0.0051648799</v>
      </c>
      <c r="K153" s="153" t="n">
        <v>0.1038467442</v>
      </c>
      <c r="L153" s="153" t="n">
        <v>0.1770316718</v>
      </c>
      <c r="M153" s="153" t="n">
        <v>0.0633088644</v>
      </c>
      <c r="N153" s="153" t="n">
        <v>0.1167788384</v>
      </c>
      <c r="O153" s="153" t="n">
        <v>-0.0097331437</v>
      </c>
      <c r="P153" s="153" t="n">
        <v>0.0831124358</v>
      </c>
      <c r="Q153" s="153" t="n">
        <v>0.0945554223</v>
      </c>
      <c r="R153" s="154" t="n">
        <v>0.0369177244</v>
      </c>
      <c r="S153" s="155" t="n">
        <v>0.0752827667</v>
      </c>
      <c r="T153" s="92" t="n">
        <v>0.0002</v>
      </c>
    </row>
    <row r="154">
      <c r="F154" s="152" t="inlineStr">
        <is>
          <t>2022-12</t>
        </is>
      </c>
      <c r="G154" s="153" t="n">
        <v>0.016666519</v>
      </c>
      <c r="H154" s="153" t="n">
        <v>-0.0033689429</v>
      </c>
      <c r="I154" s="153" t="n">
        <v>-0.0880117188</v>
      </c>
      <c r="J154" s="153" t="n">
        <v>-0.0169729004</v>
      </c>
      <c r="K154" s="153" t="n">
        <v>-0.077961577</v>
      </c>
      <c r="L154" s="153" t="n">
        <v>-0.06320911880000001</v>
      </c>
      <c r="M154" s="153" t="n">
        <v>-0.0142846448</v>
      </c>
      <c r="N154" s="153" t="n">
        <v>-0.1015511858</v>
      </c>
      <c r="O154" s="153" t="n">
        <v>0.0388528009</v>
      </c>
      <c r="P154" s="153" t="n">
        <v>-0.0590267787</v>
      </c>
      <c r="Q154" s="153" t="n">
        <v>-0.0275245547</v>
      </c>
      <c r="R154" s="154" t="n">
        <v>-0.0242084113</v>
      </c>
      <c r="S154" s="155" t="n">
        <v>-0.0392948107</v>
      </c>
      <c r="T154" s="92" t="n">
        <v>0.0002</v>
      </c>
    </row>
    <row r="155">
      <c r="F155" s="152" t="inlineStr">
        <is>
          <t>2023-01</t>
        </is>
      </c>
      <c r="G155" s="153" t="n">
        <v>0.0344082728</v>
      </c>
      <c r="H155" s="153" t="n">
        <v>0.1812206303</v>
      </c>
      <c r="I155" s="153" t="n">
        <v>0.1151009529</v>
      </c>
      <c r="J155" s="153" t="n">
        <v>0.0219379301</v>
      </c>
      <c r="K155" s="153" t="n">
        <v>-0.0274871589</v>
      </c>
      <c r="L155" s="153" t="n">
        <v>0.1865051455</v>
      </c>
      <c r="M155" s="153" t="n">
        <v>0.0334695117</v>
      </c>
      <c r="N155" s="153" t="n">
        <v>0.1907274141</v>
      </c>
      <c r="O155" s="153" t="n">
        <v>-0.0018921215</v>
      </c>
      <c r="P155" s="153" t="n">
        <v>0.1346390479</v>
      </c>
      <c r="Q155" s="153" t="n">
        <v>-0.0116538935</v>
      </c>
      <c r="R155" s="154" t="n">
        <v>0.1109442211</v>
      </c>
      <c r="S155" s="155" t="n">
        <v>0.0940195772</v>
      </c>
      <c r="T155" s="92" t="n">
        <v>0.0002</v>
      </c>
    </row>
    <row r="156">
      <c r="F156" s="152" t="inlineStr">
        <is>
          <t>2023-02</t>
        </is>
      </c>
      <c r="G156" s="153" t="n">
        <v>0.07993732789999999</v>
      </c>
      <c r="H156" s="153" t="n">
        <v>0.051669431</v>
      </c>
      <c r="I156" s="153" t="n">
        <v>0.0227142252</v>
      </c>
      <c r="J156" s="153" t="n">
        <v>0.0582388955</v>
      </c>
      <c r="K156" s="153" t="n">
        <v>0.06267284350000001</v>
      </c>
      <c r="L156" s="153" t="n">
        <v>0.0005832385</v>
      </c>
      <c r="M156" s="153" t="n">
        <v>0.0410742219</v>
      </c>
      <c r="N156" s="153" t="n">
        <v>0.1404405081</v>
      </c>
      <c r="O156" s="153" t="n">
        <v>-0.008698552199999999</v>
      </c>
      <c r="P156" s="153" t="n">
        <v>0.0256200993</v>
      </c>
      <c r="Q156" s="153" t="n">
        <v>0.0401414809</v>
      </c>
      <c r="R156" s="154" t="n">
        <v>0.040524878</v>
      </c>
      <c r="S156" s="155" t="n">
        <v>0.0261930606</v>
      </c>
      <c r="T156" s="92" t="n">
        <v>0.0002</v>
      </c>
    </row>
    <row r="157">
      <c r="F157" s="152" t="inlineStr">
        <is>
          <t>2023-03</t>
        </is>
      </c>
      <c r="G157" s="153" t="n">
        <v>-0.0059667881</v>
      </c>
      <c r="H157" s="153" t="n">
        <v>-0.1653817704</v>
      </c>
      <c r="I157" s="153" t="n">
        <v>-0.0399211681</v>
      </c>
      <c r="J157" s="153" t="n">
        <v>0.0764462078</v>
      </c>
      <c r="K157" s="153" t="n">
        <v>0.0533390667</v>
      </c>
      <c r="L157" s="153" t="n">
        <v>0.0887450601</v>
      </c>
      <c r="M157" s="153" t="n">
        <v>0.0556398112</v>
      </c>
      <c r="N157" s="153" t="n">
        <v>-0.1146694254</v>
      </c>
      <c r="O157" s="153" t="n">
        <v>0.1276858748</v>
      </c>
      <c r="P157" s="153" t="n">
        <v>0.0102549481</v>
      </c>
      <c r="Q157" s="153" t="n">
        <v>-0.0718797794</v>
      </c>
      <c r="R157" s="154" t="n">
        <v>-0.0196586745</v>
      </c>
      <c r="S157" s="155" t="n">
        <v>0.0074931871</v>
      </c>
      <c r="T157" s="92" t="n">
        <v>0.0002</v>
      </c>
    </row>
    <row r="158">
      <c r="F158" s="152" t="inlineStr">
        <is>
          <t>2023-04</t>
        </is>
      </c>
      <c r="G158" s="153" t="n">
        <v>0.031310823</v>
      </c>
      <c r="H158" s="153" t="n">
        <v>0.061220852</v>
      </c>
      <c r="I158" s="153" t="n">
        <v>-0.0342605883</v>
      </c>
      <c r="J158" s="153" t="n">
        <v>0.0467632942</v>
      </c>
      <c r="K158" s="153" t="n">
        <v>-0.0039797562</v>
      </c>
      <c r="L158" s="153" t="n">
        <v>0.0551502262</v>
      </c>
      <c r="M158" s="153" t="n">
        <v>0.0033542292</v>
      </c>
      <c r="N158" s="153" t="n">
        <v>-0.1055849506</v>
      </c>
      <c r="O158" s="153" t="n">
        <v>-0.0023942792</v>
      </c>
      <c r="P158" s="153" t="n">
        <v>0.0269392198</v>
      </c>
      <c r="Q158" s="153" t="n">
        <v>0.07934652289999999</v>
      </c>
      <c r="R158" s="154" t="n">
        <v>0.0612939657</v>
      </c>
      <c r="S158" s="155" t="n">
        <v>0.0230948994</v>
      </c>
      <c r="T158" s="92" t="n">
        <v>0.0002</v>
      </c>
    </row>
    <row r="159">
      <c r="F159" s="152" t="inlineStr">
        <is>
          <t>2023-05</t>
        </is>
      </c>
      <c r="G159" s="153" t="n">
        <v>-0.0224596111</v>
      </c>
      <c r="H159" s="153" t="n">
        <v>-0.078170349</v>
      </c>
      <c r="I159" s="153" t="n">
        <v>-0.0127349598</v>
      </c>
      <c r="J159" s="153" t="n">
        <v>-0.0775129559</v>
      </c>
      <c r="K159" s="153" t="n">
        <v>0.0640257842</v>
      </c>
      <c r="L159" s="153" t="n">
        <v>-0.0284659592</v>
      </c>
      <c r="M159" s="153" t="n">
        <v>-0.0348615288</v>
      </c>
      <c r="N159" s="153" t="n">
        <v>-0.0697294863</v>
      </c>
      <c r="O159" s="153" t="n">
        <v>-0.0511999083</v>
      </c>
      <c r="P159" s="153" t="n">
        <v>0.0223038607</v>
      </c>
      <c r="Q159" s="153" t="n">
        <v>-0.083879784</v>
      </c>
      <c r="R159" s="154" t="n">
        <v>-0.0261037576</v>
      </c>
      <c r="S159" s="155" t="n">
        <v>-0.0524327311</v>
      </c>
      <c r="T159" s="92" t="n">
        <v>0.0002</v>
      </c>
    </row>
    <row r="160">
      <c r="F160" s="152" t="inlineStr">
        <is>
          <t>2023-06</t>
        </is>
      </c>
      <c r="G160" s="153" t="n">
        <v>0.08013704150000001</v>
      </c>
      <c r="H160" s="153" t="n">
        <v>0.1431842354</v>
      </c>
      <c r="I160" s="153" t="n">
        <v>0.0884928254</v>
      </c>
      <c r="J160" s="153" t="n">
        <v>0.0491503045</v>
      </c>
      <c r="K160" s="153" t="n">
        <v>0.0844608739</v>
      </c>
      <c r="L160" s="153" t="n">
        <v>0.0463770827</v>
      </c>
      <c r="M160" s="153" t="n">
        <v>0.0014843503</v>
      </c>
      <c r="N160" s="153" t="n">
        <v>0.2427015574</v>
      </c>
      <c r="O160" s="153" t="n">
        <v>0.07361785749999999</v>
      </c>
      <c r="P160" s="153" t="n">
        <v>0.0526142065</v>
      </c>
      <c r="Q160" s="153" t="n">
        <v>-0.0099850583</v>
      </c>
      <c r="R160" s="154" t="n">
        <v>0.0005642546</v>
      </c>
      <c r="S160" s="155" t="n">
        <v>0.0424528231</v>
      </c>
      <c r="T160" s="92" t="n">
        <v>0.0002</v>
      </c>
    </row>
    <row r="161">
      <c r="F161" s="152" t="inlineStr">
        <is>
          <t>2023-07</t>
        </is>
      </c>
      <c r="G161" s="153" t="n">
        <v>0.0122393397</v>
      </c>
      <c r="H161" s="153" t="n">
        <v>0.0398475434</v>
      </c>
      <c r="I161" s="153" t="n">
        <v>-0.0501295956</v>
      </c>
      <c r="J161" s="153" t="n">
        <v>-0.0108658141</v>
      </c>
      <c r="K161" s="153" t="n">
        <v>-0.0207511769</v>
      </c>
      <c r="L161" s="153" t="n">
        <v>0.0133167217</v>
      </c>
      <c r="M161" s="153" t="n">
        <v>-0.0088933272</v>
      </c>
      <c r="N161" s="153" t="n">
        <v>0.0343442581</v>
      </c>
      <c r="O161" s="153" t="n">
        <v>-0.0113034573</v>
      </c>
      <c r="P161" s="153" t="n">
        <v>-0.0265529321</v>
      </c>
      <c r="Q161" s="153" t="n">
        <v>0.06641477630000001</v>
      </c>
      <c r="R161" s="154" t="n">
        <v>0.0037600072</v>
      </c>
      <c r="S161" s="155" t="n">
        <v>0.0132052613</v>
      </c>
      <c r="T161" s="92" t="n">
        <v>0.0002</v>
      </c>
    </row>
    <row r="162">
      <c r="F162" s="152" t="inlineStr">
        <is>
          <t>2023-08</t>
        </is>
      </c>
      <c r="G162" s="153" t="n">
        <v>0.0104493934</v>
      </c>
      <c r="H162" s="153" t="n">
        <v>-0.0051649872</v>
      </c>
      <c r="I162" s="153" t="n">
        <v>0.0454959466</v>
      </c>
      <c r="J162" s="153" t="n">
        <v>-0.0306140087</v>
      </c>
      <c r="K162" s="153" t="n">
        <v>-0.0014752904</v>
      </c>
      <c r="L162" s="153" t="n">
        <v>-0.0573766441</v>
      </c>
      <c r="M162" s="153" t="n">
        <v>-0.0875044696</v>
      </c>
      <c r="N162" s="153" t="n">
        <v>-0.06440312419999999</v>
      </c>
      <c r="O162" s="153" t="n">
        <v>0.0159646</v>
      </c>
      <c r="P162" s="153" t="n">
        <v>-0.0213526715</v>
      </c>
      <c r="Q162" s="153" t="n">
        <v>0.0508505901</v>
      </c>
      <c r="R162" s="154" t="n">
        <v>-0.0357743171</v>
      </c>
      <c r="S162" s="155" t="n">
        <v>-0.0241510947</v>
      </c>
      <c r="T162" s="92" t="n">
        <v>0.0002</v>
      </c>
    </row>
    <row r="163">
      <c r="F163" s="152" t="inlineStr">
        <is>
          <t>2023-09</t>
        </is>
      </c>
      <c r="G163" s="153" t="n">
        <v>-0.0620475786</v>
      </c>
      <c r="H163" s="153" t="n">
        <v>0.0120582362</v>
      </c>
      <c r="I163" s="153" t="n">
        <v>-0.0380040222</v>
      </c>
      <c r="J163" s="153" t="n">
        <v>-0.0291659025</v>
      </c>
      <c r="K163" s="153" t="n">
        <v>-0.0241774028</v>
      </c>
      <c r="L163" s="153" t="n">
        <v>-0.0899622049</v>
      </c>
      <c r="M163" s="153" t="n">
        <v>-0.1288629649</v>
      </c>
      <c r="N163" s="153" t="n">
        <v>0.0412482068</v>
      </c>
      <c r="O163" s="153" t="n">
        <v>0.0287915843</v>
      </c>
      <c r="P163" s="153" t="n">
        <v>-0.0100895588</v>
      </c>
      <c r="Q163" s="153" t="n">
        <v>0.07301536779999999</v>
      </c>
      <c r="R163" s="154" t="n">
        <v>0.0200076809</v>
      </c>
      <c r="S163" s="155" t="n">
        <v>-0.0248254175</v>
      </c>
      <c r="T163" s="92" t="n">
        <v>0.0002</v>
      </c>
    </row>
    <row r="164">
      <c r="F164" s="152" t="inlineStr">
        <is>
          <t>2023-10</t>
        </is>
      </c>
      <c r="G164" s="153" t="n">
        <v>-0.0055127808</v>
      </c>
      <c r="H164" s="153" t="n">
        <v>-0.1016051873</v>
      </c>
      <c r="I164" s="153" t="n">
        <v>0.0042219142</v>
      </c>
      <c r="J164" s="153" t="n">
        <v>0.0744354694</v>
      </c>
      <c r="K164" s="153" t="n">
        <v>0.032622214</v>
      </c>
      <c r="L164" s="153" t="n">
        <v>0.0172274643</v>
      </c>
      <c r="M164" s="153" t="n">
        <v>0.0611339316</v>
      </c>
      <c r="N164" s="153" t="n">
        <v>-0.1498392047</v>
      </c>
      <c r="O164" s="153" t="n">
        <v>-0.1554986809</v>
      </c>
      <c r="P164" s="153" t="n">
        <v>-0.0764429155</v>
      </c>
      <c r="Q164" s="153" t="n">
        <v>0.0263311443</v>
      </c>
      <c r="R164" s="154" t="n">
        <v>-0.0051418911</v>
      </c>
      <c r="S164" s="155" t="n">
        <v>-0.0349555791</v>
      </c>
      <c r="T164" s="92" t="n">
        <v>0.0002</v>
      </c>
    </row>
    <row r="165">
      <c r="F165" s="152" t="inlineStr">
        <is>
          <t>2023-11</t>
        </is>
      </c>
      <c r="G165" s="153" t="n">
        <v>0.078555668</v>
      </c>
      <c r="H165" s="153" t="n">
        <v>0.0641002488</v>
      </c>
      <c r="I165" s="153" t="n">
        <v>0.1291289655</v>
      </c>
      <c r="J165" s="153" t="n">
        <v>0.050222652</v>
      </c>
      <c r="K165" s="153" t="n">
        <v>0.0609170701</v>
      </c>
      <c r="L165" s="153" t="n">
        <v>0.0821778038</v>
      </c>
      <c r="M165" s="153" t="n">
        <v>-0.05343283</v>
      </c>
      <c r="N165" s="153" t="n">
        <v>0.0889561261</v>
      </c>
      <c r="O165" s="153" t="n">
        <v>-0.0028004241</v>
      </c>
      <c r="P165" s="153" t="n">
        <v>0.1630569448</v>
      </c>
      <c r="Q165" s="153" t="n">
        <v>-0.0148735384</v>
      </c>
      <c r="R165" s="154" t="n">
        <v>0.07484691860000001</v>
      </c>
      <c r="S165" s="155" t="n">
        <v>0.0617400134</v>
      </c>
      <c r="T165" s="92" t="n">
        <v>0.0002</v>
      </c>
    </row>
    <row r="166">
      <c r="F166" s="152" t="inlineStr">
        <is>
          <t>2023-12</t>
        </is>
      </c>
      <c r="G166" s="153" t="n">
        <v>0.0262848841</v>
      </c>
      <c r="H166" s="153" t="n">
        <v>0.0834343112</v>
      </c>
      <c r="I166" s="153" t="n">
        <v>0.003989418</v>
      </c>
      <c r="J166" s="153" t="n">
        <v>-0.0049177397</v>
      </c>
      <c r="K166" s="153" t="n">
        <v>0</v>
      </c>
      <c r="L166" s="153" t="n">
        <v>0.0076672769</v>
      </c>
      <c r="M166" s="153" t="n">
        <v>0.0237229699</v>
      </c>
      <c r="N166" s="153" t="n">
        <v>0.0254237083</v>
      </c>
      <c r="O166" s="153" t="n">
        <v>0.0503158953</v>
      </c>
      <c r="P166" s="153" t="n">
        <v>0.0780452759</v>
      </c>
      <c r="Q166" s="153" t="n">
        <v>-0.0106006433</v>
      </c>
      <c r="R166" s="154" t="n">
        <v>0.0224910499</v>
      </c>
      <c r="S166" s="155" t="n">
        <v>0.0317901063</v>
      </c>
      <c r="T166" s="92" t="n">
        <v>0.0002</v>
      </c>
    </row>
    <row r="167">
      <c r="F167" s="152" t="inlineStr">
        <is>
          <t>2024-01</t>
        </is>
      </c>
      <c r="G167" s="153" t="n">
        <v>0.05737583</v>
      </c>
      <c r="H167" s="153" t="n">
        <v>-0.0006391183</v>
      </c>
      <c r="I167" s="153" t="n">
        <v>0.0977483301</v>
      </c>
      <c r="J167" s="153" t="n">
        <v>0.0521472965</v>
      </c>
      <c r="K167" s="153" t="n">
        <v>-0.06960673100000001</v>
      </c>
      <c r="L167" s="153" t="n">
        <v>0.0203252142</v>
      </c>
      <c r="M167" s="153" t="n">
        <v>-0.0453834959</v>
      </c>
      <c r="N167" s="153" t="n">
        <v>-0.0497222674</v>
      </c>
      <c r="O167" s="153" t="n">
        <v>0.0401069268</v>
      </c>
      <c r="P167" s="153" t="n">
        <v>0.006161224</v>
      </c>
      <c r="Q167" s="153" t="n">
        <v>-0.0243506567</v>
      </c>
      <c r="R167" s="154" t="n">
        <v>0.0297273189</v>
      </c>
      <c r="S167" s="155" t="n">
        <v>0.0150559607</v>
      </c>
      <c r="T167" s="92" t="n">
        <v>0.0002</v>
      </c>
    </row>
    <row r="168">
      <c r="F168" s="152" t="inlineStr">
        <is>
          <t>2024-02</t>
        </is>
      </c>
      <c r="G168" s="153" t="n">
        <v>0.0347768171</v>
      </c>
      <c r="H168" s="153" t="n">
        <v>-0.1146281737</v>
      </c>
      <c r="I168" s="153" t="n">
        <v>0.08445946209999999</v>
      </c>
      <c r="J168" s="153" t="n">
        <v>-0.0440557559</v>
      </c>
      <c r="K168" s="153" t="n">
        <v>0.001755643</v>
      </c>
      <c r="L168" s="153" t="n">
        <v>0.1814281927</v>
      </c>
      <c r="M168" s="153" t="n">
        <v>0.0134426431</v>
      </c>
      <c r="N168" s="153" t="n">
        <v>0.09865982149999999</v>
      </c>
      <c r="O168" s="153" t="n">
        <v>-0.0585903292</v>
      </c>
      <c r="P168" s="153" t="n">
        <v>0.1470750783</v>
      </c>
      <c r="Q168" s="153" t="n">
        <v>-0.0065347974</v>
      </c>
      <c r="R168" s="154" t="n">
        <v>0.0112743648</v>
      </c>
      <c r="S168" s="155" t="n">
        <v>0.0353518367</v>
      </c>
      <c r="T168" s="92" t="n">
        <v>0.0002</v>
      </c>
    </row>
    <row r="169">
      <c r="F169" s="152" t="inlineStr">
        <is>
          <t>2024-03</t>
        </is>
      </c>
      <c r="G169" s="153" t="n">
        <v>0.1162547351</v>
      </c>
      <c r="H169" s="153" t="n">
        <v>0.1892378104</v>
      </c>
      <c r="I169" s="153" t="n">
        <v>-0.0507342972</v>
      </c>
      <c r="J169" s="153" t="n">
        <v>0.0147407203</v>
      </c>
      <c r="K169" s="153" t="n">
        <v>0.0454299708</v>
      </c>
      <c r="L169" s="153" t="n">
        <v>0.0245546395</v>
      </c>
      <c r="M169" s="153" t="n">
        <v>-0.0297639433</v>
      </c>
      <c r="N169" s="153" t="n">
        <v>0.2145081607</v>
      </c>
      <c r="O169" s="153" t="n">
        <v>0.0349300614</v>
      </c>
      <c r="P169" s="153" t="n">
        <v>-0.0007149557</v>
      </c>
      <c r="Q169" s="153" t="n">
        <v>0.075945157</v>
      </c>
      <c r="R169" s="154" t="n">
        <v>0.0030405269</v>
      </c>
      <c r="S169" s="155" t="n">
        <v>0.0351159693</v>
      </c>
      <c r="T169" s="92" t="n">
        <v>0.0002</v>
      </c>
    </row>
    <row r="170">
      <c r="F170" s="152" t="inlineStr">
        <is>
          <t>2024-04</t>
        </is>
      </c>
      <c r="G170" s="153" t="n">
        <v>-0.0939551238</v>
      </c>
      <c r="H170" s="153" t="n">
        <v>0.0265716137</v>
      </c>
      <c r="I170" s="153" t="n">
        <v>-0.0721987974</v>
      </c>
      <c r="J170" s="153" t="n">
        <v>-0.020537648</v>
      </c>
      <c r="K170" s="153" t="n">
        <v>0.0490006846</v>
      </c>
      <c r="L170" s="153" t="n">
        <v>-0.0486052227</v>
      </c>
      <c r="M170" s="153" t="n">
        <v>-0.0530177215</v>
      </c>
      <c r="N170" s="153" t="n">
        <v>-0.0011752177</v>
      </c>
      <c r="O170" s="153" t="n">
        <v>0.0233068962</v>
      </c>
      <c r="P170" s="153" t="n">
        <v>0.025995718</v>
      </c>
      <c r="Q170" s="153" t="n">
        <v>0.0932496655</v>
      </c>
      <c r="R170" s="154" t="n">
        <v>-0.07165714989999999</v>
      </c>
      <c r="S170" s="155" t="n">
        <v>-0.0269174409</v>
      </c>
      <c r="T170" s="92" t="n">
        <v>0.0002</v>
      </c>
    </row>
    <row r="171">
      <c r="F171" s="152" t="inlineStr">
        <is>
          <t>2024-05</t>
        </is>
      </c>
      <c r="G171" s="153" t="n">
        <v>0.0254375756</v>
      </c>
      <c r="H171" s="153" t="n">
        <v>0.0013310054</v>
      </c>
      <c r="I171" s="153" t="n">
        <v>-0.0621525664</v>
      </c>
      <c r="J171" s="153" t="n">
        <v>0.0078418282</v>
      </c>
      <c r="K171" s="153" t="n">
        <v>-0.0451751813</v>
      </c>
      <c r="L171" s="153" t="n">
        <v>-0.0333185946</v>
      </c>
      <c r="M171" s="153" t="n">
        <v>-0.0355632974</v>
      </c>
      <c r="N171" s="153" t="n">
        <v>0.1463414307</v>
      </c>
      <c r="O171" s="153" t="n">
        <v>-0.0356682784</v>
      </c>
      <c r="P171" s="153" t="n">
        <v>0.0574151232</v>
      </c>
      <c r="Q171" s="153" t="n">
        <v>-0.023035319</v>
      </c>
      <c r="R171" s="154" t="n">
        <v>0.07062404329999999</v>
      </c>
      <c r="S171" s="155" t="n">
        <v>0.0009943657999999999</v>
      </c>
      <c r="T171" s="92" t="n">
        <v>0.0002</v>
      </c>
    </row>
    <row r="172">
      <c r="F172" s="152" t="inlineStr">
        <is>
          <t>2024-06</t>
        </is>
      </c>
      <c r="G172" s="153" t="n">
        <v>-0.1772931243</v>
      </c>
      <c r="H172" s="153" t="n">
        <v>-0.0614571384</v>
      </c>
      <c r="I172" s="153" t="n">
        <v>0.0169965754</v>
      </c>
      <c r="J172" s="153" t="n">
        <v>0.0008414942</v>
      </c>
      <c r="K172" s="153" t="n">
        <v>-0.0589008199</v>
      </c>
      <c r="L172" s="153" t="n">
        <v>-0.0070601482</v>
      </c>
      <c r="M172" s="153" t="n">
        <v>-0.0748448892</v>
      </c>
      <c r="N172" s="153" t="n">
        <v>-0.07229599940000001</v>
      </c>
      <c r="O172" s="153" t="n">
        <v>0.0436034897</v>
      </c>
      <c r="P172" s="153" t="n">
        <v>0.0008914324</v>
      </c>
      <c r="Q172" s="153" t="n">
        <v>-0.06984044440000001</v>
      </c>
      <c r="R172" s="154" t="n">
        <v>-0.1404106771</v>
      </c>
      <c r="S172" s="155" t="n">
        <v>-0.06424103070000001</v>
      </c>
      <c r="T172" s="92" t="n">
        <v>0.0002</v>
      </c>
    </row>
    <row r="173">
      <c r="F173" s="152" t="inlineStr">
        <is>
          <t>2024-07</t>
        </is>
      </c>
      <c r="G173" s="153" t="n">
        <v>0.0912210561</v>
      </c>
      <c r="H173" s="153" t="n">
        <v>0.0660171188</v>
      </c>
      <c r="I173" s="153" t="n">
        <v>-0.0113085318</v>
      </c>
      <c r="J173" s="153" t="n">
        <v>0.0539593353</v>
      </c>
      <c r="K173" s="153" t="n">
        <v>0.0903636563</v>
      </c>
      <c r="L173" s="153" t="n">
        <v>-0.0546729562</v>
      </c>
      <c r="M173" s="153" t="n">
        <v>-0.0213100205</v>
      </c>
      <c r="N173" s="153" t="n">
        <v>-0.0627089369</v>
      </c>
      <c r="O173" s="153" t="n">
        <v>0.0599287992</v>
      </c>
      <c r="P173" s="153" t="n">
        <v>-0.0064645317</v>
      </c>
      <c r="Q173" s="153" t="n">
        <v>0.0151646681</v>
      </c>
      <c r="R173" s="154" t="n">
        <v>0.07338896239999999</v>
      </c>
      <c r="S173" s="155" t="n">
        <v>0.0069645069</v>
      </c>
      <c r="T173" s="92" t="n">
        <v>0.0002</v>
      </c>
    </row>
    <row r="174">
      <c r="F174" s="152" t="inlineStr">
        <is>
          <t>2024-08</t>
        </is>
      </c>
      <c r="G174" s="153" t="n">
        <v>-0.008145194999999999</v>
      </c>
      <c r="H174" s="153" t="n">
        <v>-0.0138669313</v>
      </c>
      <c r="I174" s="153" t="n">
        <v>0.02124186</v>
      </c>
      <c r="J174" s="153" t="n">
        <v>0.0438829151</v>
      </c>
      <c r="K174" s="153" t="n">
        <v>0.095598424</v>
      </c>
      <c r="L174" s="153" t="n">
        <v>0.07217008010000001</v>
      </c>
      <c r="M174" s="153" t="n">
        <v>0.0585791335</v>
      </c>
      <c r="N174" s="153" t="n">
        <v>-0.0421499117</v>
      </c>
      <c r="O174" s="153" t="n">
        <v>0.0615755743</v>
      </c>
      <c r="P174" s="153" t="n">
        <v>0.0307381903</v>
      </c>
      <c r="Q174" s="153" t="n">
        <v>-0.0046414659</v>
      </c>
      <c r="R174" s="154" t="n">
        <v>0.0241477792</v>
      </c>
      <c r="S174" s="155" t="n">
        <v>0.0132058806</v>
      </c>
      <c r="T174" s="92" t="n">
        <v>0.0002</v>
      </c>
    </row>
    <row r="175">
      <c r="F175" s="152" t="inlineStr">
        <is>
          <t>2024-09</t>
        </is>
      </c>
      <c r="G175" s="153" t="n">
        <v>-0.0547471507</v>
      </c>
      <c r="H175" s="153" t="n">
        <v>-0.0164590576</v>
      </c>
      <c r="I175" s="153" t="n">
        <v>0.0343999484</v>
      </c>
      <c r="J175" s="153" t="n">
        <v>0.0404458532</v>
      </c>
      <c r="K175" s="153" t="n">
        <v>-0.0260514213</v>
      </c>
      <c r="L175" s="153" t="n">
        <v>0.0170585472</v>
      </c>
      <c r="M175" s="153" t="n">
        <v>0.0527950743</v>
      </c>
      <c r="N175" s="153" t="n">
        <v>-0.0922001792</v>
      </c>
      <c r="O175" s="153" t="n">
        <v>0.0167984508</v>
      </c>
      <c r="P175" s="153" t="n">
        <v>0.0282977174</v>
      </c>
      <c r="Q175" s="153" t="n">
        <v>-0.0593341865</v>
      </c>
      <c r="R175" s="154" t="n">
        <v>-0.0295886325</v>
      </c>
      <c r="S175" s="155" t="n">
        <v>0.0006289917</v>
      </c>
      <c r="T175" s="92" t="n">
        <v>0.0002</v>
      </c>
    </row>
    <row r="176">
      <c r="F176" s="152" t="inlineStr">
        <is>
          <t>2024-10</t>
        </is>
      </c>
      <c r="G176" s="153" t="n">
        <v>0.06812980790000001</v>
      </c>
      <c r="H176" s="153" t="n">
        <v>0.0194964173</v>
      </c>
      <c r="I176" s="153" t="n">
        <v>-0.1791699177</v>
      </c>
      <c r="J176" s="153" t="n">
        <v>0.0055096371</v>
      </c>
      <c r="K176" s="153" t="n">
        <v>-0.0064453837</v>
      </c>
      <c r="L176" s="153" t="n">
        <v>-0.0598368551</v>
      </c>
      <c r="M176" s="153" t="n">
        <v>-0.157448414</v>
      </c>
      <c r="N176" s="153" t="n">
        <v>0.0746345382</v>
      </c>
      <c r="O176" s="153" t="n">
        <v>-0.056268183</v>
      </c>
      <c r="P176" s="153" t="n">
        <v>0.0042337785</v>
      </c>
      <c r="Q176" s="153" t="n">
        <v>-0.0062829284</v>
      </c>
      <c r="R176" s="154" t="n">
        <v>-0.021438647</v>
      </c>
      <c r="S176" s="155" t="n">
        <v>-0.0373741784</v>
      </c>
      <c r="T176" s="92" t="n">
        <v>0.0002</v>
      </c>
    </row>
    <row r="177">
      <c r="F177" s="152" t="inlineStr">
        <is>
          <t>2024-11</t>
        </is>
      </c>
      <c r="G177" s="153" t="n">
        <v>0.0527967425</v>
      </c>
      <c r="H177" s="153" t="n">
        <v>-0.097370541</v>
      </c>
      <c r="I177" s="153" t="n">
        <v>-0.0458543178</v>
      </c>
      <c r="J177" s="153" t="n">
        <v>-0.0158293977</v>
      </c>
      <c r="K177" s="153" t="n">
        <v>-0.0214077756</v>
      </c>
      <c r="L177" s="153" t="n">
        <v>-0.0043394088</v>
      </c>
      <c r="M177" s="153" t="n">
        <v>-0.07308534999999999</v>
      </c>
      <c r="N177" s="153" t="n">
        <v>-0.03269701</v>
      </c>
      <c r="O177" s="153" t="n">
        <v>-0.0516940168</v>
      </c>
      <c r="P177" s="153" t="n">
        <v>0.0265597754</v>
      </c>
      <c r="Q177" s="153" t="n">
        <v>-0.0423344849</v>
      </c>
      <c r="R177" s="154" t="n">
        <v>-0.0180442848</v>
      </c>
      <c r="S177" s="155" t="n">
        <v>-0.0156808776</v>
      </c>
      <c r="T177" s="92" t="n">
        <v>0.0002</v>
      </c>
    </row>
    <row r="178">
      <c r="F178" s="152" t="inlineStr">
        <is>
          <t>2024-12</t>
        </is>
      </c>
      <c r="G178" s="153" t="n">
        <v>0.0489292829</v>
      </c>
      <c r="H178" s="153" t="n">
        <v>0.0455508402</v>
      </c>
      <c r="I178" s="153" t="n">
        <v>0.0411456126</v>
      </c>
      <c r="J178" s="153" t="n">
        <v>0.0071141423</v>
      </c>
      <c r="K178" s="153" t="n">
        <v>0.0149155351</v>
      </c>
      <c r="L178" s="153" t="n">
        <v>0.1244552249</v>
      </c>
      <c r="M178" s="153" t="n">
        <v>0.0524636242</v>
      </c>
      <c r="N178" s="153" t="n">
        <v>0.1608685236</v>
      </c>
      <c r="O178" s="153" t="n">
        <v>0.0179172671</v>
      </c>
      <c r="P178" s="153" t="n">
        <v>-0.0106775953</v>
      </c>
      <c r="Q178" s="153" t="n">
        <v>-0.0291067815</v>
      </c>
      <c r="R178" s="154" t="n">
        <v>-0.0012016809</v>
      </c>
      <c r="S178" s="155" t="n">
        <v>0.0201282875</v>
      </c>
      <c r="T178" s="92" t="n">
        <v>0.0002</v>
      </c>
    </row>
    <row r="179">
      <c r="F179" s="152" t="inlineStr">
        <is>
          <t>2025-01</t>
        </is>
      </c>
      <c r="G179" s="153" t="n">
        <v>0.0797260189</v>
      </c>
      <c r="H179" s="153" t="n">
        <v>0.1097602209</v>
      </c>
      <c r="I179" s="153" t="n">
        <v>0.1125513393</v>
      </c>
      <c r="J179" s="153" t="n">
        <v>0.0362407775</v>
      </c>
      <c r="K179" s="153" t="n">
        <v>0.0395165577</v>
      </c>
      <c r="L179" s="153" t="n">
        <v>0.1731266566</v>
      </c>
      <c r="M179" s="153" t="n">
        <v>0.0110091522</v>
      </c>
      <c r="N179" s="153" t="n">
        <v>0.0552603503</v>
      </c>
      <c r="O179" s="153" t="n">
        <v>0.113718845</v>
      </c>
      <c r="P179" s="153" t="n">
        <v>0.0184724057</v>
      </c>
      <c r="Q179" s="153" t="n">
        <v>0.0565860404</v>
      </c>
      <c r="R179" s="154" t="n">
        <v>0.0477239699</v>
      </c>
      <c r="S179" s="155" t="n">
        <v>0.0771507558</v>
      </c>
      <c r="T179" s="92" t="n">
        <v>0.0002</v>
      </c>
    </row>
    <row r="180">
      <c r="F180" s="152" t="inlineStr">
        <is>
          <t>2025-02</t>
        </is>
      </c>
      <c r="G180" s="153" t="n">
        <v>-0.0084967972</v>
      </c>
      <c r="H180" s="153" t="n">
        <v>0.1086427403</v>
      </c>
      <c r="I180" s="153" t="n">
        <v>-0.1523160147</v>
      </c>
      <c r="J180" s="153" t="n">
        <v>0.0204504032</v>
      </c>
      <c r="K180" s="153" t="n">
        <v>0.0832548041</v>
      </c>
      <c r="L180" s="153" t="n">
        <v>0.0047723326</v>
      </c>
      <c r="M180" s="153" t="n">
        <v>-0.0630670955</v>
      </c>
      <c r="N180" s="153" t="n">
        <v>0.0038267878</v>
      </c>
      <c r="O180" s="153" t="n">
        <v>-0.0003831576</v>
      </c>
      <c r="P180" s="153" t="n">
        <v>-0.0464642825</v>
      </c>
      <c r="Q180" s="153" t="n">
        <v>0.0400448848</v>
      </c>
      <c r="R180" s="154" t="n">
        <v>0.0631579812</v>
      </c>
      <c r="S180" s="155" t="n">
        <v>0.020308995</v>
      </c>
      <c r="T180" s="92" t="n">
        <v>0.0002</v>
      </c>
    </row>
    <row r="181">
      <c r="F181" s="152" t="inlineStr">
        <is>
          <t>2025-03</t>
        </is>
      </c>
      <c r="G181" s="153" t="n">
        <v>-0.0176222543</v>
      </c>
      <c r="H181" s="153" t="n">
        <v>0.0555860971</v>
      </c>
      <c r="I181" s="153" t="n">
        <v>-0.0744217395</v>
      </c>
      <c r="J181" s="153" t="n">
        <v>0.0287540268</v>
      </c>
      <c r="K181" s="153" t="n">
        <v>0.0461136957</v>
      </c>
      <c r="L181" s="153" t="n">
        <v>-0.1180211972</v>
      </c>
      <c r="M181" s="153" t="n">
        <v>-0.1161259482</v>
      </c>
      <c r="N181" s="153" t="n">
        <v>-0.0660112544</v>
      </c>
      <c r="O181" s="153" t="n">
        <v>-0.0233806876</v>
      </c>
      <c r="P181" s="153" t="n">
        <v>-0.0991663824</v>
      </c>
      <c r="Q181" s="153" t="n">
        <v>0.0325371601</v>
      </c>
      <c r="R181" s="154" t="n">
        <v>0.0468047475</v>
      </c>
      <c r="S181" s="155" t="n">
        <v>-0.0395629394</v>
      </c>
      <c r="T181" s="92" t="n">
        <v>0.0002</v>
      </c>
    </row>
    <row r="182">
      <c r="F182" s="152" t="inlineStr">
        <is>
          <t>2025-04</t>
        </is>
      </c>
      <c r="G182" s="153" t="n">
        <v>-0.0960805753</v>
      </c>
      <c r="H182" s="153" t="n">
        <v>-0.0340659322</v>
      </c>
      <c r="I182" s="153" t="n">
        <v>0.013038836</v>
      </c>
      <c r="J182" s="153" t="n">
        <v>0.0722754706</v>
      </c>
      <c r="K182" s="153" t="n">
        <v>0.008317172499999999</v>
      </c>
      <c r="L182" s="153" t="n">
        <v>-0.008295359800000001</v>
      </c>
      <c r="M182" s="153" t="n">
        <v>0.0433924976</v>
      </c>
      <c r="N182" s="153" t="n">
        <v>0.0017186018</v>
      </c>
      <c r="O182" s="153" t="n">
        <v>-0.0590658276</v>
      </c>
      <c r="P182" s="153" t="n">
        <v>-0.0310795295</v>
      </c>
      <c r="Q182" s="153" t="n">
        <v>-0.1309055669</v>
      </c>
      <c r="R182" s="154" t="n">
        <v>0.0541701462</v>
      </c>
      <c r="S182" s="155" t="n">
        <v>-0.0252659699</v>
      </c>
      <c r="T182" s="92" t="n">
        <v>0.0002</v>
      </c>
    </row>
    <row r="183">
      <c r="F183" s="152" t="inlineStr">
        <is>
          <t>2025-05</t>
        </is>
      </c>
      <c r="G183" s="153" t="n">
        <v>0.1262970351</v>
      </c>
      <c r="H183" s="153" t="n">
        <v>0.0383632731</v>
      </c>
      <c r="I183" s="153" t="n">
        <v>0.045763269</v>
      </c>
      <c r="J183" s="153" t="n">
        <v>-0.009478664899999999</v>
      </c>
      <c r="K183" s="153" t="n">
        <v>0.1336939421</v>
      </c>
      <c r="L183" s="153" t="n">
        <v>0.0154746648</v>
      </c>
      <c r="M183" s="153" t="n">
        <v>-0.0441084196</v>
      </c>
      <c r="N183" s="153" t="n">
        <v>-0.0268067593</v>
      </c>
      <c r="O183" s="153" t="n">
        <v>-0.0873827995</v>
      </c>
      <c r="P183" s="153" t="n">
        <v>0.08398626519999999</v>
      </c>
      <c r="Q183" s="153" t="n">
        <v>0.0097732394</v>
      </c>
      <c r="R183" s="154" t="n">
        <v>0.0592510893</v>
      </c>
      <c r="S183" s="155" t="n">
        <v>0.0208088915</v>
      </c>
      <c r="T183" s="92" t="n">
        <v>0.0002</v>
      </c>
    </row>
    <row r="184">
      <c r="F184" s="152" t="inlineStr">
        <is>
          <t>2025-06</t>
        </is>
      </c>
      <c r="G184" s="153" t="n">
        <v>0.09365739789999999</v>
      </c>
      <c r="H184" s="153" t="n">
        <v>0.0528966021</v>
      </c>
      <c r="I184" s="153" t="n">
        <v>0.0146489061</v>
      </c>
      <c r="J184" s="153" t="n">
        <v>-0.0516492486</v>
      </c>
      <c r="K184" s="153" t="n">
        <v>0.049512686</v>
      </c>
      <c r="L184" s="153" t="n">
        <v>-0.0443610068</v>
      </c>
      <c r="M184" s="153" t="n">
        <v>-0.07053394809999999</v>
      </c>
      <c r="N184" s="153" t="n">
        <v>-0.09587712280000001</v>
      </c>
      <c r="O184" s="153" t="n">
        <v>-0.0192990454</v>
      </c>
      <c r="P184" s="153" t="n">
        <v>0.0384249873</v>
      </c>
      <c r="Q184" s="153" t="n">
        <v>0.0085172444</v>
      </c>
      <c r="R184" s="154" t="n">
        <v>-0.0059595023</v>
      </c>
      <c r="S184" s="155" t="n">
        <v>-0.0110914859</v>
      </c>
      <c r="T184" s="92" t="n">
        <v>0.0002</v>
      </c>
    </row>
    <row r="185">
      <c r="F185" s="152" t="inlineStr">
        <is>
          <t>2025-07</t>
        </is>
      </c>
      <c r="G185" s="153" t="n">
        <v>-0.0068826028</v>
      </c>
      <c r="H185" s="153" t="n">
        <v>0.0490040429</v>
      </c>
      <c r="I185" s="153" t="n">
        <v>-0.0975526811</v>
      </c>
      <c r="J185" s="153" t="n">
        <v>0.0363320627</v>
      </c>
      <c r="K185" s="153" t="n">
        <v>-0.0153073594</v>
      </c>
      <c r="L185" s="153" t="n">
        <v>-0.0643757719</v>
      </c>
      <c r="M185" s="153" t="n">
        <v>0.068085202</v>
      </c>
      <c r="N185" s="153" t="n">
        <v>-0.1640685169</v>
      </c>
      <c r="O185" s="153" t="n">
        <v>-0.0409926588</v>
      </c>
      <c r="P185" s="153" t="n">
        <v>0.0108502843</v>
      </c>
      <c r="Q185" s="153" t="n">
        <v>0.0142541871</v>
      </c>
      <c r="R185" s="154" t="n">
        <v>-0.0279775963</v>
      </c>
      <c r="S185" s="155" t="n">
        <v>0.0138352859</v>
      </c>
      <c r="T185" s="92" t="n">
        <v>0.0002</v>
      </c>
    </row>
    <row r="186">
      <c r="F186" s="156" t="inlineStr">
        <is>
          <t>2025-08</t>
        </is>
      </c>
      <c r="G186" s="157" t="n">
        <v>0.0171551971</v>
      </c>
      <c r="H186" s="157" t="n">
        <v>-0.0403446975</v>
      </c>
      <c r="I186" s="157" t="n">
        <v>-0.0721924783</v>
      </c>
      <c r="J186" s="157" t="n">
        <v>-0.009738428800000001</v>
      </c>
      <c r="K186" s="157" t="n">
        <v>-0.0983690514</v>
      </c>
      <c r="L186" s="157" t="n">
        <v>-0.0278940848</v>
      </c>
      <c r="M186" s="157" t="n">
        <v>0.1027594533</v>
      </c>
      <c r="N186" s="157" t="n">
        <v>0.0272088377</v>
      </c>
      <c r="O186" s="157" t="n">
        <v>0.07166416439999999</v>
      </c>
      <c r="P186" s="157" t="n">
        <v>-0.0797371179</v>
      </c>
      <c r="Q186" s="157" t="n">
        <v>0.0284505938</v>
      </c>
      <c r="R186" s="158" t="n">
        <v>-0.0468749888</v>
      </c>
      <c r="S186" s="159" t="n">
        <v>-0.0087584371</v>
      </c>
      <c r="T186" s="93" t="n">
        <v>0.0002</v>
      </c>
    </row>
    <row r="187">
      <c r="F187" s="160" t="inlineStr">
        <is>
          <t>2025-09</t>
        </is>
      </c>
      <c r="G187" s="35" t="n">
        <v>0.1024237687</v>
      </c>
      <c r="H187" s="35" t="n">
        <v>0.006507983</v>
      </c>
      <c r="I187" s="35" t="n">
        <v>0.0172911149</v>
      </c>
      <c r="J187" s="35" t="n">
        <v>0.0418657523</v>
      </c>
      <c r="K187" s="35" t="n">
        <v>0.0319389064</v>
      </c>
      <c r="L187" s="35" t="n">
        <v>-0.0038257907</v>
      </c>
      <c r="M187" s="35" t="n">
        <v>-0.140534965</v>
      </c>
      <c r="N187" s="35" t="n">
        <v>0.0357143293</v>
      </c>
      <c r="O187" s="35" t="n">
        <v>-0.0703040915</v>
      </c>
      <c r="P187" s="35" t="n">
        <v>0.1311592575</v>
      </c>
      <c r="Q187" s="35" t="n">
        <v>-0.0330841037</v>
      </c>
      <c r="R187" s="35" t="n">
        <v>0.017687586</v>
      </c>
      <c r="S187" s="35" t="n">
        <v>0.0249276394</v>
      </c>
      <c r="T187" s="88" t="n">
        <v>0.0002</v>
      </c>
    </row>
    <row r="188">
      <c r="F188" s="160" t="inlineStr">
        <is>
          <t>2025-10</t>
        </is>
      </c>
      <c r="G188" s="35" t="n">
        <v>0.08105369680000001</v>
      </c>
      <c r="H188" s="35" t="n">
        <v>-0.1031922323</v>
      </c>
      <c r="I188" s="35" t="n">
        <v>0.0805341763</v>
      </c>
      <c r="J188" s="35" t="n">
        <v>0.0339805805</v>
      </c>
      <c r="K188" s="35" t="n">
        <v>0.1120241034</v>
      </c>
      <c r="L188" s="35" t="n">
        <v>0.0316849364</v>
      </c>
      <c r="M188" s="35" t="n">
        <v>0.0169978436</v>
      </c>
      <c r="N188" s="35" t="n">
        <v>-0.0316091639</v>
      </c>
      <c r="O188" s="35" t="n">
        <v>0.1152131458</v>
      </c>
      <c r="P188" s="35" t="n">
        <v>0.0357743886</v>
      </c>
      <c r="Q188" s="35" t="n">
        <v>0.0429150559</v>
      </c>
      <c r="R188" s="35" t="n">
        <v>-0.0173801727</v>
      </c>
      <c r="S188" s="35" t="n">
        <v>0.0285121068</v>
      </c>
      <c r="T188" s="88" t="n">
        <v>0.0002</v>
      </c>
    </row>
    <row r="189">
      <c r="F189" s="160" t="inlineStr">
        <is>
          <t>2025-11</t>
        </is>
      </c>
      <c r="G189" s="35" t="n">
        <v>-0.0419399708</v>
      </c>
      <c r="H189" s="35" t="n">
        <v>0.0988668301</v>
      </c>
      <c r="I189" s="35" t="n">
        <v>0.009737860399999999</v>
      </c>
      <c r="J189" s="35" t="n">
        <v>0.0041731854</v>
      </c>
      <c r="K189" s="35" t="n">
        <v>0.0788177729</v>
      </c>
      <c r="L189" s="35" t="n">
        <v>-0.022801217</v>
      </c>
      <c r="M189" s="35" t="n">
        <v>-0.0868643719</v>
      </c>
      <c r="N189" s="35" t="n">
        <v>0.0228486168</v>
      </c>
      <c r="O189" s="35" t="n">
        <v>-0.0210045185</v>
      </c>
      <c r="P189" s="35" t="n">
        <v>-0.0613571885</v>
      </c>
      <c r="Q189" s="35" t="n">
        <v>0.0704151818</v>
      </c>
      <c r="R189" s="35" t="n">
        <v>0.06423045600000001</v>
      </c>
      <c r="S189" s="35" t="n">
        <v>0.0002019607</v>
      </c>
      <c r="T189" t="n">
        <v>0.0002</v>
      </c>
    </row>
    <row r="190">
      <c r="F190" t="inlineStr">
        <is>
          <t>2025-12</t>
        </is>
      </c>
      <c r="G190" s="35" t="n">
        <v>-0.0295916347</v>
      </c>
      <c r="H190" s="35" t="n">
        <v>0.0963494858</v>
      </c>
      <c r="I190" s="35" t="n">
        <v>0.0552669944</v>
      </c>
      <c r="J190" s="35" t="n">
        <v>-0.0028571736</v>
      </c>
      <c r="K190" s="35" t="n">
        <v>0.0232876819</v>
      </c>
      <c r="L190" s="35" t="n">
        <v>0.010476186</v>
      </c>
      <c r="M190" s="35" t="n">
        <v>-0.029671621</v>
      </c>
      <c r="N190" s="35" t="n">
        <v>0.0275601161</v>
      </c>
      <c r="O190" s="35" t="n">
        <v>-0.0354477892</v>
      </c>
      <c r="P190" s="35" t="n">
        <v>0.0168830858</v>
      </c>
      <c r="Q190" s="35" t="n">
        <v>-0.0213028024</v>
      </c>
      <c r="R190" s="35" t="n">
        <v>-0.0179958928</v>
      </c>
      <c r="S190" s="35" t="n">
        <v>0.0032981652</v>
      </c>
      <c r="T190" t="n">
        <v>0.0002</v>
      </c>
    </row>
    <row r="191">
      <c r="F191" t="inlineStr">
        <is>
          <t>2026-01</t>
        </is>
      </c>
      <c r="G191" s="35" t="n">
        <v>-0.0252016125</v>
      </c>
      <c r="H191" s="35" t="n">
        <v>0.128852565</v>
      </c>
      <c r="I191" s="35" t="n">
        <v>-0.0776801271</v>
      </c>
      <c r="J191" s="35" t="n">
        <v>-0.1424850462</v>
      </c>
      <c r="K191" s="35" t="n">
        <v>0.120035752</v>
      </c>
      <c r="L191" s="35" t="n">
        <v>-0.0438265972</v>
      </c>
      <c r="M191" s="35" t="n">
        <v>0.0270862298</v>
      </c>
      <c r="N191" s="35" t="n">
        <v>-0.0999434823</v>
      </c>
      <c r="O191" s="35" t="n">
        <v>-0.0425531956</v>
      </c>
      <c r="P191" s="35" t="n">
        <v>0.0315028065</v>
      </c>
      <c r="Q191" s="35" t="n">
        <v>0.1168499763</v>
      </c>
      <c r="R191" s="35" t="n">
        <v>0.009162839900000001</v>
      </c>
      <c r="S191" s="35" t="n">
        <v>-0.0028186042</v>
      </c>
      <c r="T191" t="n">
        <v>0.0002</v>
      </c>
    </row>
    <row r="192">
      <c r="F192" t="inlineStr">
        <is>
          <t>2026-02</t>
        </is>
      </c>
      <c r="G192" s="35" t="n">
        <v>-0.0473629357</v>
      </c>
      <c r="H192" s="35" t="n">
        <v>0.0471491102</v>
      </c>
      <c r="I192" s="35" t="n">
        <v>-0.1848323084</v>
      </c>
      <c r="J192" s="35" t="n">
        <v>0.1032807301</v>
      </c>
      <c r="K192" s="35" t="n">
        <v>0.1525896225</v>
      </c>
      <c r="L192" s="35" t="n">
        <v>0.009857101599999999</v>
      </c>
      <c r="M192" s="35" t="n">
        <v>0.0423548246</v>
      </c>
      <c r="N192" s="35" t="n">
        <v>0.0072146202</v>
      </c>
      <c r="O192" s="35" t="n">
        <v>0.0378787455</v>
      </c>
      <c r="P192" s="35" t="n">
        <v>0.1419727739</v>
      </c>
      <c r="Q192" s="35" t="n">
        <v>0.1002453043</v>
      </c>
      <c r="R192" s="35" t="n">
        <v>0.1617828517</v>
      </c>
      <c r="S192" s="35" t="n">
        <v>0.0558935027</v>
      </c>
      <c r="T192" t="n">
        <v>0.0002</v>
      </c>
    </row>
    <row r="193">
      <c r="F193" t="inlineStr">
        <is>
          <t>2026-03</t>
        </is>
      </c>
      <c r="G193" s="35" t="n">
        <v>-0.127116734</v>
      </c>
      <c r="H193" s="35" t="n">
        <v>-0.1519371953</v>
      </c>
      <c r="I193" s="35" t="n">
        <v>-0.0603085657</v>
      </c>
      <c r="J193" s="35" t="n">
        <v>-0.0495594226</v>
      </c>
      <c r="K193" s="35" t="n">
        <v>-0.0421708438</v>
      </c>
      <c r="L193" s="35" t="n">
        <v>-0.2129059073</v>
      </c>
      <c r="M193" s="35" t="n">
        <v>-0.1794020002</v>
      </c>
      <c r="N193" s="35" t="n">
        <v>-0.0962317278</v>
      </c>
      <c r="O193" s="35" t="n">
        <v>0.0063260795</v>
      </c>
      <c r="P193" s="35" t="n">
        <v>-0.1720274307</v>
      </c>
      <c r="Q193" s="35" t="n">
        <v>0.2025862459</v>
      </c>
      <c r="R193" s="35" t="n">
        <v>-0.0880994323</v>
      </c>
      <c r="S193" s="35" t="n">
        <v>-0.0890143704</v>
      </c>
      <c r="T193" t="n">
        <v>0.0002</v>
      </c>
    </row>
    <row r="194">
      <c r="F194" t="inlineStr">
        <is>
          <t>2026-04</t>
        </is>
      </c>
      <c r="G194" s="35" t="n">
        <v>0.08742684539999999</v>
      </c>
      <c r="H194" s="35" t="n">
        <v>0.1017410453</v>
      </c>
      <c r="I194" s="35" t="n">
        <v>0.0248756094</v>
      </c>
      <c r="J194" s="35" t="n">
        <v>-0.0333140976</v>
      </c>
      <c r="K194" s="35" t="n">
        <v>0.0129917786</v>
      </c>
      <c r="L194" s="35" t="n">
        <v>0.0090117696</v>
      </c>
      <c r="M194" s="35" t="n">
        <v>-0.021488649</v>
      </c>
      <c r="N194" s="35" t="n">
        <v>0.0258442581</v>
      </c>
      <c r="O194" s="35" t="n">
        <v>-0.0350580039</v>
      </c>
      <c r="P194" s="35" t="n">
        <v>0.1724137978</v>
      </c>
      <c r="Q194" s="35" t="n">
        <v>-0.009632090499999999</v>
      </c>
      <c r="R194" s="35" t="n">
        <v>0.0011686727</v>
      </c>
      <c r="S194" s="35" t="n">
        <v>0.0381095294</v>
      </c>
      <c r="T194" t="n">
        <v>0.0002</v>
      </c>
    </row>
    <row r="195">
      <c r="F195" t="inlineStr">
        <is>
          <t>2026-05</t>
        </is>
      </c>
      <c r="G195" s="35" t="n">
        <v>0.0465489037</v>
      </c>
      <c r="H195" s="35" t="n">
        <v>0.041689971</v>
      </c>
      <c r="I195" s="35" t="n">
        <v>-0.0101942034</v>
      </c>
      <c r="J195" s="35" t="n">
        <v>-0.0869044142</v>
      </c>
      <c r="K195" s="35" t="n">
        <v>-0.009409745299999999</v>
      </c>
      <c r="L195" s="35" t="n">
        <v>0.0055518479</v>
      </c>
      <c r="M195" s="35" t="n">
        <v>0.0092297584</v>
      </c>
      <c r="N195" s="35" t="n">
        <v>-0.0060463831</v>
      </c>
      <c r="O195" s="35" t="n">
        <v>-0.056752684</v>
      </c>
      <c r="P195" s="35" t="n">
        <v>0.0050260337</v>
      </c>
      <c r="Q195" s="35" t="n">
        <v>-0.051835043</v>
      </c>
      <c r="R195" s="35" t="n">
        <v>0.0020862743</v>
      </c>
      <c r="S195" s="35" t="n">
        <v>0.0084413249</v>
      </c>
      <c r="T195" t="n">
        <v>0.0002</v>
      </c>
    </row>
    <row r="196">
      <c r="F196" t="inlineStr">
        <is>
          <t>2026-06</t>
        </is>
      </c>
      <c r="G196" s="35" t="n">
        <v>-0.0041179201</v>
      </c>
      <c r="H196" s="35" t="n">
        <v>0.0374035629</v>
      </c>
      <c r="I196" s="35" t="n">
        <v>0.0306479409</v>
      </c>
      <c r="J196" s="35" t="n">
        <v>0.0939868515</v>
      </c>
      <c r="K196" s="35" t="n">
        <v>0.0177559967</v>
      </c>
      <c r="L196" s="35" t="n">
        <v>-0.000617284</v>
      </c>
      <c r="M196" s="35" t="n">
        <v>-0.0208136193</v>
      </c>
      <c r="N196" s="35" t="n">
        <v>-0.0250734152</v>
      </c>
      <c r="O196" s="35" t="n">
        <v>0.09321515230000001</v>
      </c>
      <c r="P196" s="35" t="n">
        <v>0.0122621057</v>
      </c>
      <c r="Q196" s="35" t="n">
        <v>0.0291301201</v>
      </c>
      <c r="R196" s="35" t="n">
        <v>-0.0063974653</v>
      </c>
      <c r="S196" s="35" t="n">
        <v>0.0042648101</v>
      </c>
      <c r="T196" t="n">
        <v>0.0002</v>
      </c>
    </row>
  </sheetData>
  <mergeCells count="3">
    <mergeCell ref="S1:S2"/>
    <mergeCell ref="S4:T6"/>
    <mergeCell ref="T1:T2"/>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N195"/>
  <sheetViews>
    <sheetView showGridLines="0" zoomScale="94" workbookViewId="0">
      <selection activeCell="E9" sqref="E9"/>
    </sheetView>
  </sheetViews>
  <sheetFormatPr baseColWidth="10" defaultColWidth="10.83203125" defaultRowHeight="15"/>
  <sheetData>
    <row r="2">
      <c r="B2" s="51" t="inlineStr">
        <is>
          <t>Stock Nb. →</t>
        </is>
      </c>
      <c r="C2" s="133" t="n">
        <v>1</v>
      </c>
      <c r="D2" s="133" t="n">
        <v>2</v>
      </c>
      <c r="E2" s="133" t="n">
        <v>3</v>
      </c>
      <c r="F2" s="133" t="n">
        <v>4</v>
      </c>
      <c r="G2" s="133" t="n">
        <v>5</v>
      </c>
      <c r="H2" s="133" t="n">
        <v>6</v>
      </c>
      <c r="I2" s="133" t="n">
        <v>7</v>
      </c>
      <c r="J2" s="133" t="n">
        <v>8</v>
      </c>
      <c r="K2" s="133" t="n">
        <v>9</v>
      </c>
      <c r="L2" s="133" t="n">
        <v>10</v>
      </c>
      <c r="M2" s="133" t="n">
        <v>11</v>
      </c>
      <c r="N2" s="133" t="n">
        <v>12</v>
      </c>
    </row>
    <row r="3">
      <c r="B3" s="52" t="inlineStr">
        <is>
          <t>Company Name →</t>
        </is>
      </c>
      <c r="C3" s="57" t="inlineStr">
        <is>
          <t>AIRBUS</t>
        </is>
      </c>
      <c r="D3" s="56" t="inlineStr">
        <is>
          <t>BNP PARIBAS ACT.A</t>
        </is>
      </c>
      <c r="E3" s="56" t="inlineStr">
        <is>
          <t>CAPGEMINI</t>
        </is>
      </c>
      <c r="F3" s="56" t="inlineStr">
        <is>
          <t>DANONE</t>
        </is>
      </c>
      <c r="G3" s="56" t="inlineStr">
        <is>
          <t>ENGIE</t>
        </is>
      </c>
      <c r="H3" s="56" t="inlineStr">
        <is>
          <t>HERMES INTL</t>
        </is>
      </c>
      <c r="I3" s="56" t="inlineStr">
        <is>
          <t>PERNOD RICARD</t>
        </is>
      </c>
      <c r="J3" s="56" t="inlineStr">
        <is>
          <t>RENAULT</t>
        </is>
      </c>
      <c r="K3" s="56" t="inlineStr">
        <is>
          <t>SANOFI</t>
        </is>
      </c>
      <c r="L3" s="56" t="inlineStr">
        <is>
          <t>SCHNEIDER ELECTRIC</t>
        </is>
      </c>
      <c r="M3" s="56" t="inlineStr">
        <is>
          <t>TOTALENERGIES</t>
        </is>
      </c>
      <c r="N3" s="56" t="inlineStr">
        <is>
          <t>VINCI</t>
        </is>
      </c>
    </row>
    <row r="4">
      <c r="B4" s="53" t="inlineStr">
        <is>
          <t>Yahoo Ticker →</t>
        </is>
      </c>
      <c r="C4" s="55" t="inlineStr">
        <is>
          <t>AIR.PA</t>
        </is>
      </c>
      <c r="D4" s="55" t="inlineStr">
        <is>
          <t>BNP.PA</t>
        </is>
      </c>
      <c r="E4" s="55" t="inlineStr">
        <is>
          <t>CAP.PA</t>
        </is>
      </c>
      <c r="F4" s="55" t="inlineStr">
        <is>
          <t>BN.PA</t>
        </is>
      </c>
      <c r="G4" s="55" t="inlineStr">
        <is>
          <t>ENGI.PA</t>
        </is>
      </c>
      <c r="H4" s="55" t="inlineStr">
        <is>
          <t>RMS.PA</t>
        </is>
      </c>
      <c r="I4" s="55" t="inlineStr">
        <is>
          <t>RI.PA</t>
        </is>
      </c>
      <c r="J4" s="55" t="inlineStr">
        <is>
          <t>RNO.PA</t>
        </is>
      </c>
      <c r="K4" s="55" t="inlineStr">
        <is>
          <t>SAN.PA</t>
        </is>
      </c>
      <c r="L4" s="55" t="inlineStr">
        <is>
          <t>SU.PA</t>
        </is>
      </c>
      <c r="M4" s="55" t="inlineStr">
        <is>
          <t>TTE.PA</t>
        </is>
      </c>
      <c r="N4" s="55" t="inlineStr">
        <is>
          <t>DG.PA</t>
        </is>
      </c>
    </row>
    <row r="5">
      <c r="B5" s="160" t="inlineStr">
        <is>
          <t>2010-08</t>
        </is>
      </c>
      <c r="C5" s="161" t="n">
        <v>13.737171</v>
      </c>
      <c r="D5" s="161" t="n">
        <v>22.964695</v>
      </c>
      <c r="E5" s="161" t="n">
        <v>24.099602</v>
      </c>
      <c r="F5" s="161" t="n">
        <v>26.390015</v>
      </c>
      <c r="G5" s="161" t="n">
        <v>8.401631</v>
      </c>
      <c r="H5" s="161" t="n">
        <v>119.601074</v>
      </c>
      <c r="I5" s="161" t="n">
        <v>43.260391</v>
      </c>
      <c r="J5" s="161" t="n">
        <v>20.048021</v>
      </c>
      <c r="K5" s="161" t="n">
        <v>23.75465</v>
      </c>
      <c r="L5" s="161" t="n">
        <v>27.99968</v>
      </c>
      <c r="M5" s="161" t="n">
        <v>14.680909</v>
      </c>
      <c r="N5" s="161" t="n">
        <v>19.430162</v>
      </c>
    </row>
    <row r="6">
      <c r="B6" s="160" t="inlineStr">
        <is>
          <t>2010-09</t>
        </is>
      </c>
      <c r="C6" s="161" t="n">
        <v>14.47288</v>
      </c>
      <c r="D6" s="161" t="n">
        <v>24.267132</v>
      </c>
      <c r="E6" s="161" t="n">
        <v>26.58469</v>
      </c>
      <c r="F6" s="161" t="n">
        <v>27.304844</v>
      </c>
      <c r="G6" s="161" t="n">
        <v>9.029135</v>
      </c>
      <c r="H6" s="161" t="n">
        <v>140.092178</v>
      </c>
      <c r="I6" s="161" t="n">
        <v>42.951839</v>
      </c>
      <c r="J6" s="161" t="n">
        <v>23.603012</v>
      </c>
      <c r="K6" s="161" t="n">
        <v>25.646317</v>
      </c>
      <c r="L6" s="161" t="n">
        <v>31.117817</v>
      </c>
      <c r="M6" s="161" t="n">
        <v>15.053206</v>
      </c>
      <c r="N6" s="161" t="n">
        <v>20.633848</v>
      </c>
    </row>
    <row r="7">
      <c r="B7" s="160" t="inlineStr">
        <is>
          <t>2010-10</t>
        </is>
      </c>
      <c r="C7" s="161" t="n">
        <v>14.939624</v>
      </c>
      <c r="D7" s="161" t="n">
        <v>24.44389</v>
      </c>
      <c r="E7" s="161" t="n">
        <v>26.479942</v>
      </c>
      <c r="F7" s="161" t="n">
        <v>28.300568</v>
      </c>
      <c r="G7" s="161" t="n">
        <v>9.861217</v>
      </c>
      <c r="H7" s="161" t="n">
        <v>127.504784</v>
      </c>
      <c r="I7" s="161" t="n">
        <v>44.676929</v>
      </c>
      <c r="J7" s="161" t="n">
        <v>24.966225</v>
      </c>
      <c r="K7" s="161" t="n">
        <v>26.331093</v>
      </c>
      <c r="L7" s="161" t="n">
        <v>34.125549</v>
      </c>
      <c r="M7" s="161" t="n">
        <v>15.546951</v>
      </c>
      <c r="N7" s="161" t="n">
        <v>21.537317</v>
      </c>
    </row>
    <row r="8">
      <c r="B8" s="160" t="inlineStr">
        <is>
          <t>2010-11</t>
        </is>
      </c>
      <c r="C8" s="161" t="n">
        <v>13.654108</v>
      </c>
      <c r="D8" s="161" t="n">
        <v>21.211061</v>
      </c>
      <c r="E8" s="161" t="n">
        <v>23.4711</v>
      </c>
      <c r="F8" s="161" t="n">
        <v>28.082758</v>
      </c>
      <c r="G8" s="161" t="n">
        <v>8.785009000000001</v>
      </c>
      <c r="H8" s="161" t="n">
        <v>122.110176</v>
      </c>
      <c r="I8" s="161" t="n">
        <v>44.031776</v>
      </c>
      <c r="J8" s="161" t="n">
        <v>25.250751</v>
      </c>
      <c r="K8" s="161" t="n">
        <v>24.442059</v>
      </c>
      <c r="L8" s="161" t="n">
        <v>36.183128</v>
      </c>
      <c r="M8" s="161" t="n">
        <v>14.858099</v>
      </c>
      <c r="N8" s="161" t="n">
        <v>20.931263</v>
      </c>
    </row>
    <row r="9">
      <c r="B9" s="160" t="inlineStr">
        <is>
          <t>2010-12</t>
        </is>
      </c>
      <c r="C9" s="161" t="n">
        <v>13.796503</v>
      </c>
      <c r="D9" s="161" t="n">
        <v>22.146025</v>
      </c>
      <c r="E9" s="161" t="n">
        <v>25.233789</v>
      </c>
      <c r="F9" s="161" t="n">
        <v>29.262081</v>
      </c>
      <c r="G9" s="161" t="n">
        <v>9.505266000000001</v>
      </c>
      <c r="H9" s="161" t="n">
        <v>131.101166</v>
      </c>
      <c r="I9" s="161" t="n">
        <v>49.916759</v>
      </c>
      <c r="J9" s="161" t="n">
        <v>27.201775</v>
      </c>
      <c r="K9" s="161" t="n">
        <v>25.108463</v>
      </c>
      <c r="L9" s="161" t="n">
        <v>37.471195</v>
      </c>
      <c r="M9" s="161" t="n">
        <v>16.241268</v>
      </c>
      <c r="N9" s="161" t="n">
        <v>22.827988</v>
      </c>
    </row>
    <row r="10">
      <c r="B10" s="160" t="inlineStr">
        <is>
          <t>2011-01</t>
        </is>
      </c>
      <c r="C10" s="161" t="n">
        <v>16.652313</v>
      </c>
      <c r="D10" s="161" t="n">
        <v>25.397453</v>
      </c>
      <c r="E10" s="161" t="n">
        <v>26.588303</v>
      </c>
      <c r="F10" s="161" t="n">
        <v>27.376415</v>
      </c>
      <c r="G10" s="161" t="n">
        <v>10.257548</v>
      </c>
      <c r="H10" s="161" t="n">
        <v>123.281105</v>
      </c>
      <c r="I10" s="161" t="n">
        <v>49.398849</v>
      </c>
      <c r="J10" s="161" t="n">
        <v>29.881306</v>
      </c>
      <c r="K10" s="161" t="n">
        <v>26.171049</v>
      </c>
      <c r="L10" s="161" t="n">
        <v>38.106869</v>
      </c>
      <c r="M10" s="161" t="n">
        <v>17.496727</v>
      </c>
      <c r="N10" s="161" t="n">
        <v>24.038984</v>
      </c>
    </row>
    <row r="11">
      <c r="B11" s="160" t="inlineStr">
        <is>
          <t>2011-02</t>
        </is>
      </c>
      <c r="C11" s="161" t="n">
        <v>16.581118</v>
      </c>
      <c r="D11" s="161" t="n">
        <v>26.31846</v>
      </c>
      <c r="E11" s="161" t="n">
        <v>30.586847</v>
      </c>
      <c r="F11" s="161" t="n">
        <v>28.272572</v>
      </c>
      <c r="G11" s="161" t="n">
        <v>10.399153</v>
      </c>
      <c r="H11" s="161" t="n">
        <v>131.937531</v>
      </c>
      <c r="I11" s="161" t="n">
        <v>47.398216</v>
      </c>
      <c r="J11" s="161" t="n">
        <v>27.773949</v>
      </c>
      <c r="K11" s="161" t="n">
        <v>26.236637</v>
      </c>
      <c r="L11" s="161" t="n">
        <v>40.114254</v>
      </c>
      <c r="M11" s="161" t="n">
        <v>18.191032</v>
      </c>
      <c r="N11" s="161" t="n">
        <v>24.79793</v>
      </c>
    </row>
    <row r="12">
      <c r="B12" s="160" t="inlineStr">
        <is>
          <t>2011-03</t>
        </is>
      </c>
      <c r="C12" s="161" t="n">
        <v>16.248867</v>
      </c>
      <c r="D12" s="161" t="n">
        <v>24.006645</v>
      </c>
      <c r="E12" s="161" t="n">
        <v>29.607973</v>
      </c>
      <c r="F12" s="161" t="n">
        <v>28.686422</v>
      </c>
      <c r="G12" s="161" t="n">
        <v>10.177894</v>
      </c>
      <c r="H12" s="161" t="n">
        <v>130.254974</v>
      </c>
      <c r="I12" s="161" t="n">
        <v>46.752617</v>
      </c>
      <c r="J12" s="161" t="n">
        <v>24.394047</v>
      </c>
      <c r="K12" s="161" t="n">
        <v>25.961149</v>
      </c>
      <c r="L12" s="161" t="n">
        <v>40.348446</v>
      </c>
      <c r="M12" s="161" t="n">
        <v>17.595039</v>
      </c>
      <c r="N12" s="161" t="n">
        <v>25.067965</v>
      </c>
    </row>
    <row r="13">
      <c r="B13" s="160" t="inlineStr">
        <is>
          <t>2011-04</t>
        </is>
      </c>
      <c r="C13" s="161" t="n">
        <v>16.525745</v>
      </c>
      <c r="D13" s="161" t="n">
        <v>24.853224</v>
      </c>
      <c r="E13" s="161" t="n">
        <v>29.557407</v>
      </c>
      <c r="F13" s="161" t="n">
        <v>30.777464</v>
      </c>
      <c r="G13" s="161" t="n">
        <v>9.779628000000001</v>
      </c>
      <c r="H13" s="161" t="n">
        <v>133.201965</v>
      </c>
      <c r="I13" s="161" t="n">
        <v>48.143135</v>
      </c>
      <c r="J13" s="161" t="n">
        <v>25.725998</v>
      </c>
      <c r="K13" s="161" t="n">
        <v>28.020731</v>
      </c>
      <c r="L13" s="161" t="n">
        <v>39.913513</v>
      </c>
      <c r="M13" s="161" t="n">
        <v>17.703587</v>
      </c>
      <c r="N13" s="161" t="n">
        <v>25.639307</v>
      </c>
    </row>
    <row r="14">
      <c r="B14" s="160" t="inlineStr">
        <is>
          <t>2011-05</t>
        </is>
      </c>
      <c r="C14" s="161" t="n">
        <v>18.100002</v>
      </c>
      <c r="D14" s="161" t="n">
        <v>25.220694</v>
      </c>
      <c r="E14" s="161" t="n">
        <v>28.661623</v>
      </c>
      <c r="F14" s="161" t="n">
        <v>31.707851</v>
      </c>
      <c r="G14" s="161" t="n">
        <v>9.048589</v>
      </c>
      <c r="H14" s="161" t="n">
        <v>150.630997</v>
      </c>
      <c r="I14" s="161" t="n">
        <v>49.767773</v>
      </c>
      <c r="J14" s="161" t="n">
        <v>24.650433</v>
      </c>
      <c r="K14" s="161" t="n">
        <v>28.870798</v>
      </c>
      <c r="L14" s="161" t="n">
        <v>39.380383</v>
      </c>
      <c r="M14" s="161" t="n">
        <v>16.396914</v>
      </c>
      <c r="N14" s="161" t="n">
        <v>25.488655</v>
      </c>
    </row>
    <row r="15">
      <c r="B15" s="160" t="inlineStr">
        <is>
          <t>2011-06</t>
        </is>
      </c>
      <c r="C15" s="161" t="n">
        <v>18.258219</v>
      </c>
      <c r="D15" s="161" t="n">
        <v>25.755533</v>
      </c>
      <c r="E15" s="161" t="n">
        <v>29.185369</v>
      </c>
      <c r="F15" s="161" t="n">
        <v>32.880806</v>
      </c>
      <c r="G15" s="161" t="n">
        <v>9.154035</v>
      </c>
      <c r="H15" s="161" t="n">
        <v>171.680634</v>
      </c>
      <c r="I15" s="161" t="n">
        <v>48.221172</v>
      </c>
      <c r="J15" s="161" t="n">
        <v>25.755728</v>
      </c>
      <c r="K15" s="161" t="n">
        <v>30.451748</v>
      </c>
      <c r="L15" s="161" t="n">
        <v>39.586559</v>
      </c>
      <c r="M15" s="161" t="n">
        <v>16.801849</v>
      </c>
      <c r="N15" s="161" t="n">
        <v>25.110603</v>
      </c>
    </row>
    <row r="16">
      <c r="B16" s="160" t="inlineStr">
        <is>
          <t>2011-07</t>
        </is>
      </c>
      <c r="C16" s="161" t="n">
        <v>19.330099</v>
      </c>
      <c r="D16" s="161" t="n">
        <v>21.998407</v>
      </c>
      <c r="E16" s="161" t="n">
        <v>25.490238</v>
      </c>
      <c r="F16" s="161" t="n">
        <v>31.826323</v>
      </c>
      <c r="G16" s="161" t="n">
        <v>8.28162</v>
      </c>
      <c r="H16" s="161" t="n">
        <v>203.310257</v>
      </c>
      <c r="I16" s="161" t="n">
        <v>49.037033</v>
      </c>
      <c r="J16" s="161" t="n">
        <v>23.475296</v>
      </c>
      <c r="K16" s="161" t="n">
        <v>29.820086</v>
      </c>
      <c r="L16" s="161" t="n">
        <v>34.758514</v>
      </c>
      <c r="M16" s="161" t="n">
        <v>15.917096</v>
      </c>
      <c r="N16" s="161" t="n">
        <v>23.664072</v>
      </c>
    </row>
    <row r="17">
      <c r="B17" s="160" t="inlineStr">
        <is>
          <t>2011-08</t>
        </is>
      </c>
      <c r="C17" s="161" t="n">
        <v>17.684643</v>
      </c>
      <c r="D17" s="161" t="n">
        <v>17.355831</v>
      </c>
      <c r="E17" s="161" t="n">
        <v>21.037319</v>
      </c>
      <c r="F17" s="161" t="n">
        <v>30.036892</v>
      </c>
      <c r="G17" s="161" t="n">
        <v>7.96965</v>
      </c>
      <c r="H17" s="161" t="n">
        <v>228.090729</v>
      </c>
      <c r="I17" s="161" t="n">
        <v>44.781918</v>
      </c>
      <c r="J17" s="161" t="n">
        <v>17.87499</v>
      </c>
      <c r="K17" s="161" t="n">
        <v>27.50214</v>
      </c>
      <c r="L17" s="161" t="n">
        <v>31.906351</v>
      </c>
      <c r="M17" s="161" t="n">
        <v>14.305588</v>
      </c>
      <c r="N17" s="161" t="n">
        <v>21.114872</v>
      </c>
    </row>
    <row r="18">
      <c r="B18" s="160" t="inlineStr">
        <is>
          <t>2011-09</t>
        </is>
      </c>
      <c r="C18" s="161" t="n">
        <v>16.937796</v>
      </c>
      <c r="D18" s="161" t="n">
        <v>14.539803</v>
      </c>
      <c r="E18" s="161" t="n">
        <v>18.616211</v>
      </c>
      <c r="F18" s="161" t="n">
        <v>29.52562</v>
      </c>
      <c r="G18" s="161" t="n">
        <v>8.140143999999999</v>
      </c>
      <c r="H18" s="161" t="n">
        <v>190.687805</v>
      </c>
      <c r="I18" s="161" t="n">
        <v>42.15234</v>
      </c>
      <c r="J18" s="161" t="n">
        <v>15.792985</v>
      </c>
      <c r="K18" s="161" t="n">
        <v>27.106667</v>
      </c>
      <c r="L18" s="161" t="n">
        <v>27.882406</v>
      </c>
      <c r="M18" s="161" t="n">
        <v>14.002246</v>
      </c>
      <c r="N18" s="161" t="n">
        <v>18.933594</v>
      </c>
    </row>
    <row r="19">
      <c r="B19" s="160" t="inlineStr">
        <is>
          <t>2011-10</t>
        </is>
      </c>
      <c r="C19" s="161" t="n">
        <v>17.069593</v>
      </c>
      <c r="D19" s="161" t="n">
        <v>15.894592</v>
      </c>
      <c r="E19" s="161" t="n">
        <v>20.555325</v>
      </c>
      <c r="F19" s="161" t="n">
        <v>32.145859</v>
      </c>
      <c r="G19" s="161" t="n">
        <v>7.441847</v>
      </c>
      <c r="H19" s="161" t="n">
        <v>207.57402</v>
      </c>
      <c r="I19" s="161" t="n">
        <v>48.364487</v>
      </c>
      <c r="J19" s="161" t="n">
        <v>19.178999</v>
      </c>
      <c r="K19" s="161" t="n">
        <v>28.540277</v>
      </c>
      <c r="L19" s="161" t="n">
        <v>29.311924</v>
      </c>
      <c r="M19" s="161" t="n">
        <v>16.212515</v>
      </c>
      <c r="N19" s="161" t="n">
        <v>20.849148</v>
      </c>
    </row>
    <row r="20">
      <c r="B20" s="160" t="inlineStr">
        <is>
          <t>2011-11</t>
        </is>
      </c>
      <c r="C20" s="161" t="n">
        <v>17.728573</v>
      </c>
      <c r="D20" s="161" t="n">
        <v>14.259171</v>
      </c>
      <c r="E20" s="161" t="n">
        <v>20.833401</v>
      </c>
      <c r="F20" s="161" t="n">
        <v>31.343811</v>
      </c>
      <c r="G20" s="161" t="n">
        <v>7.539791</v>
      </c>
      <c r="H20" s="161" t="n">
        <v>199.257553</v>
      </c>
      <c r="I20" s="161" t="n">
        <v>50.184418</v>
      </c>
      <c r="J20" s="161" t="n">
        <v>17.48127</v>
      </c>
      <c r="K20" s="161" t="n">
        <v>28.611681</v>
      </c>
      <c r="L20" s="161" t="n">
        <v>28.865204</v>
      </c>
      <c r="M20" s="161" t="n">
        <v>16.435459</v>
      </c>
      <c r="N20" s="161" t="n">
        <v>19.333641</v>
      </c>
    </row>
    <row r="21">
      <c r="B21" s="160" t="inlineStr">
        <is>
          <t>2011-12</t>
        </is>
      </c>
      <c r="C21" s="161" t="n">
        <v>19.290159</v>
      </c>
      <c r="D21" s="161" t="n">
        <v>14.684961</v>
      </c>
      <c r="E21" s="161" t="n">
        <v>17.904345</v>
      </c>
      <c r="F21" s="161" t="n">
        <v>31.040257</v>
      </c>
      <c r="G21" s="161" t="n">
        <v>7.99173</v>
      </c>
      <c r="H21" s="161" t="n">
        <v>194.487167</v>
      </c>
      <c r="I21" s="161" t="n">
        <v>51.938885</v>
      </c>
      <c r="J21" s="161" t="n">
        <v>16.882812</v>
      </c>
      <c r="K21" s="161" t="n">
        <v>31.171295</v>
      </c>
      <c r="L21" s="161" t="n">
        <v>27.958012</v>
      </c>
      <c r="M21" s="161" t="n">
        <v>16.934931</v>
      </c>
      <c r="N21" s="161" t="n">
        <v>19.716167</v>
      </c>
    </row>
    <row r="22">
      <c r="B22" s="160" t="inlineStr">
        <is>
          <t>2012-01</t>
        </is>
      </c>
      <c r="C22" s="161" t="n">
        <v>20.512266</v>
      </c>
      <c r="D22" s="161" t="n">
        <v>15.662343</v>
      </c>
      <c r="E22" s="161" t="n">
        <v>20.696217</v>
      </c>
      <c r="F22" s="161" t="n">
        <v>30.155115</v>
      </c>
      <c r="G22" s="161" t="n">
        <v>7.851723</v>
      </c>
      <c r="H22" s="161" t="n">
        <v>224.333603</v>
      </c>
      <c r="I22" s="161" t="n">
        <v>53.192768</v>
      </c>
      <c r="J22" s="161" t="n">
        <v>20.514503</v>
      </c>
      <c r="K22" s="161" t="n">
        <v>31.017502</v>
      </c>
      <c r="L22" s="161" t="n">
        <v>32.63142</v>
      </c>
      <c r="M22" s="161" t="n">
        <v>17.595062</v>
      </c>
      <c r="N22" s="161" t="n">
        <v>21.059223</v>
      </c>
    </row>
    <row r="23">
      <c r="B23" s="160" t="inlineStr">
        <is>
          <t>2012-02</t>
        </is>
      </c>
      <c r="C23" s="161" t="n">
        <v>21.778309</v>
      </c>
      <c r="D23" s="161" t="n">
        <v>17.725977</v>
      </c>
      <c r="E23" s="161" t="n">
        <v>24.522532</v>
      </c>
      <c r="F23" s="161" t="n">
        <v>32.452621</v>
      </c>
      <c r="G23" s="161" t="n">
        <v>7.367376</v>
      </c>
      <c r="H23" s="161" t="n">
        <v>236.449417</v>
      </c>
      <c r="I23" s="161" t="n">
        <v>56.287651</v>
      </c>
      <c r="J23" s="161" t="n">
        <v>25.034437</v>
      </c>
      <c r="K23" s="161" t="n">
        <v>30.490202</v>
      </c>
      <c r="L23" s="161" t="n">
        <v>35.057472</v>
      </c>
      <c r="M23" s="161" t="n">
        <v>18.285271</v>
      </c>
      <c r="N23" s="161" t="n">
        <v>23.21207</v>
      </c>
    </row>
    <row r="24">
      <c r="B24" s="160" t="inlineStr">
        <is>
          <t>2012-03</t>
        </is>
      </c>
      <c r="C24" s="161" t="n">
        <v>24.526058</v>
      </c>
      <c r="D24" s="161" t="n">
        <v>17.213097</v>
      </c>
      <c r="E24" s="161" t="n">
        <v>24.885887</v>
      </c>
      <c r="F24" s="161" t="n">
        <v>33.424026</v>
      </c>
      <c r="G24" s="161" t="n">
        <v>7.329537</v>
      </c>
      <c r="H24" s="161" t="n">
        <v>214.460129</v>
      </c>
      <c r="I24" s="161" t="n">
        <v>56.824001</v>
      </c>
      <c r="J24" s="161" t="n">
        <v>24.898996</v>
      </c>
      <c r="K24" s="161" t="n">
        <v>31.984221</v>
      </c>
      <c r="L24" s="161" t="n">
        <v>33.669193</v>
      </c>
      <c r="M24" s="161" t="n">
        <v>16.652267</v>
      </c>
      <c r="N24" s="161" t="n">
        <v>23.220974</v>
      </c>
    </row>
    <row r="25">
      <c r="B25" s="160" t="inlineStr">
        <is>
          <t>2012-04</t>
        </is>
      </c>
      <c r="C25" s="161" t="n">
        <v>23.823147</v>
      </c>
      <c r="D25" s="161" t="n">
        <v>14.684961</v>
      </c>
      <c r="E25" s="161" t="n">
        <v>21.867842</v>
      </c>
      <c r="F25" s="161" t="n">
        <v>33.967251</v>
      </c>
      <c r="G25" s="161" t="n">
        <v>6.580312</v>
      </c>
      <c r="H25" s="161" t="n">
        <v>226.853241</v>
      </c>
      <c r="I25" s="161" t="n">
        <v>56.831238</v>
      </c>
      <c r="J25" s="161" t="n">
        <v>21.623226</v>
      </c>
      <c r="K25" s="161" t="n">
        <v>31.671137</v>
      </c>
      <c r="L25" s="161" t="n">
        <v>31.896042</v>
      </c>
      <c r="M25" s="161" t="n">
        <v>15.920684</v>
      </c>
      <c r="N25" s="161" t="n">
        <v>20.786045</v>
      </c>
    </row>
    <row r="26">
      <c r="B26" s="160" t="inlineStr">
        <is>
          <t>2012-05</t>
        </is>
      </c>
      <c r="C26" s="161" t="n">
        <v>21.622551</v>
      </c>
      <c r="D26" s="161" t="n">
        <v>12.447138</v>
      </c>
      <c r="E26" s="161" t="n">
        <v>20.206802</v>
      </c>
      <c r="F26" s="161" t="n">
        <v>33.16201</v>
      </c>
      <c r="G26" s="161" t="n">
        <v>6.275197</v>
      </c>
      <c r="H26" s="161" t="n">
        <v>222.057297</v>
      </c>
      <c r="I26" s="161" t="n">
        <v>57.258892</v>
      </c>
      <c r="J26" s="161" t="n">
        <v>21.346048</v>
      </c>
      <c r="K26" s="161" t="n">
        <v>30.210066</v>
      </c>
      <c r="L26" s="161" t="n">
        <v>29.600573</v>
      </c>
      <c r="M26" s="161" t="n">
        <v>15.344675</v>
      </c>
      <c r="N26" s="161" t="n">
        <v>19.185514</v>
      </c>
    </row>
    <row r="27">
      <c r="B27" s="160" t="inlineStr">
        <is>
          <t>2012-06</t>
        </is>
      </c>
      <c r="C27" s="161" t="n">
        <v>22.317476</v>
      </c>
      <c r="D27" s="161" t="n">
        <v>15.380122</v>
      </c>
      <c r="E27" s="161" t="n">
        <v>21.504492</v>
      </c>
      <c r="F27" s="161" t="n">
        <v>32.141399</v>
      </c>
      <c r="G27" s="161" t="n">
        <v>7.367216</v>
      </c>
      <c r="H27" s="161" t="n">
        <v>209.924316</v>
      </c>
      <c r="I27" s="161" t="n">
        <v>61.07132</v>
      </c>
      <c r="J27" s="161" t="n">
        <v>20.563046</v>
      </c>
      <c r="K27" s="161" t="n">
        <v>34.390789</v>
      </c>
      <c r="L27" s="161" t="n">
        <v>31.228436</v>
      </c>
      <c r="M27" s="161" t="n">
        <v>15.669088</v>
      </c>
      <c r="N27" s="161" t="n">
        <v>22.690084</v>
      </c>
    </row>
    <row r="28">
      <c r="B28" s="160" t="inlineStr">
        <is>
          <t>2012-07</t>
        </is>
      </c>
      <c r="C28" s="161" t="n">
        <v>23.78108</v>
      </c>
      <c r="D28" s="161" t="n">
        <v>15.296468</v>
      </c>
      <c r="E28" s="161" t="n">
        <v>22.923073</v>
      </c>
      <c r="F28" s="161" t="n">
        <v>32.446316</v>
      </c>
      <c r="G28" s="161" t="n">
        <v>7.143315</v>
      </c>
      <c r="H28" s="161" t="n">
        <v>192.07312</v>
      </c>
      <c r="I28" s="161" t="n">
        <v>63.42688</v>
      </c>
      <c r="J28" s="161" t="n">
        <v>23.277319</v>
      </c>
      <c r="K28" s="161" t="n">
        <v>38.265091</v>
      </c>
      <c r="L28" s="161" t="n">
        <v>32.870911</v>
      </c>
      <c r="M28" s="161" t="n">
        <v>16.869606</v>
      </c>
      <c r="N28" s="161" t="n">
        <v>21.311474</v>
      </c>
    </row>
    <row r="29">
      <c r="B29" s="160" t="inlineStr">
        <is>
          <t>2012-08</t>
        </is>
      </c>
      <c r="C29" s="161" t="n">
        <v>24.642595</v>
      </c>
      <c r="D29" s="161" t="n">
        <v>17.519705</v>
      </c>
      <c r="E29" s="161" t="n">
        <v>22.510984</v>
      </c>
      <c r="F29" s="161" t="n">
        <v>32.492222</v>
      </c>
      <c r="G29" s="161" t="n">
        <v>7.689324</v>
      </c>
      <c r="H29" s="161" t="n">
        <v>198.399078</v>
      </c>
      <c r="I29" s="161" t="n">
        <v>62.628426</v>
      </c>
      <c r="J29" s="161" t="n">
        <v>24.307432</v>
      </c>
      <c r="K29" s="161" t="n">
        <v>37.447632</v>
      </c>
      <c r="L29" s="161" t="n">
        <v>35.85593</v>
      </c>
      <c r="M29" s="161" t="n">
        <v>17.811663</v>
      </c>
      <c r="N29" s="161" t="n">
        <v>21.336145</v>
      </c>
    </row>
    <row r="30">
      <c r="B30" s="160" t="inlineStr">
        <is>
          <t>2012-09</t>
        </is>
      </c>
      <c r="C30" s="161" t="n">
        <v>20.046492</v>
      </c>
      <c r="D30" s="161" t="n">
        <v>18.749199</v>
      </c>
      <c r="E30" s="161" t="n">
        <v>25.36096</v>
      </c>
      <c r="F30" s="161" t="n">
        <v>31.4168</v>
      </c>
      <c r="G30" s="161" t="n">
        <v>6.834955</v>
      </c>
      <c r="H30" s="161" t="n">
        <v>181.11116</v>
      </c>
      <c r="I30" s="161" t="n">
        <v>63.827347</v>
      </c>
      <c r="J30" s="161" t="n">
        <v>23.885576</v>
      </c>
      <c r="K30" s="161" t="n">
        <v>38.196007</v>
      </c>
      <c r="L30" s="161" t="n">
        <v>32.888763</v>
      </c>
      <c r="M30" s="161" t="n">
        <v>17.31596</v>
      </c>
      <c r="N30" s="161" t="n">
        <v>20.444832</v>
      </c>
    </row>
    <row r="31">
      <c r="B31" s="160" t="inlineStr">
        <is>
          <t>2012-10</t>
        </is>
      </c>
      <c r="C31" s="161" t="n">
        <v>22.277487</v>
      </c>
      <c r="D31" s="161" t="n">
        <v>19.677027</v>
      </c>
      <c r="E31" s="161" t="n">
        <v>24.979681</v>
      </c>
      <c r="F31" s="161" t="n">
        <v>31.098755</v>
      </c>
      <c r="G31" s="161" t="n">
        <v>7.264526</v>
      </c>
      <c r="H31" s="161" t="n">
        <v>182.497665</v>
      </c>
      <c r="I31" s="161" t="n">
        <v>60.698467</v>
      </c>
      <c r="J31" s="161" t="n">
        <v>22.570953</v>
      </c>
      <c r="K31" s="161" t="n">
        <v>39.04224</v>
      </c>
      <c r="L31" s="161" t="n">
        <v>34.445541</v>
      </c>
      <c r="M31" s="161" t="n">
        <v>17.661392</v>
      </c>
      <c r="N31" s="161" t="n">
        <v>21.061659</v>
      </c>
    </row>
    <row r="32">
      <c r="B32" s="160" t="inlineStr">
        <is>
          <t>2012-11</t>
        </is>
      </c>
      <c r="C32" s="161" t="n">
        <v>21.042112</v>
      </c>
      <c r="D32" s="161" t="n">
        <v>21.77351</v>
      </c>
      <c r="E32" s="161" t="n">
        <v>25.072107</v>
      </c>
      <c r="F32" s="161" t="n">
        <v>31.98402</v>
      </c>
      <c r="G32" s="161" t="n">
        <v>7.096299</v>
      </c>
      <c r="H32" s="161" t="n">
        <v>205.894806</v>
      </c>
      <c r="I32" s="161" t="n">
        <v>63.644566</v>
      </c>
      <c r="J32" s="161" t="n">
        <v>25.151144</v>
      </c>
      <c r="K32" s="161" t="n">
        <v>39.525814</v>
      </c>
      <c r="L32" s="161" t="n">
        <v>38.591007</v>
      </c>
      <c r="M32" s="161" t="n">
        <v>17.504429</v>
      </c>
      <c r="N32" s="161" t="n">
        <v>20.925955</v>
      </c>
    </row>
    <row r="33">
      <c r="B33" s="160" t="inlineStr">
        <is>
          <t>2012-12</t>
        </is>
      </c>
      <c r="C33" s="161" t="n">
        <v>23.976141</v>
      </c>
      <c r="D33" s="161" t="n">
        <v>21.590988</v>
      </c>
      <c r="E33" s="161" t="n">
        <v>25.310894</v>
      </c>
      <c r="F33" s="161" t="n">
        <v>32.725014</v>
      </c>
      <c r="G33" s="161" t="n">
        <v>6.390567</v>
      </c>
      <c r="H33" s="161" t="n">
        <v>196.102646</v>
      </c>
      <c r="I33" s="161" t="n">
        <v>64.582649</v>
      </c>
      <c r="J33" s="161" t="n">
        <v>26.609657</v>
      </c>
      <c r="K33" s="161" t="n">
        <v>41.097404</v>
      </c>
      <c r="L33" s="161" t="n">
        <v>39.155155</v>
      </c>
      <c r="M33" s="161" t="n">
        <v>17.747831</v>
      </c>
      <c r="N33" s="161" t="n">
        <v>22.559725</v>
      </c>
    </row>
    <row r="34">
      <c r="B34" s="160" t="inlineStr">
        <is>
          <t>2013-01</t>
        </is>
      </c>
      <c r="C34" s="161" t="n">
        <v>28.125231</v>
      </c>
      <c r="D34" s="161" t="n">
        <v>23.428896</v>
      </c>
      <c r="E34" s="161" t="n">
        <v>27.348248</v>
      </c>
      <c r="F34" s="161" t="n">
        <v>33.46928</v>
      </c>
      <c r="G34" s="161" t="n">
        <v>6.199773</v>
      </c>
      <c r="H34" s="161" t="n">
        <v>207.497925</v>
      </c>
      <c r="I34" s="161" t="n">
        <v>68.09835099999999</v>
      </c>
      <c r="J34" s="161" t="n">
        <v>29.049231</v>
      </c>
      <c r="K34" s="161" t="n">
        <v>41.36797</v>
      </c>
      <c r="L34" s="161" t="n">
        <v>40.062092</v>
      </c>
      <c r="M34" s="161" t="n">
        <v>18.442137</v>
      </c>
      <c r="N34" s="161" t="n">
        <v>23.541538</v>
      </c>
    </row>
    <row r="35">
      <c r="B35" s="160" t="inlineStr">
        <is>
          <t>2013-02</t>
        </is>
      </c>
      <c r="C35" s="161" t="n">
        <v>31.843561</v>
      </c>
      <c r="D35" s="161" t="n">
        <v>21.854635</v>
      </c>
      <c r="E35" s="161" t="n">
        <v>29.035128</v>
      </c>
      <c r="F35" s="161" t="n">
        <v>34.879139</v>
      </c>
      <c r="G35" s="161" t="n">
        <v>5.941278</v>
      </c>
      <c r="H35" s="161" t="n">
        <v>221.146225</v>
      </c>
      <c r="I35" s="161" t="n">
        <v>73.40883599999999</v>
      </c>
      <c r="J35" s="161" t="n">
        <v>31.796204</v>
      </c>
      <c r="K35" s="161" t="n">
        <v>41.782452</v>
      </c>
      <c r="L35" s="161" t="n">
        <v>42.075901</v>
      </c>
      <c r="M35" s="161" t="n">
        <v>17.686985</v>
      </c>
      <c r="N35" s="161" t="n">
        <v>22.239773</v>
      </c>
    </row>
    <row r="36">
      <c r="B36" s="160" t="inlineStr">
        <is>
          <t>2013-03</t>
        </is>
      </c>
      <c r="C36" s="161" t="n">
        <v>32.266193</v>
      </c>
      <c r="D36" s="161" t="n">
        <v>20.300652</v>
      </c>
      <c r="E36" s="161" t="n">
        <v>27.344389</v>
      </c>
      <c r="F36" s="161" t="n">
        <v>35.593903</v>
      </c>
      <c r="G36" s="161" t="n">
        <v>6.162846</v>
      </c>
      <c r="H36" s="161" t="n">
        <v>236.094284</v>
      </c>
      <c r="I36" s="161" t="n">
        <v>71.798698</v>
      </c>
      <c r="J36" s="161" t="n">
        <v>31.966255</v>
      </c>
      <c r="K36" s="161" t="n">
        <v>45.63372</v>
      </c>
      <c r="L36" s="161" t="n">
        <v>40.704792</v>
      </c>
      <c r="M36" s="161" t="n">
        <v>17.252846</v>
      </c>
      <c r="N36" s="161" t="n">
        <v>22.048429</v>
      </c>
    </row>
    <row r="37">
      <c r="B37" s="160" t="inlineStr">
        <is>
          <t>2013-04</t>
        </is>
      </c>
      <c r="C37" s="161" t="n">
        <v>32.59536</v>
      </c>
      <c r="D37" s="161" t="n">
        <v>21.451561</v>
      </c>
      <c r="E37" s="161" t="n">
        <v>26.901489</v>
      </c>
      <c r="F37" s="161" t="n">
        <v>38.039833</v>
      </c>
      <c r="G37" s="161" t="n">
        <v>6.688041</v>
      </c>
      <c r="H37" s="161" t="n">
        <v>223.237015</v>
      </c>
      <c r="I37" s="161" t="n">
        <v>69.42781100000001</v>
      </c>
      <c r="J37" s="161" t="n">
        <v>34.219425</v>
      </c>
      <c r="K37" s="161" t="n">
        <v>47.907631</v>
      </c>
      <c r="L37" s="161" t="n">
        <v>41.347507</v>
      </c>
      <c r="M37" s="161" t="n">
        <v>17.945793</v>
      </c>
      <c r="N37" s="161" t="n">
        <v>22.936136</v>
      </c>
    </row>
    <row r="38">
      <c r="B38" s="160" t="inlineStr">
        <is>
          <t>2013-05</t>
        </is>
      </c>
      <c r="C38" s="161" t="n">
        <v>36.126762</v>
      </c>
      <c r="D38" s="161" t="n">
        <v>22.980194</v>
      </c>
      <c r="E38" s="161" t="n">
        <v>29.092888</v>
      </c>
      <c r="F38" s="161" t="n">
        <v>37.207035</v>
      </c>
      <c r="G38" s="161" t="n">
        <v>6.734257</v>
      </c>
      <c r="H38" s="161" t="n">
        <v>239.886124</v>
      </c>
      <c r="I38" s="161" t="n">
        <v>68.460251</v>
      </c>
      <c r="J38" s="161" t="n">
        <v>39.085487</v>
      </c>
      <c r="K38" s="161" t="n">
        <v>47.498905</v>
      </c>
      <c r="L38" s="161" t="n">
        <v>43.804073</v>
      </c>
      <c r="M38" s="161" t="n">
        <v>18.093508</v>
      </c>
      <c r="N38" s="161" t="n">
        <v>25.811705</v>
      </c>
    </row>
    <row r="39">
      <c r="B39" s="160" t="inlineStr">
        <is>
          <t>2013-06</t>
        </is>
      </c>
      <c r="C39" s="161" t="n">
        <v>33.834423</v>
      </c>
      <c r="D39" s="161" t="n">
        <v>21.987885</v>
      </c>
      <c r="E39" s="161" t="n">
        <v>28.769382</v>
      </c>
      <c r="F39" s="161" t="n">
        <v>38.779652</v>
      </c>
      <c r="G39" s="161" t="n">
        <v>6.43282</v>
      </c>
      <c r="H39" s="161" t="n">
        <v>216.176468</v>
      </c>
      <c r="I39" s="161" t="n">
        <v>62.920784</v>
      </c>
      <c r="J39" s="161" t="n">
        <v>34.947414</v>
      </c>
      <c r="K39" s="161" t="n">
        <v>47.362843</v>
      </c>
      <c r="L39" s="161" t="n">
        <v>41.126118</v>
      </c>
      <c r="M39" s="161" t="n">
        <v>17.587061</v>
      </c>
      <c r="N39" s="161" t="n">
        <v>25.070423</v>
      </c>
    </row>
    <row r="40">
      <c r="B40" s="160" t="inlineStr">
        <is>
          <t>2013-07</t>
        </is>
      </c>
      <c r="C40" s="161" t="n">
        <v>36.981812</v>
      </c>
      <c r="D40" s="161" t="n">
        <v>25.476612</v>
      </c>
      <c r="E40" s="161" t="n">
        <v>32.558399</v>
      </c>
      <c r="F40" s="161" t="n">
        <v>39.949894</v>
      </c>
      <c r="G40" s="161" t="n">
        <v>6.74281</v>
      </c>
      <c r="H40" s="161" t="n">
        <v>223.477859</v>
      </c>
      <c r="I40" s="161" t="n">
        <v>66.104134</v>
      </c>
      <c r="J40" s="161" t="n">
        <v>39.996883</v>
      </c>
      <c r="K40" s="161" t="n">
        <v>47.69001</v>
      </c>
      <c r="L40" s="161" t="n">
        <v>44.136959</v>
      </c>
      <c r="M40" s="161" t="n">
        <v>19.112825</v>
      </c>
      <c r="N40" s="161" t="n">
        <v>26.393688</v>
      </c>
    </row>
    <row r="41">
      <c r="B41" s="160" t="inlineStr">
        <is>
          <t>2013-08</t>
        </is>
      </c>
      <c r="C41" s="161" t="n">
        <v>35.927185</v>
      </c>
      <c r="D41" s="161" t="n">
        <v>24.837538</v>
      </c>
      <c r="E41" s="161" t="n">
        <v>32.787857</v>
      </c>
      <c r="F41" s="161" t="n">
        <v>37.891869</v>
      </c>
      <c r="G41" s="161" t="n">
        <v>7.01218</v>
      </c>
      <c r="H41" s="161" t="n">
        <v>221.990356</v>
      </c>
      <c r="I41" s="161" t="n">
        <v>65.466454</v>
      </c>
      <c r="J41" s="161" t="n">
        <v>36.556217</v>
      </c>
      <c r="K41" s="161" t="n">
        <v>43.240452</v>
      </c>
      <c r="L41" s="161" t="n">
        <v>42.727474</v>
      </c>
      <c r="M41" s="161" t="n">
        <v>19.977909</v>
      </c>
      <c r="N41" s="161" t="n">
        <v>25.405298</v>
      </c>
    </row>
    <row r="42">
      <c r="B42" s="160" t="inlineStr">
        <is>
          <t>2013-09</t>
        </is>
      </c>
      <c r="C42" s="161" t="n">
        <v>38.802681</v>
      </c>
      <c r="D42" s="161" t="n">
        <v>26.191643</v>
      </c>
      <c r="E42" s="161" t="n">
        <v>34.789631</v>
      </c>
      <c r="F42" s="161" t="n">
        <v>37.421089</v>
      </c>
      <c r="G42" s="161" t="n">
        <v>7.940011</v>
      </c>
      <c r="H42" s="161" t="n">
        <v>232.840485</v>
      </c>
      <c r="I42" s="161" t="n">
        <v>68.410347</v>
      </c>
      <c r="J42" s="161" t="n">
        <v>39.834652</v>
      </c>
      <c r="K42" s="161" t="n">
        <v>44.596741</v>
      </c>
      <c r="L42" s="161" t="n">
        <v>46.12944</v>
      </c>
      <c r="M42" s="161" t="n">
        <v>20.445011</v>
      </c>
      <c r="N42" s="161" t="n">
        <v>27.941278</v>
      </c>
    </row>
    <row r="43">
      <c r="B43" s="160" t="inlineStr">
        <is>
          <t>2013-10</t>
        </is>
      </c>
      <c r="C43" s="161" t="n">
        <v>41.698772</v>
      </c>
      <c r="D43" s="161" t="n">
        <v>28.569847</v>
      </c>
      <c r="E43" s="161" t="n">
        <v>38.334255</v>
      </c>
      <c r="F43" s="161" t="n">
        <v>36.735073</v>
      </c>
      <c r="G43" s="161" t="n">
        <v>7.84167</v>
      </c>
      <c r="H43" s="161" t="n">
        <v>219.540268</v>
      </c>
      <c r="I43" s="161" t="n">
        <v>65.95835099999999</v>
      </c>
      <c r="J43" s="161" t="n">
        <v>43.606537</v>
      </c>
      <c r="K43" s="161" t="n">
        <v>46.720394</v>
      </c>
      <c r="L43" s="161" t="n">
        <v>45.789978</v>
      </c>
      <c r="M43" s="161" t="n">
        <v>21.876827</v>
      </c>
      <c r="N43" s="161" t="n">
        <v>30.721111</v>
      </c>
    </row>
    <row r="44">
      <c r="B44" s="160" t="inlineStr">
        <is>
          <t>2013-11</t>
        </is>
      </c>
      <c r="C44" s="161" t="n">
        <v>43.058243</v>
      </c>
      <c r="D44" s="161" t="n">
        <v>28.941767</v>
      </c>
      <c r="E44" s="161" t="n">
        <v>37.978214</v>
      </c>
      <c r="F44" s="161" t="n">
        <v>35.968357</v>
      </c>
      <c r="G44" s="161" t="n">
        <v>7.298653</v>
      </c>
      <c r="H44" s="161" t="n">
        <v>224.877853</v>
      </c>
      <c r="I44" s="161" t="n">
        <v>62.179726</v>
      </c>
      <c r="J44" s="161" t="n">
        <v>44.133793</v>
      </c>
      <c r="K44" s="161" t="n">
        <v>46.303982</v>
      </c>
      <c r="L44" s="161" t="n">
        <v>45.981846</v>
      </c>
      <c r="M44" s="161" t="n">
        <v>21.553015</v>
      </c>
      <c r="N44" s="161" t="n">
        <v>30.773125</v>
      </c>
    </row>
    <row r="45">
      <c r="B45" s="160" t="inlineStr">
        <is>
          <t>2013-12</t>
        </is>
      </c>
      <c r="C45" s="161" t="n">
        <v>45.983181</v>
      </c>
      <c r="D45" s="161" t="n">
        <v>29.675137</v>
      </c>
      <c r="E45" s="161" t="n">
        <v>38.872284</v>
      </c>
      <c r="F45" s="161" t="n">
        <v>35.18819</v>
      </c>
      <c r="G45" s="161" t="n">
        <v>7.652</v>
      </c>
      <c r="H45" s="161" t="n">
        <v>230.565445</v>
      </c>
      <c r="I45" s="161" t="n">
        <v>62.311417</v>
      </c>
      <c r="J45" s="161" t="n">
        <v>39.510185</v>
      </c>
      <c r="K45" s="161" t="n">
        <v>45.87569</v>
      </c>
      <c r="L45" s="161" t="n">
        <v>46.786221</v>
      </c>
      <c r="M45" s="161" t="n">
        <v>21.521601</v>
      </c>
      <c r="N45" s="161" t="n">
        <v>31.398344</v>
      </c>
    </row>
    <row r="46">
      <c r="B46" s="160" t="inlineStr">
        <is>
          <t>2014-01</t>
        </is>
      </c>
      <c r="C46" s="161" t="n">
        <v>43.346619</v>
      </c>
      <c r="D46" s="161" t="n">
        <v>30.094202</v>
      </c>
      <c r="E46" s="161" t="n">
        <v>40.011627</v>
      </c>
      <c r="F46" s="161" t="n">
        <v>32.958668</v>
      </c>
      <c r="G46" s="161" t="n">
        <v>7.334193</v>
      </c>
      <c r="H46" s="161" t="n">
        <v>206.721405</v>
      </c>
      <c r="I46" s="161" t="n">
        <v>59.926109</v>
      </c>
      <c r="J46" s="161" t="n">
        <v>43.775536</v>
      </c>
      <c r="K46" s="161" t="n">
        <v>43.305897</v>
      </c>
      <c r="L46" s="161" t="n">
        <v>44.196011</v>
      </c>
      <c r="M46" s="161" t="n">
        <v>20.757845</v>
      </c>
      <c r="N46" s="161" t="n">
        <v>31.954323</v>
      </c>
    </row>
    <row r="47">
      <c r="B47" s="160" t="inlineStr">
        <is>
          <t>2014-02</t>
        </is>
      </c>
      <c r="C47" s="161" t="n">
        <v>43.989277</v>
      </c>
      <c r="D47" s="161" t="n">
        <v>31.147097</v>
      </c>
      <c r="E47" s="161" t="n">
        <v>44.885498</v>
      </c>
      <c r="F47" s="161" t="n">
        <v>34.421478</v>
      </c>
      <c r="G47" s="161" t="n">
        <v>8.321186000000001</v>
      </c>
      <c r="H47" s="161" t="n">
        <v>204.315109</v>
      </c>
      <c r="I47" s="161" t="n">
        <v>64.177528</v>
      </c>
      <c r="J47" s="161" t="n">
        <v>48.81147</v>
      </c>
      <c r="K47" s="161" t="n">
        <v>44.81089</v>
      </c>
      <c r="L47" s="161" t="n">
        <v>47.782455</v>
      </c>
      <c r="M47" s="161" t="n">
        <v>23.057188</v>
      </c>
      <c r="N47" s="161" t="n">
        <v>35.615921</v>
      </c>
    </row>
    <row r="48">
      <c r="B48" s="160" t="inlineStr">
        <is>
          <t>2014-03</t>
        </is>
      </c>
      <c r="C48" s="161" t="n">
        <v>42.835789</v>
      </c>
      <c r="D48" s="161" t="n">
        <v>29.329405</v>
      </c>
      <c r="E48" s="161" t="n">
        <v>43.477146</v>
      </c>
      <c r="F48" s="161" t="n">
        <v>34.52235</v>
      </c>
      <c r="G48" s="161" t="n">
        <v>8.889659</v>
      </c>
      <c r="H48" s="161" t="n">
        <v>212.732269</v>
      </c>
      <c r="I48" s="161" t="n">
        <v>63.583076</v>
      </c>
      <c r="J48" s="161" t="n">
        <v>47.68261</v>
      </c>
      <c r="K48" s="161" t="n">
        <v>45.019089</v>
      </c>
      <c r="L48" s="161" t="n">
        <v>47.48727</v>
      </c>
      <c r="M48" s="161" t="n">
        <v>23.336651</v>
      </c>
      <c r="N48" s="161" t="n">
        <v>35.47118</v>
      </c>
    </row>
    <row r="49">
      <c r="B49" s="160" t="inlineStr">
        <is>
          <t>2014-04</t>
        </is>
      </c>
      <c r="C49" s="161" t="n">
        <v>40.775982</v>
      </c>
      <c r="D49" s="161" t="n">
        <v>28.344599</v>
      </c>
      <c r="E49" s="161" t="n">
        <v>40.28064</v>
      </c>
      <c r="F49" s="161" t="n">
        <v>35.753136</v>
      </c>
      <c r="G49" s="161" t="n">
        <v>8.135427</v>
      </c>
      <c r="H49" s="161" t="n">
        <v>222.902206</v>
      </c>
      <c r="I49" s="161" t="n">
        <v>65.09551999999999</v>
      </c>
      <c r="J49" s="161" t="n">
        <v>47.418983</v>
      </c>
      <c r="K49" s="161" t="n">
        <v>46.411068</v>
      </c>
      <c r="L49" s="161" t="n">
        <v>49.848721</v>
      </c>
      <c r="M49" s="161" t="n">
        <v>25.555872</v>
      </c>
      <c r="N49" s="161" t="n">
        <v>35.754097</v>
      </c>
    </row>
    <row r="50">
      <c r="B50" s="160" t="inlineStr">
        <is>
          <t>2014-05</t>
        </is>
      </c>
      <c r="C50" s="161" t="n">
        <v>43.346619</v>
      </c>
      <c r="D50" s="161" t="n">
        <v>26.909294</v>
      </c>
      <c r="E50" s="161" t="n">
        <v>42.203285</v>
      </c>
      <c r="F50" s="161" t="n">
        <v>36.741798</v>
      </c>
      <c r="G50" s="161" t="n">
        <v>9.505315</v>
      </c>
      <c r="H50" s="161" t="n">
        <v>228.933746</v>
      </c>
      <c r="I50" s="161" t="n">
        <v>67.68398999999999</v>
      </c>
      <c r="J50" s="161" t="n">
        <v>46.682178</v>
      </c>
      <c r="K50" s="161" t="n">
        <v>46.660904</v>
      </c>
      <c r="L50" s="161" t="n">
        <v>50.977787</v>
      </c>
      <c r="M50" s="161" t="n">
        <v>25.555872</v>
      </c>
      <c r="N50" s="161" t="n">
        <v>36.551594</v>
      </c>
    </row>
    <row r="51">
      <c r="B51" s="160" t="inlineStr">
        <is>
          <t>2014-06</t>
        </is>
      </c>
      <c r="C51" s="161" t="n">
        <v>40.900284</v>
      </c>
      <c r="D51" s="161" t="n">
        <v>26.721144</v>
      </c>
      <c r="E51" s="161" t="n">
        <v>42.136574</v>
      </c>
      <c r="F51" s="161" t="n">
        <v>37.520748</v>
      </c>
      <c r="G51" s="161" t="n">
        <v>9.328987</v>
      </c>
      <c r="H51" s="161" t="n">
        <v>237.29866</v>
      </c>
      <c r="I51" s="161" t="n">
        <v>65.990944</v>
      </c>
      <c r="J51" s="161" t="n">
        <v>45.785675</v>
      </c>
      <c r="K51" s="161" t="n">
        <v>47.868706</v>
      </c>
      <c r="L51" s="161" t="n">
        <v>52.459831</v>
      </c>
      <c r="M51" s="161" t="n">
        <v>26.201221</v>
      </c>
      <c r="N51" s="161" t="n">
        <v>36.75354</v>
      </c>
    </row>
    <row r="52">
      <c r="B52" s="160" t="inlineStr">
        <is>
          <t>2014-07</t>
        </is>
      </c>
      <c r="C52" s="161" t="n">
        <v>36.236958</v>
      </c>
      <c r="D52" s="161" t="n">
        <v>26.696878</v>
      </c>
      <c r="E52" s="161" t="n">
        <v>43.859234</v>
      </c>
      <c r="F52" s="161" t="n">
        <v>37.416981</v>
      </c>
      <c r="G52" s="161" t="n">
        <v>8.932257999999999</v>
      </c>
      <c r="H52" s="161" t="n">
        <v>228.270325</v>
      </c>
      <c r="I52" s="161" t="n">
        <v>62.981094</v>
      </c>
      <c r="J52" s="161" t="n">
        <v>43.247807</v>
      </c>
      <c r="K52" s="161" t="n">
        <v>48.510399</v>
      </c>
      <c r="L52" s="161" t="n">
        <v>48.240162</v>
      </c>
      <c r="M52" s="161" t="n">
        <v>24.159262</v>
      </c>
      <c r="N52" s="161" t="n">
        <v>34.747574</v>
      </c>
    </row>
    <row r="53">
      <c r="B53" s="160" t="inlineStr">
        <is>
          <t>2014-08</t>
        </is>
      </c>
      <c r="C53" s="161" t="n">
        <v>39.11602</v>
      </c>
      <c r="D53" s="161" t="n">
        <v>27.710821</v>
      </c>
      <c r="E53" s="161" t="n">
        <v>43.762184</v>
      </c>
      <c r="F53" s="161" t="n">
        <v>36.759815</v>
      </c>
      <c r="G53" s="161" t="n">
        <v>8.697931000000001</v>
      </c>
      <c r="H53" s="161" t="n">
        <v>231.631805</v>
      </c>
      <c r="I53" s="161" t="n">
        <v>68.158348</v>
      </c>
      <c r="J53" s="161" t="n">
        <v>41.313202</v>
      </c>
      <c r="K53" s="161" t="n">
        <v>51.521469</v>
      </c>
      <c r="L53" s="161" t="n">
        <v>49.079514</v>
      </c>
      <c r="M53" s="161" t="n">
        <v>25.214251</v>
      </c>
      <c r="N53" s="161" t="n">
        <v>33.488796</v>
      </c>
    </row>
    <row r="54">
      <c r="B54" s="160" t="inlineStr">
        <is>
          <t>2014-09</t>
        </is>
      </c>
      <c r="C54" s="161" t="n">
        <v>41.635719</v>
      </c>
      <c r="D54" s="161" t="n">
        <v>28.325661</v>
      </c>
      <c r="E54" s="161" t="n">
        <v>45.962029</v>
      </c>
      <c r="F54" s="161" t="n">
        <v>36.662975</v>
      </c>
      <c r="G54" s="161" t="n">
        <v>9.215305000000001</v>
      </c>
      <c r="H54" s="161" t="n">
        <v>209.428375</v>
      </c>
      <c r="I54" s="161" t="n">
        <v>68.08240499999999</v>
      </c>
      <c r="J54" s="161" t="n">
        <v>39.766903</v>
      </c>
      <c r="K54" s="161" t="n">
        <v>55.260643</v>
      </c>
      <c r="L54" s="161" t="n">
        <v>46.39357</v>
      </c>
      <c r="M54" s="161" t="n">
        <v>25.84724</v>
      </c>
      <c r="N54" s="161" t="n">
        <v>30.967884</v>
      </c>
    </row>
    <row r="55">
      <c r="B55" s="160" t="inlineStr">
        <is>
          <t>2014-10</t>
        </is>
      </c>
      <c r="C55" s="161" t="n">
        <v>39.780418</v>
      </c>
      <c r="D55" s="161" t="n">
        <v>27.042055</v>
      </c>
      <c r="E55" s="161" t="n">
        <v>42.427727</v>
      </c>
      <c r="F55" s="161" t="n">
        <v>37.506912</v>
      </c>
      <c r="G55" s="161" t="n">
        <v>8.980978</v>
      </c>
      <c r="H55" s="161" t="n">
        <v>218.583969</v>
      </c>
      <c r="I55" s="161" t="n">
        <v>68.986221</v>
      </c>
      <c r="J55" s="161" t="n">
        <v>41.070507</v>
      </c>
      <c r="K55" s="161" t="n">
        <v>45.449966</v>
      </c>
      <c r="L55" s="161" t="n">
        <v>47.980724</v>
      </c>
      <c r="M55" s="161" t="n">
        <v>24.116119</v>
      </c>
      <c r="N55" s="161" t="n">
        <v>30.611118</v>
      </c>
    </row>
    <row r="56">
      <c r="B56" s="160" t="inlineStr">
        <is>
          <t>2014-11</t>
        </is>
      </c>
      <c r="C56" s="161" t="n">
        <v>40.946251</v>
      </c>
      <c r="D56" s="161" t="n">
        <v>27.807899</v>
      </c>
      <c r="E56" s="161" t="n">
        <v>47.660427</v>
      </c>
      <c r="F56" s="161" t="n">
        <v>39.257046</v>
      </c>
      <c r="G56" s="161" t="n">
        <v>9.449752999999999</v>
      </c>
      <c r="H56" s="161" t="n">
        <v>238.177841</v>
      </c>
      <c r="I56" s="161" t="n">
        <v>72.388824</v>
      </c>
      <c r="J56" s="161" t="n">
        <v>44.738628</v>
      </c>
      <c r="K56" s="161" t="n">
        <v>48.041462</v>
      </c>
      <c r="L56" s="161" t="n">
        <v>50.056225</v>
      </c>
      <c r="M56" s="161" t="n">
        <v>22.880322</v>
      </c>
      <c r="N56" s="161" t="n">
        <v>29.264833</v>
      </c>
    </row>
    <row r="57">
      <c r="B57" s="160" t="inlineStr">
        <is>
          <t>2014-12</t>
        </is>
      </c>
      <c r="C57" s="161" t="n">
        <v>34.557148</v>
      </c>
      <c r="D57" s="161" t="n">
        <v>26.567438</v>
      </c>
      <c r="E57" s="161" t="n">
        <v>48.105244</v>
      </c>
      <c r="F57" s="161" t="n">
        <v>37.666012</v>
      </c>
      <c r="G57" s="161" t="n">
        <v>9.266147999999999</v>
      </c>
      <c r="H57" s="161" t="n">
        <v>260.779266</v>
      </c>
      <c r="I57" s="161" t="n">
        <v>70.705406</v>
      </c>
      <c r="J57" s="161" t="n">
        <v>41.971931</v>
      </c>
      <c r="K57" s="161" t="n">
        <v>46.684013</v>
      </c>
      <c r="L57" s="161" t="n">
        <v>46.248592</v>
      </c>
      <c r="M57" s="161" t="n">
        <v>21.624159</v>
      </c>
      <c r="N57" s="161" t="n">
        <v>31.310863</v>
      </c>
    </row>
    <row r="58">
      <c r="B58" s="160" t="inlineStr">
        <is>
          <t>2015-01</t>
        </is>
      </c>
      <c r="C58" s="161" t="n">
        <v>39.446129</v>
      </c>
      <c r="D58" s="161" t="n">
        <v>25.227205</v>
      </c>
      <c r="E58" s="161" t="n">
        <v>52.221851</v>
      </c>
      <c r="F58" s="161" t="n">
        <v>41.207794</v>
      </c>
      <c r="G58" s="161" t="n">
        <v>9.406834999999999</v>
      </c>
      <c r="H58" s="161" t="n">
        <v>265.777313</v>
      </c>
      <c r="I58" s="161" t="n">
        <v>81.695168</v>
      </c>
      <c r="J58" s="161" t="n">
        <v>47.297306</v>
      </c>
      <c r="K58" s="161" t="n">
        <v>50.595955</v>
      </c>
      <c r="L58" s="161" t="n">
        <v>51.124493</v>
      </c>
      <c r="M58" s="161" t="n">
        <v>23.487986</v>
      </c>
      <c r="N58" s="161" t="n">
        <v>32.22591</v>
      </c>
    </row>
    <row r="59">
      <c r="B59" s="160" t="inlineStr">
        <is>
          <t>2015-02</t>
        </is>
      </c>
      <c r="C59" s="161" t="n">
        <v>46.240559</v>
      </c>
      <c r="D59" s="161" t="n">
        <v>28.093742</v>
      </c>
      <c r="E59" s="161" t="n">
        <v>58.449329</v>
      </c>
      <c r="F59" s="161" t="n">
        <v>43.117035</v>
      </c>
      <c r="G59" s="161" t="n">
        <v>9.478370999999999</v>
      </c>
      <c r="H59" s="161" t="n">
        <v>255.073624</v>
      </c>
      <c r="I59" s="161" t="n">
        <v>81.19703699999999</v>
      </c>
      <c r="J59" s="161" t="n">
        <v>59.529011</v>
      </c>
      <c r="K59" s="161" t="n">
        <v>54.112976</v>
      </c>
      <c r="L59" s="161" t="n">
        <v>54.924488</v>
      </c>
      <c r="M59" s="161" t="n">
        <v>24.899853</v>
      </c>
      <c r="N59" s="161" t="n">
        <v>36.477745</v>
      </c>
    </row>
    <row r="60">
      <c r="B60" s="160" t="inlineStr">
        <is>
          <t>2015-03</t>
        </is>
      </c>
      <c r="C60" s="161" t="n">
        <v>50.511105</v>
      </c>
      <c r="D60" s="161" t="n">
        <v>30.509954</v>
      </c>
      <c r="E60" s="161" t="n">
        <v>61.765259</v>
      </c>
      <c r="F60" s="161" t="n">
        <v>43.317646</v>
      </c>
      <c r="G60" s="161" t="n">
        <v>8.777327</v>
      </c>
      <c r="H60" s="161" t="n">
        <v>290.501678</v>
      </c>
      <c r="I60" s="161" t="n">
        <v>84.41579400000001</v>
      </c>
      <c r="J60" s="161" t="n">
        <v>58.780128</v>
      </c>
      <c r="K60" s="161" t="n">
        <v>56.722992</v>
      </c>
      <c r="L60" s="161" t="n">
        <v>55.206829</v>
      </c>
      <c r="M60" s="161" t="n">
        <v>23.888062</v>
      </c>
      <c r="N60" s="161" t="n">
        <v>36.622227</v>
      </c>
    </row>
    <row r="61">
      <c r="B61" s="160" t="inlineStr">
        <is>
          <t>2015-04</t>
        </is>
      </c>
      <c r="C61" s="161" t="n">
        <v>51.814831</v>
      </c>
      <c r="D61" s="161" t="n">
        <v>30.439829</v>
      </c>
      <c r="E61" s="161" t="n">
        <v>64.296684</v>
      </c>
      <c r="F61" s="161" t="n">
        <v>44.625057</v>
      </c>
      <c r="G61" s="161" t="n">
        <v>8.681946999999999</v>
      </c>
      <c r="H61" s="161" t="n">
        <v>299.71756</v>
      </c>
      <c r="I61" s="161" t="n">
        <v>85.0672</v>
      </c>
      <c r="J61" s="161" t="n">
        <v>65.249611</v>
      </c>
      <c r="K61" s="161" t="n">
        <v>56.272564</v>
      </c>
      <c r="L61" s="161" t="n">
        <v>51.002407</v>
      </c>
      <c r="M61" s="161" t="n">
        <v>25.353577</v>
      </c>
      <c r="N61" s="161" t="n">
        <v>37.716148</v>
      </c>
    </row>
    <row r="62">
      <c r="B62" s="160" t="inlineStr">
        <is>
          <t>2015-05</t>
        </is>
      </c>
      <c r="C62" s="161" t="n">
        <v>51.814831</v>
      </c>
      <c r="D62" s="161" t="n">
        <v>29.625444</v>
      </c>
      <c r="E62" s="161" t="n">
        <v>63.908485</v>
      </c>
      <c r="F62" s="161" t="n">
        <v>43.255386</v>
      </c>
      <c r="G62" s="161" t="n">
        <v>9.003299</v>
      </c>
      <c r="H62" s="161" t="n">
        <v>316.257233</v>
      </c>
      <c r="I62" s="161" t="n">
        <v>86.255066</v>
      </c>
      <c r="J62" s="161" t="n">
        <v>65.547783</v>
      </c>
      <c r="K62" s="161" t="n">
        <v>55.00766</v>
      </c>
      <c r="L62" s="161" t="n">
        <v>54.033947</v>
      </c>
      <c r="M62" s="161" t="n">
        <v>24.041054</v>
      </c>
      <c r="N62" s="161" t="n">
        <v>38.025356</v>
      </c>
    </row>
    <row r="63">
      <c r="B63" s="160" t="inlineStr">
        <is>
          <t>2015-06</t>
        </is>
      </c>
      <c r="C63" s="161" t="n">
        <v>48.639084</v>
      </c>
      <c r="D63" s="161" t="n">
        <v>29.988298</v>
      </c>
      <c r="E63" s="161" t="n">
        <v>65.158653</v>
      </c>
      <c r="F63" s="161" t="n">
        <v>41.078667</v>
      </c>
      <c r="G63" s="161" t="n">
        <v>8.153193</v>
      </c>
      <c r="H63" s="161" t="n">
        <v>297.538879</v>
      </c>
      <c r="I63" s="161" t="n">
        <v>79.39606499999999</v>
      </c>
      <c r="J63" s="161" t="n">
        <v>66.12439000000001</v>
      </c>
      <c r="K63" s="161" t="n">
        <v>56.20266</v>
      </c>
      <c r="L63" s="161" t="n">
        <v>48.652546</v>
      </c>
      <c r="M63" s="161" t="n">
        <v>22.783445</v>
      </c>
      <c r="N63" s="161" t="n">
        <v>36.478462</v>
      </c>
    </row>
    <row r="64">
      <c r="B64" s="160" t="inlineStr">
        <is>
          <t>2015-07</t>
        </is>
      </c>
      <c r="C64" s="161" t="n">
        <v>55.053257</v>
      </c>
      <c r="D64" s="161" t="n">
        <v>32.845913</v>
      </c>
      <c r="E64" s="161" t="n">
        <v>71.463531</v>
      </c>
      <c r="F64" s="161" t="n">
        <v>43.699646</v>
      </c>
      <c r="G64" s="161" t="n">
        <v>8.567224</v>
      </c>
      <c r="H64" s="161" t="n">
        <v>320.903259</v>
      </c>
      <c r="I64" s="161" t="n">
        <v>83.57279200000001</v>
      </c>
      <c r="J64" s="161" t="n">
        <v>59.301022</v>
      </c>
      <c r="K64" s="161" t="n">
        <v>62.399986</v>
      </c>
      <c r="L64" s="161" t="n">
        <v>49.956657</v>
      </c>
      <c r="M64" s="161" t="n">
        <v>23.890329</v>
      </c>
      <c r="N64" s="161" t="n">
        <v>41.062878</v>
      </c>
    </row>
    <row r="65">
      <c r="B65" s="160" t="inlineStr">
        <is>
          <t>2015-08</t>
        </is>
      </c>
      <c r="C65" s="161" t="n">
        <v>49.505325</v>
      </c>
      <c r="D65" s="161" t="n">
        <v>31.162361</v>
      </c>
      <c r="E65" s="161" t="n">
        <v>65.774361</v>
      </c>
      <c r="F65" s="161" t="n">
        <v>39.236885</v>
      </c>
      <c r="G65" s="161" t="n">
        <v>7.832259</v>
      </c>
      <c r="H65" s="161" t="n">
        <v>286.680786</v>
      </c>
      <c r="I65" s="161" t="n">
        <v>72.240616</v>
      </c>
      <c r="J65" s="161" t="n">
        <v>52.442265</v>
      </c>
      <c r="K65" s="161" t="n">
        <v>56.15807</v>
      </c>
      <c r="L65" s="161" t="n">
        <v>44.253162</v>
      </c>
      <c r="M65" s="161" t="n">
        <v>21.627176</v>
      </c>
      <c r="N65" s="161" t="n">
        <v>40.366783</v>
      </c>
    </row>
    <row r="66">
      <c r="B66" s="160" t="inlineStr">
        <is>
          <t>2015-09</t>
        </is>
      </c>
      <c r="C66" s="161" t="n">
        <v>45.090836</v>
      </c>
      <c r="D66" s="161" t="n">
        <v>29.052376</v>
      </c>
      <c r="E66" s="161" t="n">
        <v>65.363884</v>
      </c>
      <c r="F66" s="161" t="n">
        <v>39.966503</v>
      </c>
      <c r="G66" s="161" t="n">
        <v>7.075248</v>
      </c>
      <c r="H66" s="161" t="n">
        <v>294.24054</v>
      </c>
      <c r="I66" s="161" t="n">
        <v>69.660614</v>
      </c>
      <c r="J66" s="161" t="n">
        <v>45.300377</v>
      </c>
      <c r="K66" s="161" t="n">
        <v>54.068951</v>
      </c>
      <c r="L66" s="161" t="n">
        <v>39.288124</v>
      </c>
      <c r="M66" s="161" t="n">
        <v>21.306513</v>
      </c>
      <c r="N66" s="161" t="n">
        <v>39.874588</v>
      </c>
    </row>
    <row r="67">
      <c r="B67" s="160" t="inlineStr">
        <is>
          <t>2015-10</t>
        </is>
      </c>
      <c r="C67" s="161" t="n">
        <v>53.99651</v>
      </c>
      <c r="D67" s="161" t="n">
        <v>30.603016</v>
      </c>
      <c r="E67" s="161" t="n">
        <v>66.521416</v>
      </c>
      <c r="F67" s="161" t="n">
        <v>44.918053</v>
      </c>
      <c r="G67" s="161" t="n">
        <v>7.817559</v>
      </c>
      <c r="H67" s="161" t="n">
        <v>317.191315</v>
      </c>
      <c r="I67" s="161" t="n">
        <v>82.80789900000001</v>
      </c>
      <c r="J67" s="161" t="n">
        <v>60.681278</v>
      </c>
      <c r="K67" s="161" t="n">
        <v>58.501984</v>
      </c>
      <c r="L67" s="161" t="n">
        <v>43.271149</v>
      </c>
      <c r="M67" s="161" t="n">
        <v>23.756254</v>
      </c>
      <c r="N67" s="161" t="n">
        <v>43.158218</v>
      </c>
    </row>
    <row r="68">
      <c r="B68" s="160" t="inlineStr">
        <is>
          <t>2015-11</t>
        </is>
      </c>
      <c r="C68" s="161" t="n">
        <v>58.325783</v>
      </c>
      <c r="D68" s="161" t="n">
        <v>31.07375</v>
      </c>
      <c r="E68" s="161" t="n">
        <v>71.685196</v>
      </c>
      <c r="F68" s="161" t="n">
        <v>46.986504</v>
      </c>
      <c r="G68" s="161" t="n">
        <v>8.353679</v>
      </c>
      <c r="H68" s="161" t="n">
        <v>301.709747</v>
      </c>
      <c r="I68" s="161" t="n">
        <v>83.19414500000001</v>
      </c>
      <c r="J68" s="161" t="n">
        <v>67.603745</v>
      </c>
      <c r="K68" s="161" t="n">
        <v>53.744122</v>
      </c>
      <c r="L68" s="161" t="n">
        <v>47.136333</v>
      </c>
      <c r="M68" s="161" t="n">
        <v>25.292641</v>
      </c>
      <c r="N68" s="161" t="n">
        <v>43.284775</v>
      </c>
    </row>
    <row r="69">
      <c r="B69" s="160" t="inlineStr">
        <is>
          <t>2015-12</t>
        </is>
      </c>
      <c r="C69" s="161" t="n">
        <v>52.837494</v>
      </c>
      <c r="D69" s="161" t="n">
        <v>28.924999</v>
      </c>
      <c r="E69" s="161" t="n">
        <v>70.273155</v>
      </c>
      <c r="F69" s="161" t="n">
        <v>44.117588</v>
      </c>
      <c r="G69" s="161" t="n">
        <v>8.270092</v>
      </c>
      <c r="H69" s="161" t="n">
        <v>282.244568</v>
      </c>
      <c r="I69" s="161" t="n">
        <v>82.02164500000001</v>
      </c>
      <c r="J69" s="161" t="n">
        <v>65.565224</v>
      </c>
      <c r="K69" s="161" t="n">
        <v>50.062664</v>
      </c>
      <c r="L69" s="161" t="n">
        <v>41.291424</v>
      </c>
      <c r="M69" s="161" t="n">
        <v>22.2064</v>
      </c>
      <c r="N69" s="161" t="n">
        <v>41.970112</v>
      </c>
    </row>
    <row r="70">
      <c r="B70" s="160" t="inlineStr">
        <is>
          <t>2016-01</t>
        </is>
      </c>
      <c r="C70" s="161" t="n">
        <v>49.275223</v>
      </c>
      <c r="D70" s="161" t="n">
        <v>24.214928</v>
      </c>
      <c r="E70" s="161" t="n">
        <v>69.025322</v>
      </c>
      <c r="F70" s="161" t="n">
        <v>44.946388</v>
      </c>
      <c r="G70" s="161" t="n">
        <v>7.444347</v>
      </c>
      <c r="H70" s="161" t="n">
        <v>283.874176</v>
      </c>
      <c r="I70" s="161" t="n">
        <v>84.165756</v>
      </c>
      <c r="J70" s="161" t="n">
        <v>55.160294</v>
      </c>
      <c r="K70" s="161" t="n">
        <v>48.756958</v>
      </c>
      <c r="L70" s="161" t="n">
        <v>38.581089</v>
      </c>
      <c r="M70" s="161" t="n">
        <v>22.345194</v>
      </c>
      <c r="N70" s="161" t="n">
        <v>44.297836</v>
      </c>
    </row>
    <row r="71">
      <c r="B71" s="160" t="inlineStr">
        <is>
          <t>2016-02</t>
        </is>
      </c>
      <c r="C71" s="161" t="n">
        <v>50.945568</v>
      </c>
      <c r="D71" s="161" t="n">
        <v>23.813423</v>
      </c>
      <c r="E71" s="161" t="n">
        <v>62.966721</v>
      </c>
      <c r="F71" s="161" t="n">
        <v>45.498924</v>
      </c>
      <c r="G71" s="161" t="n">
        <v>7.236645</v>
      </c>
      <c r="H71" s="161" t="n">
        <v>284.734253</v>
      </c>
      <c r="I71" s="161" t="n">
        <v>76.49376700000001</v>
      </c>
      <c r="J71" s="161" t="n">
        <v>59.555847</v>
      </c>
      <c r="K71" s="161" t="n">
        <v>46.616879</v>
      </c>
      <c r="L71" s="161" t="n">
        <v>43.027611</v>
      </c>
      <c r="M71" s="161" t="n">
        <v>22.59367</v>
      </c>
      <c r="N71" s="161" t="n">
        <v>45.291382</v>
      </c>
    </row>
    <row r="72">
      <c r="B72" s="160" t="inlineStr">
        <is>
          <t>2016-03</t>
        </is>
      </c>
      <c r="C72" s="161" t="n">
        <v>49.726902</v>
      </c>
      <c r="D72" s="161" t="n">
        <v>24.4946</v>
      </c>
      <c r="E72" s="161" t="n">
        <v>67.79389999999999</v>
      </c>
      <c r="F72" s="161" t="n">
        <v>44.280518</v>
      </c>
      <c r="G72" s="161" t="n">
        <v>6.909896</v>
      </c>
      <c r="H72" s="161" t="n">
        <v>281.480682</v>
      </c>
      <c r="I72" s="161" t="n">
        <v>76.40799699999999</v>
      </c>
      <c r="J72" s="161" t="n">
        <v>61.806698</v>
      </c>
      <c r="K72" s="161" t="n">
        <v>45.132828</v>
      </c>
      <c r="L72" s="161" t="n">
        <v>43.632526</v>
      </c>
      <c r="M72" s="161" t="n">
        <v>21.875582</v>
      </c>
      <c r="N72" s="161" t="n">
        <v>46.462353</v>
      </c>
    </row>
    <row r="73">
      <c r="B73" s="160" t="inlineStr">
        <is>
          <t>2016-04</t>
        </is>
      </c>
      <c r="C73" s="161" t="n">
        <v>46.539604</v>
      </c>
      <c r="D73" s="161" t="n">
        <v>25.60774</v>
      </c>
      <c r="E73" s="161" t="n">
        <v>66.93190800000001</v>
      </c>
      <c r="F73" s="161" t="n">
        <v>43.331287</v>
      </c>
      <c r="G73" s="161" t="n">
        <v>7.294904</v>
      </c>
      <c r="H73" s="161" t="n">
        <v>282.890625</v>
      </c>
      <c r="I73" s="161" t="n">
        <v>73.50760699999999</v>
      </c>
      <c r="J73" s="161" t="n">
        <v>59.654938</v>
      </c>
      <c r="K73" s="161" t="n">
        <v>45.928986</v>
      </c>
      <c r="L73" s="161" t="n">
        <v>44.653816</v>
      </c>
      <c r="M73" s="161" t="n">
        <v>24.334972</v>
      </c>
      <c r="N73" s="161" t="n">
        <v>46.299129</v>
      </c>
    </row>
    <row r="74">
      <c r="B74" s="160" t="inlineStr">
        <is>
          <t>2016-05</t>
        </is>
      </c>
      <c r="C74" s="161" t="n">
        <v>47.74123</v>
      </c>
      <c r="D74" s="161" t="n">
        <v>27.559885</v>
      </c>
      <c r="E74" s="161" t="n">
        <v>70.35523999999999</v>
      </c>
      <c r="F74" s="161" t="n">
        <v>44.684292</v>
      </c>
      <c r="G74" s="161" t="n">
        <v>7.013746</v>
      </c>
      <c r="H74" s="161" t="n">
        <v>295.579742</v>
      </c>
      <c r="I74" s="161" t="n">
        <v>76.337852</v>
      </c>
      <c r="J74" s="161" t="n">
        <v>59.697407</v>
      </c>
      <c r="K74" s="161" t="n">
        <v>46.935341</v>
      </c>
      <c r="L74" s="161" t="n">
        <v>45.651531</v>
      </c>
      <c r="M74" s="161" t="n">
        <v>24.19372</v>
      </c>
      <c r="N74" s="161" t="n">
        <v>48.915585</v>
      </c>
    </row>
    <row r="75">
      <c r="B75" s="160" t="inlineStr">
        <is>
          <t>2016-06</t>
        </is>
      </c>
      <c r="C75" s="161" t="n">
        <v>45.160267</v>
      </c>
      <c r="D75" s="161" t="n">
        <v>22.01634</v>
      </c>
      <c r="E75" s="161" t="n">
        <v>65.22148900000001</v>
      </c>
      <c r="F75" s="161" t="n">
        <v>46.138439</v>
      </c>
      <c r="G75" s="161" t="n">
        <v>7.62676</v>
      </c>
      <c r="H75" s="161" t="n">
        <v>306.495148</v>
      </c>
      <c r="I75" s="161" t="n">
        <v>78.045311</v>
      </c>
      <c r="J75" s="161" t="n">
        <v>49.900394</v>
      </c>
      <c r="K75" s="161" t="n">
        <v>49.760174</v>
      </c>
      <c r="L75" s="161" t="n">
        <v>43.259892</v>
      </c>
      <c r="M75" s="161" t="n">
        <v>24.030308</v>
      </c>
      <c r="N75" s="161" t="n">
        <v>46.093113</v>
      </c>
    </row>
    <row r="76">
      <c r="B76" s="160" t="inlineStr">
        <is>
          <t>2016-07</t>
        </is>
      </c>
      <c r="C76" s="161" t="n">
        <v>45.945965</v>
      </c>
      <c r="D76" s="161" t="n">
        <v>25.782778</v>
      </c>
      <c r="E76" s="161" t="n">
        <v>71.68525699999999</v>
      </c>
      <c r="F76" s="161" t="n">
        <v>50.118526</v>
      </c>
      <c r="G76" s="161" t="n">
        <v>7.739769</v>
      </c>
      <c r="H76" s="161" t="n">
        <v>352.029694</v>
      </c>
      <c r="I76" s="161" t="n">
        <v>79.682625</v>
      </c>
      <c r="J76" s="161" t="n">
        <v>57.052979</v>
      </c>
      <c r="K76" s="161" t="n">
        <v>50.577118</v>
      </c>
      <c r="L76" s="161" t="n">
        <v>47.711437</v>
      </c>
      <c r="M76" s="161" t="n">
        <v>24.033472</v>
      </c>
      <c r="N76" s="161" t="n">
        <v>49.132698</v>
      </c>
    </row>
    <row r="77">
      <c r="B77" s="160" t="inlineStr">
        <is>
          <t>2016-08</t>
        </is>
      </c>
      <c r="C77" s="161" t="n">
        <v>45.649147</v>
      </c>
      <c r="D77" s="161" t="n">
        <v>26.509382</v>
      </c>
      <c r="E77" s="161" t="n">
        <v>72.844559</v>
      </c>
      <c r="F77" s="161" t="n">
        <v>49.558262</v>
      </c>
      <c r="G77" s="161" t="n">
        <v>7.511124</v>
      </c>
      <c r="H77" s="161" t="n">
        <v>346.357666</v>
      </c>
      <c r="I77" s="161" t="n">
        <v>80.959373</v>
      </c>
      <c r="J77" s="161" t="n">
        <v>53.45116</v>
      </c>
      <c r="K77" s="161" t="n">
        <v>45.874741</v>
      </c>
      <c r="L77" s="161" t="n">
        <v>49.806763</v>
      </c>
      <c r="M77" s="161" t="n">
        <v>24.027859</v>
      </c>
      <c r="N77" s="161" t="n">
        <v>49.205067</v>
      </c>
    </row>
    <row r="78">
      <c r="B78" s="160" t="inlineStr">
        <is>
          <t>2016-09</t>
        </is>
      </c>
      <c r="C78" s="161" t="n">
        <v>47.002293</v>
      </c>
      <c r="D78" s="161" t="n">
        <v>26.605297</v>
      </c>
      <c r="E78" s="161" t="n">
        <v>72.71112100000001</v>
      </c>
      <c r="F78" s="161" t="n">
        <v>48.059364</v>
      </c>
      <c r="G78" s="161" t="n">
        <v>7.248314</v>
      </c>
      <c r="H78" s="161" t="n">
        <v>331.400116</v>
      </c>
      <c r="I78" s="161" t="n">
        <v>82.886971</v>
      </c>
      <c r="J78" s="161" t="n">
        <v>53.327217</v>
      </c>
      <c r="K78" s="161" t="n">
        <v>44.924965</v>
      </c>
      <c r="L78" s="161" t="n">
        <v>50.597607</v>
      </c>
      <c r="M78" s="161" t="n">
        <v>23.701866</v>
      </c>
      <c r="N78" s="161" t="n">
        <v>49.299152</v>
      </c>
    </row>
    <row r="79">
      <c r="B79" s="160" t="inlineStr">
        <is>
          <t>2016-10</t>
        </is>
      </c>
      <c r="C79" s="161" t="n">
        <v>47.27293</v>
      </c>
      <c r="D79" s="161" t="n">
        <v>30.714956</v>
      </c>
      <c r="E79" s="161" t="n">
        <v>62.952919</v>
      </c>
      <c r="F79" s="161" t="n">
        <v>45.898327</v>
      </c>
      <c r="G79" s="161" t="n">
        <v>6.904032</v>
      </c>
      <c r="H79" s="161" t="n">
        <v>337.666718</v>
      </c>
      <c r="I79" s="161" t="n">
        <v>85.24730700000001</v>
      </c>
      <c r="J79" s="161" t="n">
        <v>57.680012</v>
      </c>
      <c r="K79" s="161" t="n">
        <v>47.130028</v>
      </c>
      <c r="L79" s="161" t="n">
        <v>49.84753</v>
      </c>
      <c r="M79" s="161" t="n">
        <v>24.937592</v>
      </c>
      <c r="N79" s="161" t="n">
        <v>47.750412</v>
      </c>
    </row>
    <row r="80">
      <c r="B80" s="160" t="inlineStr">
        <is>
          <t>2016-11</t>
        </is>
      </c>
      <c r="C80" s="161" t="n">
        <v>52.615688</v>
      </c>
      <c r="D80" s="161" t="n">
        <v>31.842649</v>
      </c>
      <c r="E80" s="161" t="n">
        <v>62.135563</v>
      </c>
      <c r="F80" s="161" t="n">
        <v>43.191582</v>
      </c>
      <c r="G80" s="161" t="n">
        <v>6.363526</v>
      </c>
      <c r="H80" s="161" t="n">
        <v>356.237885</v>
      </c>
      <c r="I80" s="161" t="n">
        <v>77.89093800000001</v>
      </c>
      <c r="J80" s="161" t="n">
        <v>54.202152</v>
      </c>
      <c r="K80" s="161" t="n">
        <v>50.550545</v>
      </c>
      <c r="L80" s="161" t="n">
        <v>51.217232</v>
      </c>
      <c r="M80" s="161" t="n">
        <v>25.642025</v>
      </c>
      <c r="N80" s="161" t="n">
        <v>44.312786</v>
      </c>
    </row>
    <row r="81">
      <c r="B81" s="160" t="inlineStr">
        <is>
          <t>2016-12</t>
        </is>
      </c>
      <c r="C81" s="161" t="n">
        <v>54.859287</v>
      </c>
      <c r="D81" s="161" t="n">
        <v>35.196651</v>
      </c>
      <c r="E81" s="161" t="n">
        <v>66.84786200000001</v>
      </c>
      <c r="F81" s="161" t="n">
        <v>43.802784</v>
      </c>
      <c r="G81" s="161" t="n">
        <v>6.620253</v>
      </c>
      <c r="H81" s="161" t="n">
        <v>356.786865</v>
      </c>
      <c r="I81" s="161" t="n">
        <v>81.80952499999999</v>
      </c>
      <c r="J81" s="161" t="n">
        <v>61.617222</v>
      </c>
      <c r="K81" s="161" t="n">
        <v>51.075249</v>
      </c>
      <c r="L81" s="161" t="n">
        <v>53.899574</v>
      </c>
      <c r="M81" s="161" t="n">
        <v>27.789558</v>
      </c>
      <c r="N81" s="161" t="n">
        <v>47.291927</v>
      </c>
    </row>
    <row r="82">
      <c r="B82" s="160" t="inlineStr">
        <is>
          <t>2017-01</t>
        </is>
      </c>
      <c r="C82" s="161" t="n">
        <v>54.789448</v>
      </c>
      <c r="D82" s="161" t="n">
        <v>34.400288</v>
      </c>
      <c r="E82" s="161" t="n">
        <v>62.861187</v>
      </c>
      <c r="F82" s="161" t="n">
        <v>42.194744</v>
      </c>
      <c r="G82" s="161" t="n">
        <v>6.043984</v>
      </c>
      <c r="H82" s="161" t="n">
        <v>368.176575</v>
      </c>
      <c r="I82" s="161" t="n">
        <v>86.100655</v>
      </c>
      <c r="J82" s="161" t="n">
        <v>60.79332</v>
      </c>
      <c r="K82" s="161" t="n">
        <v>49.474583</v>
      </c>
      <c r="L82" s="161" t="n">
        <v>53.989262</v>
      </c>
      <c r="M82" s="161" t="n">
        <v>26.955179</v>
      </c>
      <c r="N82" s="161" t="n">
        <v>47.438122</v>
      </c>
    </row>
    <row r="83">
      <c r="B83" s="160" t="inlineStr">
        <is>
          <t>2017-02</t>
        </is>
      </c>
      <c r="C83" s="161" t="n">
        <v>60.516323</v>
      </c>
      <c r="D83" s="161" t="n">
        <v>32.046097</v>
      </c>
      <c r="E83" s="161" t="n">
        <v>67.298241</v>
      </c>
      <c r="F83" s="161" t="n">
        <v>45.51997</v>
      </c>
      <c r="G83" s="161" t="n">
        <v>6.303442</v>
      </c>
      <c r="H83" s="161" t="n">
        <v>376.821777</v>
      </c>
      <c r="I83" s="161" t="n">
        <v>85.743073</v>
      </c>
      <c r="J83" s="161" t="n">
        <v>61.033916</v>
      </c>
      <c r="K83" s="161" t="n">
        <v>54.017548</v>
      </c>
      <c r="L83" s="161" t="n">
        <v>52.089611</v>
      </c>
      <c r="M83" s="161" t="n">
        <v>27.18049</v>
      </c>
      <c r="N83" s="161" t="n">
        <v>49.711361</v>
      </c>
    </row>
    <row r="84">
      <c r="B84" s="160" t="inlineStr">
        <is>
          <t>2017-03</t>
        </is>
      </c>
      <c r="C84" s="161" t="n">
        <v>62.271061</v>
      </c>
      <c r="D84" s="161" t="n">
        <v>36.289455</v>
      </c>
      <c r="E84" s="161" t="n">
        <v>72.194016</v>
      </c>
      <c r="F84" s="161" t="n">
        <v>46.393105</v>
      </c>
      <c r="G84" s="161" t="n">
        <v>7.253875</v>
      </c>
      <c r="H84" s="161" t="n">
        <v>407.778381</v>
      </c>
      <c r="I84" s="161" t="n">
        <v>88.127022</v>
      </c>
      <c r="J84" s="161" t="n">
        <v>59.371548</v>
      </c>
      <c r="K84" s="161" t="n">
        <v>56.202702</v>
      </c>
      <c r="L84" s="161" t="n">
        <v>55.954136</v>
      </c>
      <c r="M84" s="161" t="n">
        <v>27.391335</v>
      </c>
      <c r="N84" s="161" t="n">
        <v>54.308979</v>
      </c>
    </row>
    <row r="85">
      <c r="B85" s="160" t="inlineStr">
        <is>
          <t>2017-04</t>
        </is>
      </c>
      <c r="C85" s="161" t="n">
        <v>64.802757</v>
      </c>
      <c r="D85" s="161" t="n">
        <v>37.655472</v>
      </c>
      <c r="E85" s="161" t="n">
        <v>76.647766</v>
      </c>
      <c r="F85" s="161" t="n">
        <v>46.698711</v>
      </c>
      <c r="G85" s="161" t="n">
        <v>7.073619</v>
      </c>
      <c r="H85" s="161" t="n">
        <v>403.279053</v>
      </c>
      <c r="I85" s="161" t="n">
        <v>91.26589199999999</v>
      </c>
      <c r="J85" s="161" t="n">
        <v>62.419247</v>
      </c>
      <c r="K85" s="161" t="n">
        <v>57.52441</v>
      </c>
      <c r="L85" s="161" t="n">
        <v>59.109352</v>
      </c>
      <c r="M85" s="161" t="n">
        <v>27.605362</v>
      </c>
      <c r="N85" s="161" t="n">
        <v>57.086559</v>
      </c>
    </row>
    <row r="86">
      <c r="B86" s="160" t="inlineStr">
        <is>
          <t>2017-05</t>
        </is>
      </c>
      <c r="C86" s="161" t="n">
        <v>65.020668</v>
      </c>
      <c r="D86" s="161" t="n">
        <v>36.516159</v>
      </c>
      <c r="E86" s="161" t="n">
        <v>76.864616</v>
      </c>
      <c r="F86" s="161" t="n">
        <v>48.081196</v>
      </c>
      <c r="G86" s="161" t="n">
        <v>7.420473</v>
      </c>
      <c r="H86" s="161" t="n">
        <v>403.967804</v>
      </c>
      <c r="I86" s="161" t="n">
        <v>96.073547</v>
      </c>
      <c r="J86" s="161" t="n">
        <v>60.581879</v>
      </c>
      <c r="K86" s="161" t="n">
        <v>58.560528</v>
      </c>
      <c r="L86" s="161" t="n">
        <v>55.897057</v>
      </c>
      <c r="M86" s="161" t="n">
        <v>27.663891</v>
      </c>
      <c r="N86" s="161" t="n">
        <v>57.900349</v>
      </c>
    </row>
    <row r="87">
      <c r="B87" s="160" t="inlineStr">
        <is>
          <t>2017-06</t>
        </is>
      </c>
      <c r="C87" s="161" t="n">
        <v>64.068535</v>
      </c>
      <c r="D87" s="161" t="n">
        <v>38.210579</v>
      </c>
      <c r="E87" s="161" t="n">
        <v>76.73275</v>
      </c>
      <c r="F87" s="161" t="n">
        <v>49.160652</v>
      </c>
      <c r="G87" s="161" t="n">
        <v>7.48731</v>
      </c>
      <c r="H87" s="161" t="n">
        <v>397.264801</v>
      </c>
      <c r="I87" s="161" t="n">
        <v>93.17308</v>
      </c>
      <c r="J87" s="161" t="n">
        <v>57.782082</v>
      </c>
      <c r="K87" s="161" t="n">
        <v>57.471291</v>
      </c>
      <c r="L87" s="161" t="n">
        <v>56.389408</v>
      </c>
      <c r="M87" s="161" t="n">
        <v>25.331741</v>
      </c>
      <c r="N87" s="161" t="n">
        <v>55.665684</v>
      </c>
    </row>
    <row r="88">
      <c r="B88" s="160" t="inlineStr">
        <is>
          <t>2017-07</t>
        </is>
      </c>
      <c r="C88" s="161" t="n">
        <v>62.822754</v>
      </c>
      <c r="D88" s="161" t="n">
        <v>39.731491</v>
      </c>
      <c r="E88" s="161" t="n">
        <v>78.02182000000001</v>
      </c>
      <c r="F88" s="161" t="n">
        <v>47.128792</v>
      </c>
      <c r="G88" s="161" t="n">
        <v>7.708274</v>
      </c>
      <c r="H88" s="161" t="n">
        <v>394.984192</v>
      </c>
      <c r="I88" s="161" t="n">
        <v>93.17308</v>
      </c>
      <c r="J88" s="161" t="n">
        <v>57.744675</v>
      </c>
      <c r="K88" s="161" t="n">
        <v>55.385418</v>
      </c>
      <c r="L88" s="161" t="n">
        <v>55.618217</v>
      </c>
      <c r="M88" s="161" t="n">
        <v>25.479095</v>
      </c>
      <c r="N88" s="161" t="n">
        <v>56.418018</v>
      </c>
    </row>
    <row r="89">
      <c r="B89" s="160" t="inlineStr">
        <is>
          <t>2017-08</t>
        </is>
      </c>
      <c r="C89" s="161" t="n">
        <v>62.831654</v>
      </c>
      <c r="D89" s="161" t="n">
        <v>38.725632</v>
      </c>
      <c r="E89" s="161" t="n">
        <v>78.980125</v>
      </c>
      <c r="F89" s="161" t="n">
        <v>49.414642</v>
      </c>
      <c r="G89" s="161" t="n">
        <v>7.943404</v>
      </c>
      <c r="H89" s="161" t="n">
        <v>410.026886</v>
      </c>
      <c r="I89" s="161" t="n">
        <v>91.959351</v>
      </c>
      <c r="J89" s="161" t="n">
        <v>56.37233</v>
      </c>
      <c r="K89" s="161" t="n">
        <v>56.030388</v>
      </c>
      <c r="L89" s="161" t="n">
        <v>56.775013</v>
      </c>
      <c r="M89" s="161" t="n">
        <v>25.766729</v>
      </c>
      <c r="N89" s="161" t="n">
        <v>57.617287</v>
      </c>
    </row>
    <row r="90">
      <c r="B90" s="160" t="inlineStr">
        <is>
          <t>2017-09</t>
        </is>
      </c>
      <c r="C90" s="161" t="n">
        <v>71.552109</v>
      </c>
      <c r="D90" s="161" t="n">
        <v>41.355408</v>
      </c>
      <c r="E90" s="161" t="n">
        <v>84.093948</v>
      </c>
      <c r="F90" s="161" t="n">
        <v>49.578987</v>
      </c>
      <c r="G90" s="161" t="n">
        <v>8.141705999999999</v>
      </c>
      <c r="H90" s="161" t="n">
        <v>393.646088</v>
      </c>
      <c r="I90" s="161" t="n">
        <v>93.761681</v>
      </c>
      <c r="J90" s="161" t="n">
        <v>63.014179</v>
      </c>
      <c r="K90" s="161" t="n">
        <v>57.642822</v>
      </c>
      <c r="L90" s="161" t="n">
        <v>61.720707</v>
      </c>
      <c r="M90" s="161" t="n">
        <v>26.952904</v>
      </c>
      <c r="N90" s="161" t="n">
        <v>59.889214</v>
      </c>
    </row>
    <row r="91">
      <c r="B91" s="160" t="inlineStr">
        <is>
          <t>2017-10</t>
        </is>
      </c>
      <c r="C91" s="161" t="n">
        <v>78.083534</v>
      </c>
      <c r="D91" s="161" t="n">
        <v>40.622227</v>
      </c>
      <c r="E91" s="161" t="n">
        <v>88.495392</v>
      </c>
      <c r="F91" s="161" t="n">
        <v>52.39521</v>
      </c>
      <c r="G91" s="161" t="n">
        <v>8.221026999999999</v>
      </c>
      <c r="H91" s="161" t="n">
        <v>411.180389</v>
      </c>
      <c r="I91" s="161" t="n">
        <v>103.13385</v>
      </c>
      <c r="J91" s="161" t="n">
        <v>64.55332900000001</v>
      </c>
      <c r="K91" s="161" t="n">
        <v>55.776512</v>
      </c>
      <c r="L91" s="161" t="n">
        <v>63.246338</v>
      </c>
      <c r="M91" s="161" t="n">
        <v>28.779604</v>
      </c>
      <c r="N91" s="161" t="n">
        <v>62.608067</v>
      </c>
    </row>
    <row r="92">
      <c r="B92" s="160" t="inlineStr">
        <is>
          <t>2017-11</t>
        </is>
      </c>
      <c r="C92" s="161" t="n">
        <v>77.67420199999999</v>
      </c>
      <c r="D92" s="161" t="n">
        <v>38.525673</v>
      </c>
      <c r="E92" s="161" t="n">
        <v>82.16036200000001</v>
      </c>
      <c r="F92" s="161" t="n">
        <v>52.977871</v>
      </c>
      <c r="G92" s="161" t="n">
        <v>8.538982000000001</v>
      </c>
      <c r="H92" s="161" t="n">
        <v>408.68869</v>
      </c>
      <c r="I92" s="161" t="n">
        <v>104.976227</v>
      </c>
      <c r="J92" s="161" t="n">
        <v>64.735298</v>
      </c>
      <c r="K92" s="161" t="n">
        <v>52.558506</v>
      </c>
      <c r="L92" s="161" t="n">
        <v>60.530384</v>
      </c>
      <c r="M92" s="161" t="n">
        <v>28.500034</v>
      </c>
      <c r="N92" s="161" t="n">
        <v>63.941402</v>
      </c>
    </row>
    <row r="93">
      <c r="B93" s="160" t="inlineStr">
        <is>
          <t>2017-12</t>
        </is>
      </c>
      <c r="C93" s="161" t="n">
        <v>73.85678900000001</v>
      </c>
      <c r="D93" s="161" t="n">
        <v>37.719772</v>
      </c>
      <c r="E93" s="161" t="n">
        <v>83.86496699999999</v>
      </c>
      <c r="F93" s="161" t="n">
        <v>52.253269</v>
      </c>
      <c r="G93" s="161" t="n">
        <v>8.324128999999999</v>
      </c>
      <c r="H93" s="161" t="n">
        <v>411.826416</v>
      </c>
      <c r="I93" s="161" t="n">
        <v>106.59552</v>
      </c>
      <c r="J93" s="161" t="n">
        <v>63.620739</v>
      </c>
      <c r="K93" s="161" t="n">
        <v>49.299332</v>
      </c>
      <c r="L93" s="161" t="n">
        <v>59.398754</v>
      </c>
      <c r="M93" s="161" t="n">
        <v>27.682409</v>
      </c>
      <c r="N93" s="161" t="n">
        <v>63.942265</v>
      </c>
    </row>
    <row r="94">
      <c r="B94" s="160" t="inlineStr">
        <is>
          <t>2018-01</t>
        </is>
      </c>
      <c r="C94" s="161" t="n">
        <v>82.310272</v>
      </c>
      <c r="D94" s="161" t="n">
        <v>40.355606</v>
      </c>
      <c r="E94" s="161" t="n">
        <v>90.700363</v>
      </c>
      <c r="F94" s="161" t="n">
        <v>51.887238</v>
      </c>
      <c r="G94" s="161" t="n">
        <v>8.117984999999999</v>
      </c>
      <c r="H94" s="161" t="n">
        <v>410.857483</v>
      </c>
      <c r="I94" s="161" t="n">
        <v>103.646896</v>
      </c>
      <c r="J94" s="161" t="n">
        <v>67.153961</v>
      </c>
      <c r="K94" s="161" t="n">
        <v>48.798447</v>
      </c>
      <c r="L94" s="161" t="n">
        <v>63.271492</v>
      </c>
      <c r="M94" s="161" t="n">
        <v>28.409056</v>
      </c>
      <c r="N94" s="161" t="n">
        <v>65.331497</v>
      </c>
    </row>
    <row r="95">
      <c r="B95" s="160" t="inlineStr">
        <is>
          <t>2018-02</t>
        </is>
      </c>
      <c r="C95" s="161" t="n">
        <v>87.50694300000001</v>
      </c>
      <c r="D95" s="161" t="n">
        <v>39.610306</v>
      </c>
      <c r="E95" s="161" t="n">
        <v>87.30811300000001</v>
      </c>
      <c r="F95" s="161" t="n">
        <v>49.115841</v>
      </c>
      <c r="G95" s="161" t="n">
        <v>7.476327</v>
      </c>
      <c r="H95" s="161" t="n">
        <v>407.996521</v>
      </c>
      <c r="I95" s="161" t="n">
        <v>109.059448</v>
      </c>
      <c r="J95" s="161" t="n">
        <v>67.843941</v>
      </c>
      <c r="K95" s="161" t="n">
        <v>44.619843</v>
      </c>
      <c r="L95" s="161" t="n">
        <v>60.002293</v>
      </c>
      <c r="M95" s="161" t="n">
        <v>28.613136</v>
      </c>
      <c r="N95" s="161" t="n">
        <v>61.066181</v>
      </c>
    </row>
    <row r="96">
      <c r="B96" s="160" t="inlineStr">
        <is>
          <t>2018-03</t>
        </is>
      </c>
      <c r="C96" s="161" t="n">
        <v>83.467072</v>
      </c>
      <c r="D96" s="161" t="n">
        <v>36.459408</v>
      </c>
      <c r="E96" s="161" t="n">
        <v>85.824005</v>
      </c>
      <c r="F96" s="161" t="n">
        <v>49.100899</v>
      </c>
      <c r="G96" s="161" t="n">
        <v>7.871194</v>
      </c>
      <c r="H96" s="161" t="n">
        <v>445.871735</v>
      </c>
      <c r="I96" s="161" t="n">
        <v>109.261406</v>
      </c>
      <c r="J96" s="161" t="n">
        <v>74.682907</v>
      </c>
      <c r="K96" s="161" t="n">
        <v>44.825684</v>
      </c>
      <c r="L96" s="161" t="n">
        <v>59.801109</v>
      </c>
      <c r="M96" s="161" t="n">
        <v>28.101431</v>
      </c>
      <c r="N96" s="161" t="n">
        <v>59.999832</v>
      </c>
    </row>
    <row r="97">
      <c r="B97" s="160" t="inlineStr">
        <is>
          <t>2018-04</t>
        </is>
      </c>
      <c r="C97" s="161" t="n">
        <v>86.67049400000001</v>
      </c>
      <c r="D97" s="161" t="n">
        <v>38.768047</v>
      </c>
      <c r="E97" s="161" t="n">
        <v>96.67920700000001</v>
      </c>
      <c r="F97" s="161" t="n">
        <v>50.116821</v>
      </c>
      <c r="G97" s="161" t="n">
        <v>8.448976999999999</v>
      </c>
      <c r="H97" s="161" t="n">
        <v>496.15387</v>
      </c>
      <c r="I97" s="161" t="n">
        <v>111.119469</v>
      </c>
      <c r="J97" s="161" t="n">
        <v>68.11687499999999</v>
      </c>
      <c r="K97" s="161" t="n">
        <v>45.141308</v>
      </c>
      <c r="L97" s="161" t="n">
        <v>63.103821</v>
      </c>
      <c r="M97" s="161" t="n">
        <v>32.297443</v>
      </c>
      <c r="N97" s="161" t="n">
        <v>62.402828</v>
      </c>
    </row>
    <row r="98">
      <c r="B98" s="160" t="inlineStr">
        <is>
          <t>2018-05</t>
        </is>
      </c>
      <c r="C98" s="161" t="n">
        <v>88.03357699999999</v>
      </c>
      <c r="D98" s="161" t="n">
        <v>32.151184</v>
      </c>
      <c r="E98" s="161" t="n">
        <v>95.53433200000001</v>
      </c>
      <c r="F98" s="161" t="n">
        <v>48.846912</v>
      </c>
      <c r="G98" s="161" t="n">
        <v>7.85958</v>
      </c>
      <c r="H98" s="161" t="n">
        <v>563.752197</v>
      </c>
      <c r="I98" s="161" t="n">
        <v>116.087723</v>
      </c>
      <c r="J98" s="161" t="n">
        <v>62.650242</v>
      </c>
      <c r="K98" s="161" t="n">
        <v>45.031521</v>
      </c>
      <c r="L98" s="161" t="n">
        <v>61.846451</v>
      </c>
      <c r="M98" s="161" t="n">
        <v>32.124626</v>
      </c>
      <c r="N98" s="161" t="n">
        <v>64.203796</v>
      </c>
    </row>
    <row r="99">
      <c r="B99" s="160" t="inlineStr">
        <is>
          <t>2018-06</t>
        </is>
      </c>
      <c r="C99" s="161" t="n">
        <v>90.70236199999999</v>
      </c>
      <c r="D99" s="161" t="n">
        <v>34.025787</v>
      </c>
      <c r="E99" s="161" t="n">
        <v>97.696884</v>
      </c>
      <c r="F99" s="161" t="n">
        <v>48.339798</v>
      </c>
      <c r="G99" s="161" t="n">
        <v>7.811668</v>
      </c>
      <c r="H99" s="161" t="n">
        <v>485.041748</v>
      </c>
      <c r="I99" s="161" t="n">
        <v>113.017906</v>
      </c>
      <c r="J99" s="161" t="n">
        <v>55.219864</v>
      </c>
      <c r="K99" s="161" t="n">
        <v>49.378494</v>
      </c>
      <c r="L99" s="161" t="n">
        <v>60.019646</v>
      </c>
      <c r="M99" s="161" t="n">
        <v>32.22337</v>
      </c>
      <c r="N99" s="161" t="n">
        <v>63.160831</v>
      </c>
    </row>
    <row r="100">
      <c r="B100" s="160" t="inlineStr">
        <is>
          <t>2018-07</t>
        </is>
      </c>
      <c r="C100" s="161" t="n">
        <v>95.895172</v>
      </c>
      <c r="D100" s="161" t="n">
        <v>35.612247</v>
      </c>
      <c r="E100" s="161" t="n">
        <v>94.51267199999999</v>
      </c>
      <c r="F100" s="161" t="n">
        <v>51.676758</v>
      </c>
      <c r="G100" s="161" t="n">
        <v>8.219208</v>
      </c>
      <c r="H100" s="161" t="n">
        <v>508.000397</v>
      </c>
      <c r="I100" s="161" t="n">
        <v>111.442596</v>
      </c>
      <c r="J100" s="161" t="n">
        <v>59.707687</v>
      </c>
      <c r="K100" s="161" t="n">
        <v>53.492775</v>
      </c>
      <c r="L100" s="161" t="n">
        <v>57.851479</v>
      </c>
      <c r="M100" s="161" t="n">
        <v>34.883408</v>
      </c>
      <c r="N100" s="161" t="n">
        <v>65.95227800000001</v>
      </c>
    </row>
    <row r="101">
      <c r="B101" s="160" t="inlineStr">
        <is>
          <t>2018-08</t>
        </is>
      </c>
      <c r="C101" s="161" t="n">
        <v>96.130386</v>
      </c>
      <c r="D101" s="161" t="n">
        <v>32.375355</v>
      </c>
      <c r="E101" s="161" t="n">
        <v>95.115211</v>
      </c>
      <c r="F101" s="161" t="n">
        <v>52.145775</v>
      </c>
      <c r="G101" s="161" t="n">
        <v>7.514195</v>
      </c>
      <c r="H101" s="161" t="n">
        <v>525.446533</v>
      </c>
      <c r="I101" s="161" t="n">
        <v>110.67437</v>
      </c>
      <c r="J101" s="161" t="n">
        <v>58.843273</v>
      </c>
      <c r="K101" s="161" t="n">
        <v>53.219456</v>
      </c>
      <c r="L101" s="161" t="n">
        <v>59.028008</v>
      </c>
      <c r="M101" s="161" t="n">
        <v>33.64069</v>
      </c>
      <c r="N101" s="161" t="n">
        <v>63.314194</v>
      </c>
    </row>
    <row r="102">
      <c r="B102" s="160" t="inlineStr">
        <is>
          <t>2018-09</t>
        </is>
      </c>
      <c r="C102" s="161" t="n">
        <v>97.867355</v>
      </c>
      <c r="D102" s="161" t="n">
        <v>33.718735</v>
      </c>
      <c r="E102" s="161" t="n">
        <v>93.307587</v>
      </c>
      <c r="F102" s="161" t="n">
        <v>51.28463</v>
      </c>
      <c r="G102" s="161" t="n">
        <v>7.535019</v>
      </c>
      <c r="H102" s="161" t="n">
        <v>535.201233</v>
      </c>
      <c r="I102" s="161" t="n">
        <v>114.987434</v>
      </c>
      <c r="J102" s="161" t="n">
        <v>59.081188</v>
      </c>
      <c r="K102" s="161" t="n">
        <v>55.068005</v>
      </c>
      <c r="L102" s="161" t="n">
        <v>58.23806</v>
      </c>
      <c r="M102" s="161" t="n">
        <v>34.870914</v>
      </c>
      <c r="N102" s="161" t="n">
        <v>62.900085</v>
      </c>
    </row>
    <row r="103">
      <c r="B103" s="160" t="inlineStr">
        <is>
          <t>2018-10</t>
        </is>
      </c>
      <c r="C103" s="161" t="n">
        <v>88.395439</v>
      </c>
      <c r="D103" s="161" t="n">
        <v>29.509485</v>
      </c>
      <c r="E103" s="161" t="n">
        <v>92.963272</v>
      </c>
      <c r="F103" s="161" t="n">
        <v>48.116825</v>
      </c>
      <c r="G103" s="161" t="n">
        <v>7.005514</v>
      </c>
      <c r="H103" s="161" t="n">
        <v>473.670959</v>
      </c>
      <c r="I103" s="161" t="n">
        <v>109.697853</v>
      </c>
      <c r="J103" s="161" t="n">
        <v>52.395893</v>
      </c>
      <c r="K103" s="161" t="n">
        <v>56.707947</v>
      </c>
      <c r="L103" s="161" t="n">
        <v>53.750443</v>
      </c>
      <c r="M103" s="161" t="n">
        <v>32.826267</v>
      </c>
      <c r="N103" s="161" t="n">
        <v>60.492054</v>
      </c>
    </row>
    <row r="104">
      <c r="B104" s="160" t="inlineStr">
        <is>
          <t>2018-11</t>
        </is>
      </c>
      <c r="C104" s="161" t="n">
        <v>85.60000599999999</v>
      </c>
      <c r="D104" s="161" t="n">
        <v>28.386806</v>
      </c>
      <c r="E104" s="161" t="n">
        <v>88.70246899999999</v>
      </c>
      <c r="F104" s="161" t="n">
        <v>50.792538</v>
      </c>
      <c r="G104" s="161" t="n">
        <v>7.609034</v>
      </c>
      <c r="H104" s="161" t="n">
        <v>448.064545</v>
      </c>
      <c r="I104" s="161" t="n">
        <v>114.906044</v>
      </c>
      <c r="J104" s="161" t="n">
        <v>49.207886</v>
      </c>
      <c r="K104" s="161" t="n">
        <v>57.405651</v>
      </c>
      <c r="L104" s="161" t="n">
        <v>54.019367</v>
      </c>
      <c r="M104" s="161" t="n">
        <v>31.060501</v>
      </c>
      <c r="N104" s="161" t="n">
        <v>59.127014</v>
      </c>
    </row>
    <row r="105">
      <c r="B105" s="160" t="inlineStr">
        <is>
          <t>2018-12</t>
        </is>
      </c>
      <c r="C105" s="161" t="n">
        <v>75.95620700000001</v>
      </c>
      <c r="D105" s="161" t="n">
        <v>25.252266</v>
      </c>
      <c r="E105" s="161" t="n">
        <v>74.714928</v>
      </c>
      <c r="F105" s="161" t="n">
        <v>47.294113</v>
      </c>
      <c r="G105" s="161" t="n">
        <v>7.673359</v>
      </c>
      <c r="H105" s="161" t="n">
        <v>454.72406</v>
      </c>
      <c r="I105" s="161" t="n">
        <v>117.736282</v>
      </c>
      <c r="J105" s="161" t="n">
        <v>43.260117</v>
      </c>
      <c r="K105" s="161" t="n">
        <v>54.420647</v>
      </c>
      <c r="L105" s="161" t="n">
        <v>50.187252</v>
      </c>
      <c r="M105" s="161" t="n">
        <v>29.1747</v>
      </c>
      <c r="N105" s="161" t="n">
        <v>55.765072</v>
      </c>
    </row>
    <row r="106">
      <c r="B106" s="160" t="inlineStr">
        <is>
          <t>2019-01</t>
        </is>
      </c>
      <c r="C106" s="161" t="n">
        <v>90.66617599999999</v>
      </c>
      <c r="D106" s="161" t="n">
        <v>26.205425</v>
      </c>
      <c r="E106" s="161" t="n">
        <v>83.047203</v>
      </c>
      <c r="F106" s="161" t="n">
        <v>48.824196</v>
      </c>
      <c r="G106" s="161" t="n">
        <v>8.567819999999999</v>
      </c>
      <c r="H106" s="161" t="n">
        <v>491.867493</v>
      </c>
      <c r="I106" s="161" t="n">
        <v>119.133026</v>
      </c>
      <c r="J106" s="161" t="n">
        <v>49.049282</v>
      </c>
      <c r="K106" s="161" t="n">
        <v>54.535732</v>
      </c>
      <c r="L106" s="161" t="n">
        <v>52.170544</v>
      </c>
      <c r="M106" s="161" t="n">
        <v>30.716228</v>
      </c>
      <c r="N106" s="161" t="n">
        <v>59.528168</v>
      </c>
    </row>
    <row r="107">
      <c r="B107" s="160" t="inlineStr">
        <is>
          <t>2019-02</t>
        </is>
      </c>
      <c r="C107" s="161" t="n">
        <v>102.770668</v>
      </c>
      <c r="D107" s="161" t="n">
        <v>28.821806</v>
      </c>
      <c r="E107" s="161" t="n">
        <v>90.553116</v>
      </c>
      <c r="F107" s="161" t="n">
        <v>51.000134</v>
      </c>
      <c r="G107" s="161" t="n">
        <v>8.117527000000001</v>
      </c>
      <c r="H107" s="161" t="n">
        <v>522.257568</v>
      </c>
      <c r="I107" s="161" t="n">
        <v>124.391304</v>
      </c>
      <c r="J107" s="161" t="n">
        <v>47.764557</v>
      </c>
      <c r="K107" s="161" t="n">
        <v>52.867008</v>
      </c>
      <c r="L107" s="161" t="n">
        <v>57.498524</v>
      </c>
      <c r="M107" s="161" t="n">
        <v>32.003017</v>
      </c>
      <c r="N107" s="161" t="n">
        <v>64.979248</v>
      </c>
    </row>
    <row r="108">
      <c r="B108" s="160" t="inlineStr">
        <is>
          <t>2019-03</t>
        </is>
      </c>
      <c r="C108" s="161" t="n">
        <v>106.660759</v>
      </c>
      <c r="D108" s="161" t="n">
        <v>27.257732</v>
      </c>
      <c r="E108" s="161" t="n">
        <v>93.04935500000001</v>
      </c>
      <c r="F108" s="161" t="n">
        <v>52.814713</v>
      </c>
      <c r="G108" s="161" t="n">
        <v>8.135904999999999</v>
      </c>
      <c r="H108" s="161" t="n">
        <v>553.230957</v>
      </c>
      <c r="I108" s="161" t="n">
        <v>131.457138</v>
      </c>
      <c r="J108" s="161" t="n">
        <v>46.717754</v>
      </c>
      <c r="K108" s="161" t="n">
        <v>56.636017</v>
      </c>
      <c r="L108" s="161" t="n">
        <v>58.775902</v>
      </c>
      <c r="M108" s="161" t="n">
        <v>31.702116</v>
      </c>
      <c r="N108" s="161" t="n">
        <v>67.147293</v>
      </c>
    </row>
    <row r="109">
      <c r="B109" s="160" t="inlineStr">
        <is>
          <t>2019-04</t>
        </is>
      </c>
      <c r="C109" s="161" t="n">
        <v>110.26136</v>
      </c>
      <c r="D109" s="161" t="n">
        <v>30.353899</v>
      </c>
      <c r="E109" s="161" t="n">
        <v>93.04935500000001</v>
      </c>
      <c r="F109" s="161" t="n">
        <v>55.42123</v>
      </c>
      <c r="G109" s="161" t="n">
        <v>8.089957999999999</v>
      </c>
      <c r="H109" s="161" t="n">
        <v>589.912415</v>
      </c>
      <c r="I109" s="161" t="n">
        <v>127.636665</v>
      </c>
      <c r="J109" s="161" t="n">
        <v>48.232449</v>
      </c>
      <c r="K109" s="161" t="n">
        <v>55.736919</v>
      </c>
      <c r="L109" s="161" t="n">
        <v>63.414783</v>
      </c>
      <c r="M109" s="161" t="n">
        <v>32.111298</v>
      </c>
      <c r="N109" s="161" t="n">
        <v>69.702484</v>
      </c>
    </row>
    <row r="110">
      <c r="B110" s="160" t="inlineStr">
        <is>
          <t>2019-05</t>
        </is>
      </c>
      <c r="C110" s="161" t="n">
        <v>105.376595</v>
      </c>
      <c r="D110" s="161" t="n">
        <v>26.147852</v>
      </c>
      <c r="E110" s="161" t="n">
        <v>86.163185</v>
      </c>
      <c r="F110" s="161" t="n">
        <v>54.898388</v>
      </c>
      <c r="G110" s="161" t="n">
        <v>7.627411</v>
      </c>
      <c r="H110" s="161" t="n">
        <v>559.438477</v>
      </c>
      <c r="I110" s="161" t="n">
        <v>129.649597</v>
      </c>
      <c r="J110" s="161" t="n">
        <v>42.760498</v>
      </c>
      <c r="K110" s="161" t="n">
        <v>51.960701</v>
      </c>
      <c r="L110" s="161" t="n">
        <v>61.377686</v>
      </c>
      <c r="M110" s="161" t="n">
        <v>30.228497</v>
      </c>
      <c r="N110" s="161" t="n">
        <v>69.998566</v>
      </c>
    </row>
    <row r="111">
      <c r="B111" s="160" t="inlineStr">
        <is>
          <t>2019-06</t>
        </is>
      </c>
      <c r="C111" s="161" t="n">
        <v>114.385803</v>
      </c>
      <c r="D111" s="161" t="n">
        <v>28.672493</v>
      </c>
      <c r="E111" s="161" t="n">
        <v>94.12532</v>
      </c>
      <c r="F111" s="161" t="n">
        <v>58.8582</v>
      </c>
      <c r="G111" s="161" t="n">
        <v>8.651344999999999</v>
      </c>
      <c r="H111" s="161" t="n">
        <v>596.496338</v>
      </c>
      <c r="I111" s="161" t="n">
        <v>133.141418</v>
      </c>
      <c r="J111" s="161" t="n">
        <v>43.846962</v>
      </c>
      <c r="K111" s="161" t="n">
        <v>56.901554</v>
      </c>
      <c r="L111" s="161" t="n">
        <v>69.14527099999999</v>
      </c>
      <c r="M111" s="161" t="n">
        <v>31.936308</v>
      </c>
      <c r="N111" s="161" t="n">
        <v>71.26464799999999</v>
      </c>
    </row>
    <row r="112">
      <c r="B112" s="160" t="inlineStr">
        <is>
          <t>2019-07</t>
        </is>
      </c>
      <c r="C112" s="161" t="n">
        <v>117.486725</v>
      </c>
      <c r="D112" s="161" t="n">
        <v>28.957401</v>
      </c>
      <c r="E112" s="161" t="n">
        <v>100.958771</v>
      </c>
      <c r="F112" s="161" t="n">
        <v>61.939362</v>
      </c>
      <c r="G112" s="161" t="n">
        <v>9.027490999999999</v>
      </c>
      <c r="H112" s="161" t="n">
        <v>601.776306</v>
      </c>
      <c r="I112" s="161" t="n">
        <v>130.67662</v>
      </c>
      <c r="J112" s="161" t="n">
        <v>42.783009</v>
      </c>
      <c r="K112" s="161" t="n">
        <v>56.56424</v>
      </c>
      <c r="L112" s="161" t="n">
        <v>67.68885</v>
      </c>
      <c r="M112" s="161" t="n">
        <v>30.894302</v>
      </c>
      <c r="N112" s="161" t="n">
        <v>73.780991</v>
      </c>
    </row>
    <row r="113">
      <c r="B113" s="160" t="inlineStr">
        <is>
          <t>2019-08</t>
        </is>
      </c>
      <c r="C113" s="161" t="n">
        <v>114.99131</v>
      </c>
      <c r="D113" s="161" t="n">
        <v>28.171337</v>
      </c>
      <c r="E113" s="161" t="n">
        <v>95.61518100000001</v>
      </c>
      <c r="F113" s="161" t="n">
        <v>64.356903</v>
      </c>
      <c r="G113" s="161" t="n">
        <v>8.96588</v>
      </c>
      <c r="H113" s="161" t="n">
        <v>587.029724</v>
      </c>
      <c r="I113" s="161" t="n">
        <v>143.76355</v>
      </c>
      <c r="J113" s="161" t="n">
        <v>44.154369</v>
      </c>
      <c r="K113" s="161" t="n">
        <v>58.558155</v>
      </c>
      <c r="L113" s="161" t="n">
        <v>66.024361</v>
      </c>
      <c r="M113" s="161" t="n">
        <v>29.813803</v>
      </c>
      <c r="N113" s="161" t="n">
        <v>78.734543</v>
      </c>
    </row>
    <row r="114">
      <c r="B114" s="160" t="inlineStr">
        <is>
          <t>2019-09</t>
        </is>
      </c>
      <c r="C114" s="161" t="n">
        <v>109.358253</v>
      </c>
      <c r="D114" s="161" t="n">
        <v>30.666832</v>
      </c>
      <c r="E114" s="161" t="n">
        <v>94.695374</v>
      </c>
      <c r="F114" s="161" t="n">
        <v>63.85128</v>
      </c>
      <c r="G114" s="161" t="n">
        <v>9.714928</v>
      </c>
      <c r="H114" s="161" t="n">
        <v>599.318481</v>
      </c>
      <c r="I114" s="161" t="n">
        <v>135.238693</v>
      </c>
      <c r="J114" s="161" t="n">
        <v>44.577625</v>
      </c>
      <c r="K114" s="161" t="n">
        <v>63.760323</v>
      </c>
      <c r="L114" s="161" t="n">
        <v>69.786766</v>
      </c>
      <c r="M114" s="161" t="n">
        <v>31.452608</v>
      </c>
      <c r="N114" s="161" t="n">
        <v>78.196457</v>
      </c>
    </row>
    <row r="115">
      <c r="B115" s="160" t="inlineStr">
        <is>
          <t>2019-10</t>
        </is>
      </c>
      <c r="C115" s="161" t="n">
        <v>117.817009</v>
      </c>
      <c r="D115" s="161" t="n">
        <v>32.135986</v>
      </c>
      <c r="E115" s="161" t="n">
        <v>88.431999</v>
      </c>
      <c r="F115" s="161" t="n">
        <v>58.747597</v>
      </c>
      <c r="G115" s="161" t="n">
        <v>9.724656</v>
      </c>
      <c r="H115" s="161" t="n">
        <v>609.716736</v>
      </c>
      <c r="I115" s="161" t="n">
        <v>136.976807</v>
      </c>
      <c r="J115" s="161" t="n">
        <v>38.736652</v>
      </c>
      <c r="K115" s="161" t="n">
        <v>61.931309</v>
      </c>
      <c r="L115" s="161" t="n">
        <v>72.17948199999999</v>
      </c>
      <c r="M115" s="161" t="n">
        <v>31.397343</v>
      </c>
      <c r="N115" s="161" t="n">
        <v>79.604973</v>
      </c>
    </row>
    <row r="116">
      <c r="B116" s="160" t="inlineStr">
        <is>
          <t>2019-11</t>
        </is>
      </c>
      <c r="C116" s="161" t="n">
        <v>122.385834</v>
      </c>
      <c r="D116" s="161" t="n">
        <v>34.991905</v>
      </c>
      <c r="E116" s="161" t="n">
        <v>94.038383</v>
      </c>
      <c r="F116" s="161" t="n">
        <v>59.032013</v>
      </c>
      <c r="G116" s="161" t="n">
        <v>9.312842</v>
      </c>
      <c r="H116" s="161" t="n">
        <v>642.802185</v>
      </c>
      <c r="I116" s="161" t="n">
        <v>137.969955</v>
      </c>
      <c r="J116" s="161" t="n">
        <v>36.785431</v>
      </c>
      <c r="K116" s="161" t="n">
        <v>63.348042</v>
      </c>
      <c r="L116" s="161" t="n">
        <v>75.941895</v>
      </c>
      <c r="M116" s="161" t="n">
        <v>31.733727</v>
      </c>
      <c r="N116" s="161" t="n">
        <v>78.32306699999999</v>
      </c>
    </row>
    <row r="117">
      <c r="B117" s="160" t="inlineStr">
        <is>
          <t>2019-12</t>
        </is>
      </c>
      <c r="C117" s="161" t="n">
        <v>119.706932</v>
      </c>
      <c r="D117" s="161" t="n">
        <v>36.268837</v>
      </c>
      <c r="E117" s="161" t="n">
        <v>95.396187</v>
      </c>
      <c r="F117" s="161" t="n">
        <v>58.384174</v>
      </c>
      <c r="G117" s="161" t="n">
        <v>9.338782999999999</v>
      </c>
      <c r="H117" s="161" t="n">
        <v>629.75708</v>
      </c>
      <c r="I117" s="161" t="n">
        <v>133.483398</v>
      </c>
      <c r="J117" s="161" t="n">
        <v>35.706116</v>
      </c>
      <c r="K117" s="161" t="n">
        <v>67.178467</v>
      </c>
      <c r="L117" s="161" t="n">
        <v>79.322868</v>
      </c>
      <c r="M117" s="161" t="n">
        <v>32.772865</v>
      </c>
      <c r="N117" s="161" t="n">
        <v>78.947968</v>
      </c>
    </row>
    <row r="118">
      <c r="B118" s="160" t="inlineStr">
        <is>
          <t>2020-01</t>
        </is>
      </c>
      <c r="C118" s="161" t="n">
        <v>122.239059</v>
      </c>
      <c r="D118" s="161" t="n">
        <v>32.983837</v>
      </c>
      <c r="E118" s="161" t="n">
        <v>98.418381</v>
      </c>
      <c r="F118" s="161" t="n">
        <v>57.199108</v>
      </c>
      <c r="G118" s="161" t="n">
        <v>10.091074</v>
      </c>
      <c r="H118" s="161" t="n">
        <v>639.588135</v>
      </c>
      <c r="I118" s="161" t="n">
        <v>131.054916</v>
      </c>
      <c r="J118" s="161" t="n">
        <v>29.835516</v>
      </c>
      <c r="K118" s="161" t="n">
        <v>65.177048</v>
      </c>
      <c r="L118" s="161" t="n">
        <v>78.473282</v>
      </c>
      <c r="M118" s="161" t="n">
        <v>29.405663</v>
      </c>
      <c r="N118" s="161" t="n">
        <v>79.9049</v>
      </c>
    </row>
    <row r="119">
      <c r="B119" s="160" t="inlineStr">
        <is>
          <t>2020-02</t>
        </is>
      </c>
      <c r="C119" s="161" t="n">
        <v>99.174728</v>
      </c>
      <c r="D119" s="161" t="n">
        <v>30.059263</v>
      </c>
      <c r="E119" s="161" t="n">
        <v>86.916527</v>
      </c>
      <c r="F119" s="161" t="n">
        <v>50.341537</v>
      </c>
      <c r="G119" s="161" t="n">
        <v>9.747355000000001</v>
      </c>
      <c r="H119" s="161" t="n">
        <v>595.537476</v>
      </c>
      <c r="I119" s="161" t="n">
        <v>122.597046</v>
      </c>
      <c r="J119" s="161" t="n">
        <v>22.42849</v>
      </c>
      <c r="K119" s="161" t="n">
        <v>62.91328</v>
      </c>
      <c r="L119" s="161" t="n">
        <v>78.45594800000001</v>
      </c>
      <c r="M119" s="161" t="n">
        <v>25.904863</v>
      </c>
      <c r="N119" s="161" t="n">
        <v>72.552391</v>
      </c>
    </row>
    <row r="120">
      <c r="B120" s="160" t="inlineStr">
        <is>
          <t>2020-03</t>
        </is>
      </c>
      <c r="C120" s="161" t="n">
        <v>54.440594</v>
      </c>
      <c r="D120" s="161" t="n">
        <v>18.886156</v>
      </c>
      <c r="E120" s="161" t="n">
        <v>67.451843</v>
      </c>
      <c r="F120" s="161" t="n">
        <v>46.328117</v>
      </c>
      <c r="G120" s="161" t="n">
        <v>6.103932</v>
      </c>
      <c r="H120" s="161" t="n">
        <v>594.4028929999999</v>
      </c>
      <c r="I120" s="161" t="n">
        <v>108.402916</v>
      </c>
      <c r="J120" s="161" t="n">
        <v>14.990135</v>
      </c>
      <c r="K120" s="161" t="n">
        <v>60.072327</v>
      </c>
      <c r="L120" s="161" t="n">
        <v>68.122314</v>
      </c>
      <c r="M120" s="161" t="n">
        <v>23.886749</v>
      </c>
      <c r="N120" s="161" t="n">
        <v>60.128044</v>
      </c>
    </row>
    <row r="121">
      <c r="B121" s="160" t="inlineStr">
        <is>
          <t>2020-04</t>
        </is>
      </c>
      <c r="C121" s="161" t="n">
        <v>53.101147</v>
      </c>
      <c r="D121" s="161" t="n">
        <v>19.685951</v>
      </c>
      <c r="E121" s="161" t="n">
        <v>75.10807</v>
      </c>
      <c r="F121" s="161" t="n">
        <v>49.978115</v>
      </c>
      <c r="G121" s="161" t="n">
        <v>6.423007</v>
      </c>
      <c r="H121" s="161" t="n">
        <v>632.764648</v>
      </c>
      <c r="I121" s="161" t="n">
        <v>116.483955</v>
      </c>
      <c r="J121" s="161" t="n">
        <v>15.327052</v>
      </c>
      <c r="K121" s="161" t="n">
        <v>66.85614</v>
      </c>
      <c r="L121" s="161" t="n">
        <v>72.352844</v>
      </c>
      <c r="M121" s="161" t="n">
        <v>22.649933</v>
      </c>
      <c r="N121" s="161" t="n">
        <v>59.569828</v>
      </c>
    </row>
    <row r="122">
      <c r="B122" s="160" t="inlineStr">
        <is>
          <t>2020-05</t>
        </is>
      </c>
      <c r="C122" s="161" t="n">
        <v>52.01857</v>
      </c>
      <c r="D122" s="161" t="n">
        <v>22.143692</v>
      </c>
      <c r="E122" s="161" t="n">
        <v>80.679413</v>
      </c>
      <c r="F122" s="161" t="n">
        <v>48.63504</v>
      </c>
      <c r="G122" s="161" t="n">
        <v>6.897081</v>
      </c>
      <c r="H122" s="161" t="n">
        <v>711.734009</v>
      </c>
      <c r="I122" s="161" t="n">
        <v>117.321358</v>
      </c>
      <c r="J122" s="161" t="n">
        <v>17.103891</v>
      </c>
      <c r="K122" s="161" t="n">
        <v>65.61180899999999</v>
      </c>
      <c r="L122" s="161" t="n">
        <v>77.363632</v>
      </c>
      <c r="M122" s="161" t="n">
        <v>23.184294</v>
      </c>
      <c r="N122" s="161" t="n">
        <v>66.22060399999999</v>
      </c>
    </row>
    <row r="123">
      <c r="B123" s="160" t="inlineStr">
        <is>
          <t>2020-06</t>
        </is>
      </c>
      <c r="C123" s="161" t="n">
        <v>58.275478</v>
      </c>
      <c r="D123" s="161" t="n">
        <v>24.2822</v>
      </c>
      <c r="E123" s="161" t="n">
        <v>89.307999</v>
      </c>
      <c r="F123" s="161" t="n">
        <v>48.63504</v>
      </c>
      <c r="G123" s="161" t="n">
        <v>7.133792</v>
      </c>
      <c r="H123" s="161" t="n">
        <v>707.926819</v>
      </c>
      <c r="I123" s="161" t="n">
        <v>117.27948</v>
      </c>
      <c r="J123" s="161" t="n">
        <v>19.11437</v>
      </c>
      <c r="K123" s="161" t="n">
        <v>70.45237</v>
      </c>
      <c r="L123" s="161" t="n">
        <v>88.52346799999999</v>
      </c>
      <c r="M123" s="161" t="n">
        <v>23.425615</v>
      </c>
      <c r="N123" s="161" t="n">
        <v>65.391251</v>
      </c>
    </row>
    <row r="124">
      <c r="B124" s="160" t="inlineStr">
        <is>
          <t>2020-07</t>
        </is>
      </c>
      <c r="C124" s="161" t="n">
        <v>56.890148</v>
      </c>
      <c r="D124" s="161" t="n">
        <v>23.420622</v>
      </c>
      <c r="E124" s="161" t="n">
        <v>97.326424</v>
      </c>
      <c r="F124" s="161" t="n">
        <v>44.669033</v>
      </c>
      <c r="G124" s="161" t="n">
        <v>7.321866</v>
      </c>
      <c r="H124" s="161" t="n">
        <v>653.104858</v>
      </c>
      <c r="I124" s="161" t="n">
        <v>122.26207</v>
      </c>
      <c r="J124" s="161" t="n">
        <v>16.976913</v>
      </c>
      <c r="K124" s="161" t="n">
        <v>68.82025899999999</v>
      </c>
      <c r="L124" s="161" t="n">
        <v>87.95050000000001</v>
      </c>
      <c r="M124" s="161" t="n">
        <v>22.007011</v>
      </c>
      <c r="N124" s="161" t="n">
        <v>58.91663</v>
      </c>
    </row>
    <row r="125">
      <c r="B125" s="160" t="inlineStr">
        <is>
          <t>2020-08</t>
        </is>
      </c>
      <c r="C125" s="161" t="n">
        <v>63.156219</v>
      </c>
      <c r="D125" s="161" t="n">
        <v>25.102591</v>
      </c>
      <c r="E125" s="161" t="n">
        <v>103.103798</v>
      </c>
      <c r="F125" s="161" t="n">
        <v>45.071907</v>
      </c>
      <c r="G125" s="161" t="n">
        <v>7.558578</v>
      </c>
      <c r="H125" s="161" t="n">
        <v>684.7037350000001</v>
      </c>
      <c r="I125" s="161" t="n">
        <v>121.177299</v>
      </c>
      <c r="J125" s="161" t="n">
        <v>20.180983</v>
      </c>
      <c r="K125" s="161" t="n">
        <v>65.96019699999999</v>
      </c>
      <c r="L125" s="161" t="n">
        <v>92.88339999999999</v>
      </c>
      <c r="M125" s="161" t="n">
        <v>23.272596</v>
      </c>
      <c r="N125" s="161" t="n">
        <v>63.594345</v>
      </c>
    </row>
    <row r="126">
      <c r="B126" s="160" t="inlineStr">
        <is>
          <t>2020-09</t>
        </is>
      </c>
      <c r="C126" s="161" t="n">
        <v>56.945194</v>
      </c>
      <c r="D126" s="161" t="n">
        <v>21.264948</v>
      </c>
      <c r="E126" s="161" t="n">
        <v>97.54864499999999</v>
      </c>
      <c r="F126" s="161" t="n">
        <v>45.170067</v>
      </c>
      <c r="G126" s="161" t="n">
        <v>7.406173</v>
      </c>
      <c r="H126" s="161" t="n">
        <v>700.693359</v>
      </c>
      <c r="I126" s="161" t="n">
        <v>114.97065</v>
      </c>
      <c r="J126" s="161" t="n">
        <v>18.788462</v>
      </c>
      <c r="K126" s="161" t="n">
        <v>66.31770299999999</v>
      </c>
      <c r="L126" s="161" t="n">
        <v>94.942505</v>
      </c>
      <c r="M126" s="161" t="n">
        <v>20.530504</v>
      </c>
      <c r="N126" s="161" t="n">
        <v>57.880722</v>
      </c>
    </row>
    <row r="127">
      <c r="B127" s="160" t="inlineStr">
        <is>
          <t>2020-10</t>
        </is>
      </c>
      <c r="C127" s="161" t="n">
        <v>57.422264</v>
      </c>
      <c r="D127" s="161" t="n">
        <v>20.496044</v>
      </c>
      <c r="E127" s="161" t="n">
        <v>88.11818700000001</v>
      </c>
      <c r="F127" s="161" t="n">
        <v>38.7733</v>
      </c>
      <c r="G127" s="161" t="n">
        <v>6.734949</v>
      </c>
      <c r="H127" s="161" t="n">
        <v>760.4646</v>
      </c>
      <c r="I127" s="161" t="n">
        <v>116.870644</v>
      </c>
      <c r="J127" s="161" t="n">
        <v>17.992733</v>
      </c>
      <c r="K127" s="161" t="n">
        <v>60.131268</v>
      </c>
      <c r="L127" s="161" t="n">
        <v>93.28626300000001</v>
      </c>
      <c r="M127" s="161" t="n">
        <v>18.576443</v>
      </c>
      <c r="N127" s="161" t="n">
        <v>54.886345</v>
      </c>
    </row>
    <row r="128">
      <c r="B128" s="160" t="inlineStr">
        <is>
          <t>2020-11</t>
        </is>
      </c>
      <c r="C128" s="161" t="n">
        <v>80.486588</v>
      </c>
      <c r="D128" s="161" t="n">
        <v>29.496317</v>
      </c>
      <c r="E128" s="161" t="n">
        <v>103.370445</v>
      </c>
      <c r="F128" s="161" t="n">
        <v>44.05759</v>
      </c>
      <c r="G128" s="161" t="n">
        <v>8.022275</v>
      </c>
      <c r="H128" s="161" t="n">
        <v>777.977173</v>
      </c>
      <c r="I128" s="161" t="n">
        <v>135.11058</v>
      </c>
      <c r="J128" s="161" t="n">
        <v>28.2356</v>
      </c>
      <c r="K128" s="161" t="n">
        <v>65.835846</v>
      </c>
      <c r="L128" s="161" t="n">
        <v>104.432281</v>
      </c>
      <c r="M128" s="161" t="n">
        <v>25.774633</v>
      </c>
      <c r="N128" s="161" t="n">
        <v>69.19465599999999</v>
      </c>
    </row>
    <row r="129">
      <c r="B129" s="160" t="inlineStr">
        <is>
          <t>2020-12</t>
        </is>
      </c>
      <c r="C129" s="161" t="n">
        <v>82.36732499999999</v>
      </c>
      <c r="D129" s="161" t="n">
        <v>29.592432</v>
      </c>
      <c r="E129" s="161" t="n">
        <v>112.70311</v>
      </c>
      <c r="F129" s="161" t="n">
        <v>43.975788</v>
      </c>
      <c r="G129" s="161" t="n">
        <v>8.119553</v>
      </c>
      <c r="H129" s="161" t="n">
        <v>837.177307</v>
      </c>
      <c r="I129" s="161" t="n">
        <v>132.408356</v>
      </c>
      <c r="J129" s="161" t="n">
        <v>30.271471</v>
      </c>
      <c r="K129" s="161" t="n">
        <v>61.164936</v>
      </c>
      <c r="L129" s="161" t="n">
        <v>105.909462</v>
      </c>
      <c r="M129" s="161" t="n">
        <v>25.396917</v>
      </c>
      <c r="N129" s="161" t="n">
        <v>65.844193</v>
      </c>
    </row>
    <row r="130">
      <c r="B130" s="160" t="inlineStr">
        <is>
          <t>2021-01</t>
        </is>
      </c>
      <c r="C130" s="161" t="n">
        <v>76.330597</v>
      </c>
      <c r="D130" s="161" t="n">
        <v>27.309752</v>
      </c>
      <c r="E130" s="161" t="n">
        <v>106.214676</v>
      </c>
      <c r="F130" s="161" t="n">
        <v>44.95739</v>
      </c>
      <c r="G130" s="161" t="n">
        <v>8.314111</v>
      </c>
      <c r="H130" s="161" t="n">
        <v>801.96167</v>
      </c>
      <c r="I130" s="161" t="n">
        <v>132.731491</v>
      </c>
      <c r="J130" s="161" t="n">
        <v>29.831289</v>
      </c>
      <c r="K130" s="161" t="n">
        <v>59.960289</v>
      </c>
      <c r="L130" s="161" t="n">
        <v>108.281898</v>
      </c>
      <c r="M130" s="161" t="n">
        <v>25.10553</v>
      </c>
      <c r="N130" s="161" t="n">
        <v>61.975758</v>
      </c>
    </row>
    <row r="131">
      <c r="B131" s="160" t="inlineStr">
        <is>
          <t>2021-02</t>
        </is>
      </c>
      <c r="C131" s="161" t="n">
        <v>87.991196</v>
      </c>
      <c r="D131" s="161" t="n">
        <v>33.828262</v>
      </c>
      <c r="E131" s="161" t="n">
        <v>118.347153</v>
      </c>
      <c r="F131" s="161" t="n">
        <v>46.184395</v>
      </c>
      <c r="G131" s="161" t="n">
        <v>7.837445</v>
      </c>
      <c r="H131" s="161" t="n">
        <v>878.6745</v>
      </c>
      <c r="I131" s="161" t="n">
        <v>134.138077</v>
      </c>
      <c r="J131" s="161" t="n">
        <v>31.426971</v>
      </c>
      <c r="K131" s="161" t="n">
        <v>58.911072</v>
      </c>
      <c r="L131" s="161" t="n">
        <v>109.982895</v>
      </c>
      <c r="M131" s="161" t="n">
        <v>28.1353</v>
      </c>
      <c r="N131" s="161" t="n">
        <v>69.631676</v>
      </c>
    </row>
    <row r="132">
      <c r="B132" s="160" t="inlineStr">
        <is>
          <t>2021-03</t>
        </is>
      </c>
      <c r="C132" s="161" t="n">
        <v>88.569183</v>
      </c>
      <c r="D132" s="161" t="n">
        <v>35.616646</v>
      </c>
      <c r="E132" s="161" t="n">
        <v>128.968628</v>
      </c>
      <c r="F132" s="161" t="n">
        <v>47.853119</v>
      </c>
      <c r="G132" s="161" t="n">
        <v>7.850414</v>
      </c>
      <c r="H132" s="161" t="n">
        <v>898.471313</v>
      </c>
      <c r="I132" s="161" t="n">
        <v>136.439819</v>
      </c>
      <c r="J132" s="161" t="n">
        <v>31.261904</v>
      </c>
      <c r="K132" s="161" t="n">
        <v>65.47834</v>
      </c>
      <c r="L132" s="161" t="n">
        <v>116.607834</v>
      </c>
      <c r="M132" s="161" t="n">
        <v>29.161732</v>
      </c>
      <c r="N132" s="161" t="n">
        <v>70.699951</v>
      </c>
    </row>
    <row r="133">
      <c r="B133" s="160" t="inlineStr">
        <is>
          <t>2021-04</t>
        </is>
      </c>
      <c r="C133" s="161" t="n">
        <v>91.688469</v>
      </c>
      <c r="D133" s="161" t="n">
        <v>36.653286</v>
      </c>
      <c r="E133" s="161" t="n">
        <v>135.457047</v>
      </c>
      <c r="F133" s="161" t="n">
        <v>47.959457</v>
      </c>
      <c r="G133" s="161" t="n">
        <v>8.022275</v>
      </c>
      <c r="H133" s="161" t="n">
        <v>995.255676</v>
      </c>
      <c r="I133" s="161" t="n">
        <v>145.518738</v>
      </c>
      <c r="J133" s="161" t="n">
        <v>28.379509</v>
      </c>
      <c r="K133" s="161" t="n">
        <v>67.825462</v>
      </c>
      <c r="L133" s="161" t="n">
        <v>119.087715</v>
      </c>
      <c r="M133" s="161" t="n">
        <v>27.451092</v>
      </c>
      <c r="N133" s="161" t="n">
        <v>73.969498</v>
      </c>
    </row>
    <row r="134">
      <c r="B134" s="160" t="inlineStr">
        <is>
          <t>2021-05</t>
        </is>
      </c>
      <c r="C134" s="161" t="n">
        <v>97.85363</v>
      </c>
      <c r="D134" s="161" t="n">
        <v>38.342125</v>
      </c>
      <c r="E134" s="161" t="n">
        <v>135.679276</v>
      </c>
      <c r="F134" s="161" t="n">
        <v>47.689514</v>
      </c>
      <c r="G134" s="161" t="n">
        <v>7.879599</v>
      </c>
      <c r="H134" s="161" t="n">
        <v>1098.689941</v>
      </c>
      <c r="I134" s="161" t="n">
        <v>153.574692</v>
      </c>
      <c r="J134" s="161" t="n">
        <v>28.641928</v>
      </c>
      <c r="K134" s="161" t="n">
        <v>67.592308</v>
      </c>
      <c r="L134" s="161" t="n">
        <v>115.846855</v>
      </c>
      <c r="M134" s="161" t="n">
        <v>28.256168</v>
      </c>
      <c r="N134" s="161" t="n">
        <v>76.903389</v>
      </c>
    </row>
    <row r="135">
      <c r="B135" s="160" t="inlineStr">
        <is>
          <t>2021-06</t>
        </is>
      </c>
      <c r="C135" s="161" t="n">
        <v>99.486664</v>
      </c>
      <c r="D135" s="161" t="n">
        <v>37.027088</v>
      </c>
      <c r="E135" s="161" t="n">
        <v>143.989792</v>
      </c>
      <c r="F135" s="161" t="n">
        <v>50.21133</v>
      </c>
      <c r="G135" s="161" t="n">
        <v>7.807911</v>
      </c>
      <c r="H135" s="161" t="n">
        <v>1174.484619</v>
      </c>
      <c r="I135" s="161" t="n">
        <v>159.584702</v>
      </c>
      <c r="J135" s="161" t="n">
        <v>28.853556</v>
      </c>
      <c r="K135" s="161" t="n">
        <v>71.31455200000001</v>
      </c>
      <c r="L135" s="161" t="n">
        <v>121.116623</v>
      </c>
      <c r="M135" s="161" t="n">
        <v>28.442541</v>
      </c>
      <c r="N135" s="161" t="n">
        <v>74.47843899999999</v>
      </c>
    </row>
    <row r="136">
      <c r="B136" s="160" t="inlineStr">
        <is>
          <t>2021-07</t>
        </is>
      </c>
      <c r="C136" s="161" t="n">
        <v>106.14724</v>
      </c>
      <c r="D136" s="161" t="n">
        <v>36.032612</v>
      </c>
      <c r="E136" s="161" t="n">
        <v>164.085281</v>
      </c>
      <c r="F136" s="161" t="n">
        <v>52.486359</v>
      </c>
      <c r="G136" s="161" t="n">
        <v>7.603827</v>
      </c>
      <c r="H136" s="161" t="n">
        <v>1232.324341</v>
      </c>
      <c r="I136" s="161" t="n">
        <v>158.646942</v>
      </c>
      <c r="J136" s="161" t="n">
        <v>27.109732</v>
      </c>
      <c r="K136" s="161" t="n">
        <v>70.12004899999999</v>
      </c>
      <c r="L136" s="161" t="n">
        <v>128.985397</v>
      </c>
      <c r="M136" s="161" t="n">
        <v>27.816427</v>
      </c>
      <c r="N136" s="161" t="n">
        <v>73.832886</v>
      </c>
    </row>
    <row r="137">
      <c r="B137" s="160" t="inlineStr">
        <is>
          <t>2021-08</t>
        </is>
      </c>
      <c r="C137" s="161" t="n">
        <v>106.14724</v>
      </c>
      <c r="D137" s="161" t="n">
        <v>37.629387</v>
      </c>
      <c r="E137" s="161" t="n">
        <v>171.197891</v>
      </c>
      <c r="F137" s="161" t="n">
        <v>52.325668</v>
      </c>
      <c r="G137" s="161" t="n">
        <v>8.198510000000001</v>
      </c>
      <c r="H137" s="161" t="n">
        <v>1189.781006</v>
      </c>
      <c r="I137" s="161" t="n">
        <v>152.803116</v>
      </c>
      <c r="J137" s="161" t="n">
        <v>26.622984</v>
      </c>
      <c r="K137" s="161" t="n">
        <v>70.717293</v>
      </c>
      <c r="L137" s="161" t="n">
        <v>138.113846</v>
      </c>
      <c r="M137" s="161" t="n">
        <v>28.3053</v>
      </c>
      <c r="N137" s="161" t="n">
        <v>75.223305</v>
      </c>
    </row>
    <row r="138">
      <c r="B138" s="160" t="inlineStr">
        <is>
          <t>2021-09</t>
        </is>
      </c>
      <c r="C138" s="161" t="n">
        <v>105.596771</v>
      </c>
      <c r="D138" s="161" t="n">
        <v>38.826969</v>
      </c>
      <c r="E138" s="161" t="n">
        <v>162.19458</v>
      </c>
      <c r="F138" s="161" t="n">
        <v>49.940693</v>
      </c>
      <c r="G138" s="161" t="n">
        <v>7.664647</v>
      </c>
      <c r="H138" s="161" t="n">
        <v>1143.891479</v>
      </c>
      <c r="I138" s="161" t="n">
        <v>163.751358</v>
      </c>
      <c r="J138" s="161" t="n">
        <v>26.153168</v>
      </c>
      <c r="K138" s="161" t="n">
        <v>67.053101</v>
      </c>
      <c r="L138" s="161" t="n">
        <v>131.35878</v>
      </c>
      <c r="M138" s="161" t="n">
        <v>31.329479</v>
      </c>
      <c r="N138" s="161" t="n">
        <v>74.61086299999999</v>
      </c>
    </row>
    <row r="139">
      <c r="B139" s="160" t="inlineStr">
        <is>
          <t>2021-10</t>
        </is>
      </c>
      <c r="C139" s="161" t="n">
        <v>101.468315</v>
      </c>
      <c r="D139" s="161" t="n">
        <v>41.693626</v>
      </c>
      <c r="E139" s="161" t="n">
        <v>181.236572</v>
      </c>
      <c r="F139" s="161" t="n">
        <v>47.657204</v>
      </c>
      <c r="G139" s="161" t="n">
        <v>8.309336999999999</v>
      </c>
      <c r="H139" s="161" t="n">
        <v>1310.240967</v>
      </c>
      <c r="I139" s="161" t="n">
        <v>170.620865</v>
      </c>
      <c r="J139" s="161" t="n">
        <v>26.292839</v>
      </c>
      <c r="K139" s="161" t="n">
        <v>69.75685900000001</v>
      </c>
      <c r="L139" s="161" t="n">
        <v>135.923004</v>
      </c>
      <c r="M139" s="161" t="n">
        <v>33.455338</v>
      </c>
      <c r="N139" s="161" t="n">
        <v>76.448196</v>
      </c>
    </row>
    <row r="140">
      <c r="B140" s="160" t="inlineStr">
        <is>
          <t>2021-11</t>
        </is>
      </c>
      <c r="C140" s="161" t="n">
        <v>90.569191</v>
      </c>
      <c r="D140" s="161" t="n">
        <v>39.662949</v>
      </c>
      <c r="E140" s="161" t="n">
        <v>183.757507</v>
      </c>
      <c r="F140" s="161" t="n">
        <v>43.969803</v>
      </c>
      <c r="G140" s="161" t="n">
        <v>8.656687</v>
      </c>
      <c r="H140" s="161" t="n">
        <v>1580.319946</v>
      </c>
      <c r="I140" s="161" t="n">
        <v>173.883881</v>
      </c>
      <c r="J140" s="161" t="n">
        <v>24.091894</v>
      </c>
      <c r="K140" s="161" t="n">
        <v>67.682632</v>
      </c>
      <c r="L140" s="161" t="n">
        <v>142.605072</v>
      </c>
      <c r="M140" s="161" t="n">
        <v>31.326294</v>
      </c>
      <c r="N140" s="161" t="n">
        <v>69.239548</v>
      </c>
    </row>
    <row r="141">
      <c r="B141" s="160" t="inlineStr">
        <is>
          <t>2021-12</t>
        </is>
      </c>
      <c r="C141" s="161" t="n">
        <v>103.083008</v>
      </c>
      <c r="D141" s="161" t="n">
        <v>43.7603</v>
      </c>
      <c r="E141" s="161" t="n">
        <v>194.021286</v>
      </c>
      <c r="F141" s="161" t="n">
        <v>46.168713</v>
      </c>
      <c r="G141" s="161" t="n">
        <v>8.794544</v>
      </c>
      <c r="H141" s="161" t="n">
        <v>1468.464233</v>
      </c>
      <c r="I141" s="161" t="n">
        <v>183.157043</v>
      </c>
      <c r="J141" s="161" t="n">
        <v>25.856884</v>
      </c>
      <c r="K141" s="161" t="n">
        <v>71.492104</v>
      </c>
      <c r="L141" s="161" t="n">
        <v>157.429718</v>
      </c>
      <c r="M141" s="161" t="n">
        <v>34.427288</v>
      </c>
      <c r="N141" s="161" t="n">
        <v>77.426956</v>
      </c>
    </row>
    <row r="142">
      <c r="B142" s="160" t="inlineStr">
        <is>
          <t>2022-01</t>
        </is>
      </c>
      <c r="C142" s="161" t="n">
        <v>102.862823</v>
      </c>
      <c r="D142" s="161" t="n">
        <v>45.366119</v>
      </c>
      <c r="E142" s="161" t="n">
        <v>177.770294</v>
      </c>
      <c r="F142" s="161" t="n">
        <v>46.726898</v>
      </c>
      <c r="G142" s="161" t="n">
        <v>9.159463000000001</v>
      </c>
      <c r="H142" s="161" t="n">
        <v>1260.527588</v>
      </c>
      <c r="I142" s="161" t="n">
        <v>163.672241</v>
      </c>
      <c r="J142" s="161" t="n">
        <v>29.556168</v>
      </c>
      <c r="K142" s="161" t="n">
        <v>74.857674</v>
      </c>
      <c r="L142" s="161" t="n">
        <v>136.342911</v>
      </c>
      <c r="M142" s="161" t="n">
        <v>38.739395</v>
      </c>
      <c r="N142" s="161" t="n">
        <v>80.552032</v>
      </c>
    </row>
    <row r="143">
      <c r="B143" s="160" t="inlineStr">
        <is>
          <t>2022-02</t>
        </is>
      </c>
      <c r="C143" s="161" t="n">
        <v>105.4133</v>
      </c>
      <c r="D143" s="161" t="n">
        <v>37.812298</v>
      </c>
      <c r="E143" s="161" t="n">
        <v>169.532288</v>
      </c>
      <c r="F143" s="161" t="n">
        <v>45.931908</v>
      </c>
      <c r="G143" s="161" t="n">
        <v>9.641966999999999</v>
      </c>
      <c r="H143" s="161" t="n">
        <v>1187.390869</v>
      </c>
      <c r="I143" s="161" t="n">
        <v>169.431076</v>
      </c>
      <c r="J143" s="161" t="n">
        <v>24.159618</v>
      </c>
      <c r="K143" s="161" t="n">
        <v>75.438782</v>
      </c>
      <c r="L143" s="161" t="n">
        <v>127.597855</v>
      </c>
      <c r="M143" s="161" t="n">
        <v>35.695705</v>
      </c>
      <c r="N143" s="161" t="n">
        <v>78.768646</v>
      </c>
    </row>
    <row r="144">
      <c r="B144" s="160" t="inlineStr">
        <is>
          <t>2022-03</t>
        </is>
      </c>
      <c r="C144" s="161" t="n">
        <v>101.248138</v>
      </c>
      <c r="D144" s="161" t="n">
        <v>37.394638</v>
      </c>
      <c r="E144" s="161" t="n">
        <v>182.316971</v>
      </c>
      <c r="F144" s="161" t="n">
        <v>42.312157</v>
      </c>
      <c r="G144" s="161" t="n">
        <v>8.064707</v>
      </c>
      <c r="H144" s="161" t="n">
        <v>1237.285767</v>
      </c>
      <c r="I144" s="161" t="n">
        <v>172.591949</v>
      </c>
      <c r="J144" s="161" t="n">
        <v>20.210609</v>
      </c>
      <c r="K144" s="161" t="n">
        <v>74.663971</v>
      </c>
      <c r="L144" s="161" t="n">
        <v>138.898911</v>
      </c>
      <c r="M144" s="161" t="n">
        <v>36.040211</v>
      </c>
      <c r="N144" s="161" t="n">
        <v>77.49361399999999</v>
      </c>
    </row>
    <row r="145">
      <c r="B145" s="160" t="inlineStr">
        <is>
          <t>2022-04</t>
        </is>
      </c>
      <c r="C145" s="161" t="n">
        <v>96.82609600000001</v>
      </c>
      <c r="D145" s="161" t="n">
        <v>35.792431</v>
      </c>
      <c r="E145" s="161" t="n">
        <v>176.554871</v>
      </c>
      <c r="F145" s="161" t="n">
        <v>48.748211</v>
      </c>
      <c r="G145" s="161" t="n">
        <v>7.651131</v>
      </c>
      <c r="H145" s="161" t="n">
        <v>1136.693604</v>
      </c>
      <c r="I145" s="161" t="n">
        <v>171.163055</v>
      </c>
      <c r="J145" s="161" t="n">
        <v>19.956657</v>
      </c>
      <c r="K145" s="161" t="n">
        <v>81.661446</v>
      </c>
      <c r="L145" s="161" t="n">
        <v>125.699112</v>
      </c>
      <c r="M145" s="161" t="n">
        <v>37.5168</v>
      </c>
      <c r="N145" s="161" t="n">
        <v>77.368607</v>
      </c>
    </row>
    <row r="146">
      <c r="B146" s="160" t="inlineStr">
        <is>
          <t>2022-05</t>
        </is>
      </c>
      <c r="C146" s="161" t="n">
        <v>101.229462</v>
      </c>
      <c r="D146" s="161" t="n">
        <v>38.244362</v>
      </c>
      <c r="E146" s="161" t="n">
        <v>162.509705</v>
      </c>
      <c r="F146" s="161" t="n">
        <v>46.287117</v>
      </c>
      <c r="G146" s="161" t="n">
        <v>9.083771</v>
      </c>
      <c r="H146" s="161" t="n">
        <v>1068.171387</v>
      </c>
      <c r="I146" s="161" t="n">
        <v>158.04332</v>
      </c>
      <c r="J146" s="161" t="n">
        <v>21.628527</v>
      </c>
      <c r="K146" s="161" t="n">
        <v>80.646866</v>
      </c>
      <c r="L146" s="161" t="n">
        <v>117.793846</v>
      </c>
      <c r="M146" s="161" t="n">
        <v>44.162174</v>
      </c>
      <c r="N146" s="161" t="n">
        <v>76.56596399999999</v>
      </c>
    </row>
    <row r="147">
      <c r="B147" s="160" t="inlineStr">
        <is>
          <t>2022-06</t>
        </is>
      </c>
      <c r="C147" s="161" t="n">
        <v>86.032944</v>
      </c>
      <c r="D147" s="161" t="n">
        <v>35.063061</v>
      </c>
      <c r="E147" s="161" t="n">
        <v>147.159058</v>
      </c>
      <c r="F147" s="161" t="n">
        <v>46.663631</v>
      </c>
      <c r="G147" s="161" t="n">
        <v>7.971562</v>
      </c>
      <c r="H147" s="161" t="n">
        <v>1026.79187</v>
      </c>
      <c r="I147" s="161" t="n">
        <v>151.808182</v>
      </c>
      <c r="J147" s="161" t="n">
        <v>20.138659</v>
      </c>
      <c r="K147" s="161" t="n">
        <v>80.88763400000001</v>
      </c>
      <c r="L147" s="161" t="n">
        <v>105.456871</v>
      </c>
      <c r="M147" s="161" t="n">
        <v>40.015278</v>
      </c>
      <c r="N147" s="161" t="n">
        <v>72.536179</v>
      </c>
    </row>
    <row r="148">
      <c r="B148" s="160" t="inlineStr">
        <is>
          <t>2022-07</t>
        </is>
      </c>
      <c r="C148" s="161" t="n">
        <v>97.600166</v>
      </c>
      <c r="D148" s="161" t="n">
        <v>35.55386</v>
      </c>
      <c r="E148" s="161" t="n">
        <v>169.125061</v>
      </c>
      <c r="F148" s="161" t="n">
        <v>47.145512</v>
      </c>
      <c r="G148" s="161" t="n">
        <v>8.766829</v>
      </c>
      <c r="H148" s="161" t="n">
        <v>1283.730103</v>
      </c>
      <c r="I148" s="161" t="n">
        <v>165.837219</v>
      </c>
      <c r="J148" s="161" t="n">
        <v>24.333153</v>
      </c>
      <c r="K148" s="161" t="n">
        <v>81.618095</v>
      </c>
      <c r="L148" s="161" t="n">
        <v>125.670204</v>
      </c>
      <c r="M148" s="161" t="n">
        <v>40.056786</v>
      </c>
      <c r="N148" s="161" t="n">
        <v>79.72489899999999</v>
      </c>
    </row>
    <row r="149">
      <c r="B149" s="160" t="inlineStr">
        <is>
          <t>2022-08</t>
        </is>
      </c>
      <c r="C149" s="161" t="n">
        <v>91.095337</v>
      </c>
      <c r="D149" s="161" t="n">
        <v>35.928719</v>
      </c>
      <c r="E149" s="161" t="n">
        <v>157.856125</v>
      </c>
      <c r="F149" s="161" t="n">
        <v>46.006519</v>
      </c>
      <c r="G149" s="161" t="n">
        <v>8.627257</v>
      </c>
      <c r="H149" s="161" t="n">
        <v>1234.171021</v>
      </c>
      <c r="I149" s="161" t="n">
        <v>160.370453</v>
      </c>
      <c r="J149" s="161" t="n">
        <v>24.218874</v>
      </c>
      <c r="K149" s="161" t="n">
        <v>68.99881000000001</v>
      </c>
      <c r="L149" s="161" t="n">
        <v>110.949219</v>
      </c>
      <c r="M149" s="161" t="n">
        <v>40.805431</v>
      </c>
      <c r="N149" s="161" t="n">
        <v>78.760155</v>
      </c>
    </row>
    <row r="150">
      <c r="B150" s="160" t="inlineStr">
        <is>
          <t>2022-09</t>
        </is>
      </c>
      <c r="C150" s="161" t="n">
        <v>82.72004699999999</v>
      </c>
      <c r="D150" s="161" t="n">
        <v>33.70274</v>
      </c>
      <c r="E150" s="161" t="n">
        <v>151.012665</v>
      </c>
      <c r="F150" s="161" t="n">
        <v>42.554497</v>
      </c>
      <c r="G150" s="161" t="n">
        <v>8.608356000000001</v>
      </c>
      <c r="H150" s="161" t="n">
        <v>1171.139282</v>
      </c>
      <c r="I150" s="161" t="n">
        <v>165.001144</v>
      </c>
      <c r="J150" s="161" t="n">
        <v>23.677101</v>
      </c>
      <c r="K150" s="161" t="n">
        <v>65.825104</v>
      </c>
      <c r="L150" s="161" t="n">
        <v>109.23053</v>
      </c>
      <c r="M150" s="161" t="n">
        <v>38.86137</v>
      </c>
      <c r="N150" s="161" t="n">
        <v>71.007927</v>
      </c>
    </row>
    <row r="151">
      <c r="B151" s="160" t="inlineStr">
        <is>
          <t>2022-10</t>
        </is>
      </c>
      <c r="C151" s="161" t="n">
        <v>101.97393</v>
      </c>
      <c r="D151" s="161" t="n">
        <v>36.709354</v>
      </c>
      <c r="E151" s="161" t="n">
        <v>151.697006</v>
      </c>
      <c r="F151" s="161" t="n">
        <v>44.105278</v>
      </c>
      <c r="G151" s="161" t="n">
        <v>9.562094999999999</v>
      </c>
      <c r="H151" s="161" t="n">
        <v>1261.115845</v>
      </c>
      <c r="I151" s="161" t="n">
        <v>155.259216</v>
      </c>
      <c r="J151" s="161" t="n">
        <v>26.38596</v>
      </c>
      <c r="K151" s="161" t="n">
        <v>73.322784</v>
      </c>
      <c r="L151" s="161" t="n">
        <v>119.804237</v>
      </c>
      <c r="M151" s="161" t="n">
        <v>44.990715</v>
      </c>
      <c r="N151" s="161" t="n">
        <v>79.554153</v>
      </c>
    </row>
    <row r="152">
      <c r="B152" s="160" t="inlineStr">
        <is>
          <t>2022-11</t>
        </is>
      </c>
      <c r="C152" s="161" t="n">
        <v>101.620316</v>
      </c>
      <c r="D152" s="161" t="n">
        <v>41.296581</v>
      </c>
      <c r="E152" s="161" t="n">
        <v>156.031204</v>
      </c>
      <c r="F152" s="161" t="n">
        <v>43.87748</v>
      </c>
      <c r="G152" s="161" t="n">
        <v>10.555087</v>
      </c>
      <c r="H152" s="161" t="n">
        <v>1484.373291</v>
      </c>
      <c r="I152" s="161" t="n">
        <v>165.088501</v>
      </c>
      <c r="J152" s="161" t="n">
        <v>29.467281</v>
      </c>
      <c r="K152" s="161" t="n">
        <v>72.609123</v>
      </c>
      <c r="L152" s="161" t="n">
        <v>129.761459</v>
      </c>
      <c r="M152" s="161" t="n">
        <v>49.244831</v>
      </c>
      <c r="N152" s="161" t="n">
        <v>82.491112</v>
      </c>
    </row>
    <row r="153">
      <c r="B153" s="160" t="inlineStr">
        <is>
          <t>2022-12</t>
        </is>
      </c>
      <c r="C153" s="161" t="n">
        <v>103.313972</v>
      </c>
      <c r="D153" s="161" t="n">
        <v>41.157455</v>
      </c>
      <c r="E153" s="161" t="n">
        <v>142.29863</v>
      </c>
      <c r="F153" s="161" t="n">
        <v>43.132751</v>
      </c>
      <c r="G153" s="161" t="n">
        <v>9.732196</v>
      </c>
      <c r="H153" s="161" t="n">
        <v>1390.547363</v>
      </c>
      <c r="I153" s="161" t="n">
        <v>162.73027</v>
      </c>
      <c r="J153" s="161" t="n">
        <v>26.474844</v>
      </c>
      <c r="K153" s="161" t="n">
        <v>75.43019099999999</v>
      </c>
      <c r="L153" s="161" t="n">
        <v>122.102058</v>
      </c>
      <c r="M153" s="161" t="n">
        <v>47.889389</v>
      </c>
      <c r="N153" s="161" t="n">
        <v>80.49413300000001</v>
      </c>
    </row>
    <row r="154">
      <c r="B154" s="160" t="inlineStr">
        <is>
          <t>2023-01</t>
        </is>
      </c>
      <c r="C154" s="161" t="n">
        <v>106.868828</v>
      </c>
      <c r="D154" s="161" t="n">
        <v>48.616035</v>
      </c>
      <c r="E154" s="161" t="n">
        <v>158.677338</v>
      </c>
      <c r="F154" s="161" t="n">
        <v>44.078995</v>
      </c>
      <c r="G154" s="161" t="n">
        <v>9.464684999999999</v>
      </c>
      <c r="H154" s="161" t="n">
        <v>1649.891602</v>
      </c>
      <c r="I154" s="161" t="n">
        <v>168.176773</v>
      </c>
      <c r="J154" s="161" t="n">
        <v>31.524323</v>
      </c>
      <c r="K154" s="161" t="n">
        <v>75.287468</v>
      </c>
      <c r="L154" s="161" t="n">
        <v>138.541763</v>
      </c>
      <c r="M154" s="161" t="n">
        <v>47.331291</v>
      </c>
      <c r="N154" s="161" t="n">
        <v>89.424492</v>
      </c>
    </row>
    <row r="155">
      <c r="B155" s="160" t="inlineStr">
        <is>
          <t>2023-02</t>
        </is>
      </c>
      <c r="C155" s="161" t="n">
        <v>115.411636</v>
      </c>
      <c r="D155" s="161" t="n">
        <v>51.127998</v>
      </c>
      <c r="E155" s="161" t="n">
        <v>162.28157</v>
      </c>
      <c r="F155" s="161" t="n">
        <v>46.646107</v>
      </c>
      <c r="G155" s="161" t="n">
        <v>10.057864</v>
      </c>
      <c r="H155" s="161" t="n">
        <v>1650.853882</v>
      </c>
      <c r="I155" s="161" t="n">
        <v>175.084503</v>
      </c>
      <c r="J155" s="161" t="n">
        <v>35.951614</v>
      </c>
      <c r="K155" s="161" t="n">
        <v>74.632576</v>
      </c>
      <c r="L155" s="161" t="n">
        <v>142.091217</v>
      </c>
      <c r="M155" s="161" t="n">
        <v>49.231239</v>
      </c>
      <c r="N155" s="161" t="n">
        <v>93.04840900000001</v>
      </c>
    </row>
    <row r="156">
      <c r="B156" s="160" t="inlineStr">
        <is>
          <t>2023-03</t>
        </is>
      </c>
      <c r="C156" s="161" t="n">
        <v>114.723</v>
      </c>
      <c r="D156" s="161" t="n">
        <v>42.672359</v>
      </c>
      <c r="E156" s="161" t="n">
        <v>155.803101</v>
      </c>
      <c r="F156" s="161" t="n">
        <v>50.212025</v>
      </c>
      <c r="G156" s="161" t="n">
        <v>10.594341</v>
      </c>
      <c r="H156" s="161" t="n">
        <v>1797.359009</v>
      </c>
      <c r="I156" s="161" t="n">
        <v>184.826172</v>
      </c>
      <c r="J156" s="161" t="n">
        <v>31.829063</v>
      </c>
      <c r="K156" s="161" t="n">
        <v>84.162102</v>
      </c>
      <c r="L156" s="161" t="n">
        <v>143.548355</v>
      </c>
      <c r="M156" s="161" t="n">
        <v>45.692509</v>
      </c>
      <c r="N156" s="161" t="n">
        <v>91.2192</v>
      </c>
    </row>
    <row r="157">
      <c r="B157" s="160" t="inlineStr">
        <is>
          <t>2023-04</t>
        </is>
      </c>
      <c r="C157" s="161" t="n">
        <v>118.315071</v>
      </c>
      <c r="D157" s="161" t="n">
        <v>45.284798</v>
      </c>
      <c r="E157" s="161" t="n">
        <v>150.465195</v>
      </c>
      <c r="F157" s="161" t="n">
        <v>52.560104</v>
      </c>
      <c r="G157" s="161" t="n">
        <v>10.552178</v>
      </c>
      <c r="H157" s="161" t="n">
        <v>1896.483765</v>
      </c>
      <c r="I157" s="161" t="n">
        <v>185.446121</v>
      </c>
      <c r="J157" s="161" t="n">
        <v>28.468393</v>
      </c>
      <c r="K157" s="161" t="n">
        <v>83.960594</v>
      </c>
      <c r="L157" s="161" t="n">
        <v>147.415436</v>
      </c>
      <c r="M157" s="161" t="n">
        <v>49.31805</v>
      </c>
      <c r="N157" s="161" t="n">
        <v>96.81038700000001</v>
      </c>
    </row>
    <row r="158">
      <c r="B158" s="160" t="inlineStr">
        <is>
          <t>2023-05</t>
        </is>
      </c>
      <c r="C158" s="161" t="n">
        <v>115.657761</v>
      </c>
      <c r="D158" s="161" t="n">
        <v>41.744869</v>
      </c>
      <c r="E158" s="161" t="n">
        <v>148.549026</v>
      </c>
      <c r="F158" s="161" t="n">
        <v>48.486015</v>
      </c>
      <c r="G158" s="161" t="n">
        <v>11.22779</v>
      </c>
      <c r="H158" s="161" t="n">
        <v>1842.498535</v>
      </c>
      <c r="I158" s="161" t="n">
        <v>178.981186</v>
      </c>
      <c r="J158" s="161" t="n">
        <v>26.483307</v>
      </c>
      <c r="K158" s="161" t="n">
        <v>79.66181899999999</v>
      </c>
      <c r="L158" s="161" t="n">
        <v>150.703369</v>
      </c>
      <c r="M158" s="161" t="n">
        <v>45.181263</v>
      </c>
      <c r="N158" s="161" t="n">
        <v>94.283272</v>
      </c>
    </row>
    <row r="159">
      <c r="B159" s="160" t="inlineStr">
        <is>
          <t>2023-06</t>
        </is>
      </c>
      <c r="C159" s="161" t="n">
        <v>124.926231</v>
      </c>
      <c r="D159" s="161" t="n">
        <v>47.722076</v>
      </c>
      <c r="E159" s="161" t="n">
        <v>161.69455</v>
      </c>
      <c r="F159" s="161" t="n">
        <v>50.869118</v>
      </c>
      <c r="G159" s="161" t="n">
        <v>12.176099</v>
      </c>
      <c r="H159" s="161" t="n">
        <v>1927.948242</v>
      </c>
      <c r="I159" s="161" t="n">
        <v>179.246857</v>
      </c>
      <c r="J159" s="161" t="n">
        <v>32.910847</v>
      </c>
      <c r="K159" s="161" t="n">
        <v>85.526352</v>
      </c>
      <c r="L159" s="161" t="n">
        <v>158.632507</v>
      </c>
      <c r="M159" s="161" t="n">
        <v>44.730125</v>
      </c>
      <c r="N159" s="161" t="n">
        <v>94.336472</v>
      </c>
    </row>
    <row r="160">
      <c r="B160" s="160" t="inlineStr">
        <is>
          <t>2023-07</t>
        </is>
      </c>
      <c r="C160" s="161" t="n">
        <v>126.455246</v>
      </c>
      <c r="D160" s="161" t="n">
        <v>49.623684</v>
      </c>
      <c r="E160" s="161" t="n">
        <v>153.588867</v>
      </c>
      <c r="F160" s="161" t="n">
        <v>50.316383</v>
      </c>
      <c r="G160" s="161" t="n">
        <v>11.92343</v>
      </c>
      <c r="H160" s="161" t="n">
        <v>1953.622192</v>
      </c>
      <c r="I160" s="161" t="n">
        <v>177.652756</v>
      </c>
      <c r="J160" s="161" t="n">
        <v>34.041145</v>
      </c>
      <c r="K160" s="161" t="n">
        <v>84.559608</v>
      </c>
      <c r="L160" s="161" t="n">
        <v>154.420349</v>
      </c>
      <c r="M160" s="161" t="n">
        <v>47.700867</v>
      </c>
      <c r="N160" s="161" t="n">
        <v>94.691177</v>
      </c>
    </row>
    <row r="161">
      <c r="B161" s="160" t="inlineStr">
        <is>
          <t>2023-08</t>
        </is>
      </c>
      <c r="C161" s="161" t="n">
        <v>127.776627</v>
      </c>
      <c r="D161" s="161" t="n">
        <v>49.367378</v>
      </c>
      <c r="E161" s="161" t="n">
        <v>160.576538</v>
      </c>
      <c r="F161" s="161" t="n">
        <v>48.775997</v>
      </c>
      <c r="G161" s="161" t="n">
        <v>11.90584</v>
      </c>
      <c r="H161" s="161" t="n">
        <v>1841.529907</v>
      </c>
      <c r="I161" s="161" t="n">
        <v>162.107346</v>
      </c>
      <c r="J161" s="161" t="n">
        <v>31.848789</v>
      </c>
      <c r="K161" s="161" t="n">
        <v>85.909569</v>
      </c>
      <c r="L161" s="161" t="n">
        <v>151.123062</v>
      </c>
      <c r="M161" s="161" t="n">
        <v>50.126484</v>
      </c>
      <c r="N161" s="161" t="n">
        <v>91.303665</v>
      </c>
    </row>
    <row r="162">
      <c r="B162" s="160" t="inlineStr">
        <is>
          <t>2023-09</t>
        </is>
      </c>
      <c r="C162" s="161" t="n">
        <v>119.848396</v>
      </c>
      <c r="D162" s="161" t="n">
        <v>49.962662</v>
      </c>
      <c r="E162" s="161" t="n">
        <v>154.473984</v>
      </c>
      <c r="F162" s="161" t="n">
        <v>47.353401</v>
      </c>
      <c r="G162" s="161" t="n">
        <v>11.617988</v>
      </c>
      <c r="H162" s="161" t="n">
        <v>1675.861816</v>
      </c>
      <c r="I162" s="161" t="n">
        <v>141.217712</v>
      </c>
      <c r="J162" s="161" t="n">
        <v>33.162495</v>
      </c>
      <c r="K162" s="161" t="n">
        <v>88.38304100000001</v>
      </c>
      <c r="L162" s="161" t="n">
        <v>149.598297</v>
      </c>
      <c r="M162" s="161" t="n">
        <v>53.786488</v>
      </c>
      <c r="N162" s="161" t="n">
        <v>93.13043999999999</v>
      </c>
    </row>
    <row r="163">
      <c r="B163" s="160" t="inlineStr">
        <is>
          <t>2023-10</t>
        </is>
      </c>
      <c r="C163" s="161" t="n">
        <v>119.187698</v>
      </c>
      <c r="D163" s="161" t="n">
        <v>44.886196</v>
      </c>
      <c r="E163" s="161" t="n">
        <v>155.12616</v>
      </c>
      <c r="F163" s="161" t="n">
        <v>50.878174</v>
      </c>
      <c r="G163" s="161" t="n">
        <v>11.996992</v>
      </c>
      <c r="H163" s="161" t="n">
        <v>1704.732666</v>
      </c>
      <c r="I163" s="161" t="n">
        <v>149.850906</v>
      </c>
      <c r="J163" s="161" t="n">
        <v>28.193453</v>
      </c>
      <c r="K163" s="161" t="n">
        <v>74.639595</v>
      </c>
      <c r="L163" s="161" t="n">
        <v>138.162567</v>
      </c>
      <c r="M163" s="161" t="n">
        <v>55.202747</v>
      </c>
      <c r="N163" s="161" t="n">
        <v>92.651573</v>
      </c>
    </row>
    <row r="164">
      <c r="B164" s="160" t="inlineStr">
        <is>
          <t>2023-11</t>
        </is>
      </c>
      <c r="C164" s="161" t="n">
        <v>128.550568</v>
      </c>
      <c r="D164" s="161" t="n">
        <v>47.763412</v>
      </c>
      <c r="E164" s="161" t="n">
        <v>175.15744</v>
      </c>
      <c r="F164" s="161" t="n">
        <v>53.433411</v>
      </c>
      <c r="G164" s="161" t="n">
        <v>12.727814</v>
      </c>
      <c r="H164" s="161" t="n">
        <v>1844.823853</v>
      </c>
      <c r="I164" s="161" t="n">
        <v>141.843948</v>
      </c>
      <c r="J164" s="161" t="n">
        <v>30.701433</v>
      </c>
      <c r="K164" s="161" t="n">
        <v>74.430573</v>
      </c>
      <c r="L164" s="161" t="n">
        <v>160.690933</v>
      </c>
      <c r="M164" s="161" t="n">
        <v>54.381687</v>
      </c>
      <c r="N164" s="161" t="n">
        <v>99.586258</v>
      </c>
    </row>
    <row r="165">
      <c r="B165" s="160" t="inlineStr">
        <is>
          <t>2023-12</t>
        </is>
      </c>
      <c r="C165" s="161" t="n">
        <v>131.929504</v>
      </c>
      <c r="D165" s="161" t="n">
        <v>51.74852</v>
      </c>
      <c r="E165" s="161" t="n">
        <v>175.856216</v>
      </c>
      <c r="F165" s="161" t="n">
        <v>53.170639</v>
      </c>
      <c r="G165" s="161" t="n">
        <v>12.727814</v>
      </c>
      <c r="H165" s="161" t="n">
        <v>1858.968628</v>
      </c>
      <c r="I165" s="161" t="n">
        <v>145.208908</v>
      </c>
      <c r="J165" s="161" t="n">
        <v>31.481977</v>
      </c>
      <c r="K165" s="161" t="n">
        <v>78.175613</v>
      </c>
      <c r="L165" s="161" t="n">
        <v>173.232101</v>
      </c>
      <c r="M165" s="161" t="n">
        <v>53.805206</v>
      </c>
      <c r="N165" s="161" t="n">
        <v>101.826057</v>
      </c>
    </row>
    <row r="166">
      <c r="B166" s="160" t="inlineStr">
        <is>
          <t>2024-01</t>
        </is>
      </c>
      <c r="C166" s="161" t="n">
        <v>139.499069</v>
      </c>
      <c r="D166" s="161" t="n">
        <v>51.715446</v>
      </c>
      <c r="E166" s="161" t="n">
        <v>193.045868</v>
      </c>
      <c r="F166" s="161" t="n">
        <v>55.943344</v>
      </c>
      <c r="G166" s="161" t="n">
        <v>11.841872</v>
      </c>
      <c r="H166" s="161" t="n">
        <v>1896.752563</v>
      </c>
      <c r="I166" s="161" t="n">
        <v>138.61882</v>
      </c>
      <c r="J166" s="161" t="n">
        <v>29.916622</v>
      </c>
      <c r="K166" s="161" t="n">
        <v>81.310997</v>
      </c>
      <c r="L166" s="161" t="n">
        <v>174.299423</v>
      </c>
      <c r="M166" s="161" t="n">
        <v>52.495014</v>
      </c>
      <c r="N166" s="161" t="n">
        <v>104.853073</v>
      </c>
    </row>
    <row r="167">
      <c r="B167" s="160" t="inlineStr">
        <is>
          <t>2024-02</t>
        </is>
      </c>
      <c r="C167" s="161" t="n">
        <v>144.350403</v>
      </c>
      <c r="D167" s="161" t="n">
        <v>45.787399</v>
      </c>
      <c r="E167" s="161" t="n">
        <v>209.350418</v>
      </c>
      <c r="F167" s="161" t="n">
        <v>53.478718</v>
      </c>
      <c r="G167" s="161" t="n">
        <v>11.862662</v>
      </c>
      <c r="H167" s="161" t="n">
        <v>2240.876953</v>
      </c>
      <c r="I167" s="161" t="n">
        <v>140.482224</v>
      </c>
      <c r="J167" s="161" t="n">
        <v>32.868191</v>
      </c>
      <c r="K167" s="161" t="n">
        <v>76.546959</v>
      </c>
      <c r="L167" s="161" t="n">
        <v>199.934525</v>
      </c>
      <c r="M167" s="161" t="n">
        <v>52.15197</v>
      </c>
      <c r="N167" s="161" t="n">
        <v>106.035225</v>
      </c>
    </row>
    <row r="168">
      <c r="B168" s="160" t="inlineStr">
        <is>
          <t>2024-03</t>
        </is>
      </c>
      <c r="C168" s="161" t="n">
        <v>161.131821</v>
      </c>
      <c r="D168" s="161" t="n">
        <v>54.452106</v>
      </c>
      <c r="E168" s="161" t="n">
        <v>198.729172</v>
      </c>
      <c r="F168" s="161" t="n">
        <v>54.267033</v>
      </c>
      <c r="G168" s="161" t="n">
        <v>12.401583</v>
      </c>
      <c r="H168" s="161" t="n">
        <v>2295.900879</v>
      </c>
      <c r="I168" s="161" t="n">
        <v>136.300919</v>
      </c>
      <c r="J168" s="161" t="n">
        <v>39.918686</v>
      </c>
      <c r="K168" s="161" t="n">
        <v>79.220749</v>
      </c>
      <c r="L168" s="161" t="n">
        <v>199.79158</v>
      </c>
      <c r="M168" s="161" t="n">
        <v>56.112659</v>
      </c>
      <c r="N168" s="161" t="n">
        <v>106.357628</v>
      </c>
    </row>
    <row r="169">
      <c r="B169" s="160" t="inlineStr">
        <is>
          <t>2024-04</t>
        </is>
      </c>
      <c r="C169" s="161" t="n">
        <v>145.992661</v>
      </c>
      <c r="D169" s="161" t="n">
        <v>55.898987</v>
      </c>
      <c r="E169" s="161" t="n">
        <v>184.381165</v>
      </c>
      <c r="F169" s="161" t="n">
        <v>53.152515</v>
      </c>
      <c r="G169" s="161" t="n">
        <v>13.009269</v>
      </c>
      <c r="H169" s="161" t="n">
        <v>2184.308105</v>
      </c>
      <c r="I169" s="161" t="n">
        <v>129.074554</v>
      </c>
      <c r="J169" s="161" t="n">
        <v>39.871773</v>
      </c>
      <c r="K169" s="161" t="n">
        <v>81.067139</v>
      </c>
      <c r="L169" s="161" t="n">
        <v>204.985306</v>
      </c>
      <c r="M169" s="161" t="n">
        <v>61.345146</v>
      </c>
      <c r="N169" s="161" t="n">
        <v>98.73634300000001</v>
      </c>
    </row>
    <row r="170">
      <c r="B170" s="160" t="inlineStr">
        <is>
          <t>2024-05</t>
        </is>
      </c>
      <c r="C170" s="161" t="n">
        <v>149.70636</v>
      </c>
      <c r="D170" s="161" t="n">
        <v>55.973389</v>
      </c>
      <c r="E170" s="161" t="n">
        <v>172.921402</v>
      </c>
      <c r="F170" s="161" t="n">
        <v>53.569328</v>
      </c>
      <c r="G170" s="161" t="n">
        <v>12.421573</v>
      </c>
      <c r="H170" s="161" t="n">
        <v>2111.530029</v>
      </c>
      <c r="I170" s="161" t="n">
        <v>124.484238</v>
      </c>
      <c r="J170" s="161" t="n">
        <v>45.706665</v>
      </c>
      <c r="K170" s="161" t="n">
        <v>78.175613</v>
      </c>
      <c r="L170" s="161" t="n">
        <v>216.754562</v>
      </c>
      <c r="M170" s="161" t="n">
        <v>59.932041</v>
      </c>
      <c r="N170" s="161" t="n">
        <v>105.709503</v>
      </c>
    </row>
    <row r="171">
      <c r="B171" s="160" t="inlineStr">
        <is>
          <t>2024-06</t>
        </is>
      </c>
      <c r="C171" s="161" t="n">
        <v>123.164452</v>
      </c>
      <c r="D171" s="161" t="n">
        <v>52.533424</v>
      </c>
      <c r="E171" s="161" t="n">
        <v>175.860474</v>
      </c>
      <c r="F171" s="161" t="n">
        <v>53.614407</v>
      </c>
      <c r="G171" s="161" t="n">
        <v>11.689932</v>
      </c>
      <c r="H171" s="161" t="n">
        <v>2096.622314</v>
      </c>
      <c r="I171" s="161" t="n">
        <v>115.167229</v>
      </c>
      <c r="J171" s="161" t="n">
        <v>42.402256</v>
      </c>
      <c r="K171" s="161" t="n">
        <v>81.584343</v>
      </c>
      <c r="L171" s="161" t="n">
        <v>216.947784</v>
      </c>
      <c r="M171" s="161" t="n">
        <v>55.746361</v>
      </c>
      <c r="N171" s="161" t="n">
        <v>90.86676</v>
      </c>
    </row>
    <row r="172">
      <c r="B172" s="160" t="inlineStr">
        <is>
          <t>2024-07</t>
        </is>
      </c>
      <c r="C172" s="161" t="n">
        <v>134.399643</v>
      </c>
      <c r="D172" s="161" t="n">
        <v>56.00153</v>
      </c>
      <c r="E172" s="161" t="n">
        <v>173.87175</v>
      </c>
      <c r="F172" s="161" t="n">
        <v>56.507404</v>
      </c>
      <c r="G172" s="161" t="n">
        <v>12.746277</v>
      </c>
      <c r="H172" s="161" t="n">
        <v>1981.993774</v>
      </c>
      <c r="I172" s="161" t="n">
        <v>112.713013</v>
      </c>
      <c r="J172" s="161" t="n">
        <v>39.743256</v>
      </c>
      <c r="K172" s="161" t="n">
        <v>86.473595</v>
      </c>
      <c r="L172" s="161" t="n">
        <v>215.545319</v>
      </c>
      <c r="M172" s="161" t="n">
        <v>56.591736</v>
      </c>
      <c r="N172" s="161" t="n">
        <v>97.53537799999999</v>
      </c>
    </row>
    <row r="173">
      <c r="B173" s="160" t="inlineStr">
        <is>
          <t>2024-08</t>
        </is>
      </c>
      <c r="C173" s="161" t="n">
        <v>133.304932</v>
      </c>
      <c r="D173" s="161" t="n">
        <v>55.22496</v>
      </c>
      <c r="E173" s="161" t="n">
        <v>177.565109</v>
      </c>
      <c r="F173" s="161" t="n">
        <v>58.987114</v>
      </c>
      <c r="G173" s="161" t="n">
        <v>13.964801</v>
      </c>
      <c r="H173" s="161" t="n">
        <v>2125.034424</v>
      </c>
      <c r="I173" s="161" t="n">
        <v>119.315643</v>
      </c>
      <c r="J173" s="161" t="n">
        <v>38.068081</v>
      </c>
      <c r="K173" s="161" t="n">
        <v>91.79825599999999</v>
      </c>
      <c r="L173" s="161" t="n">
        <v>222.170792</v>
      </c>
      <c r="M173" s="161" t="n">
        <v>56.329067</v>
      </c>
      <c r="N173" s="161" t="n">
        <v>99.89064</v>
      </c>
    </row>
    <row r="174">
      <c r="B174" s="160" t="inlineStr">
        <is>
          <t>2024-09</t>
        </is>
      </c>
      <c r="C174" s="161" t="n">
        <v>126.006866</v>
      </c>
      <c r="D174" s="161" t="n">
        <v>54.31601</v>
      </c>
      <c r="E174" s="161" t="n">
        <v>183.67334</v>
      </c>
      <c r="F174" s="161" t="n">
        <v>61.372898</v>
      </c>
      <c r="G174" s="161" t="n">
        <v>13.600998</v>
      </c>
      <c r="H174" s="161" t="n">
        <v>2161.284424</v>
      </c>
      <c r="I174" s="161" t="n">
        <v>125.614922</v>
      </c>
      <c r="J174" s="161" t="n">
        <v>34.558197</v>
      </c>
      <c r="K174" s="161" t="n">
        <v>93.340324</v>
      </c>
      <c r="L174" s="161" t="n">
        <v>228.457718</v>
      </c>
      <c r="M174" s="161" t="n">
        <v>52.986828</v>
      </c>
      <c r="N174" s="161" t="n">
        <v>96.935013</v>
      </c>
    </row>
    <row r="175">
      <c r="B175" s="160" t="inlineStr">
        <is>
          <t>2024-10</t>
        </is>
      </c>
      <c r="C175" s="161" t="n">
        <v>134.59169</v>
      </c>
      <c r="D175" s="161" t="n">
        <v>55.374977</v>
      </c>
      <c r="E175" s="161" t="n">
        <v>150.764603</v>
      </c>
      <c r="F175" s="161" t="n">
        <v>61.71104</v>
      </c>
      <c r="G175" s="161" t="n">
        <v>13.513334</v>
      </c>
      <c r="H175" s="161" t="n">
        <v>2031.959961</v>
      </c>
      <c r="I175" s="161" t="n">
        <v>105.837051</v>
      </c>
      <c r="J175" s="161" t="n">
        <v>37.137432</v>
      </c>
      <c r="K175" s="161" t="n">
        <v>88.088234</v>
      </c>
      <c r="L175" s="161" t="n">
        <v>229.424957</v>
      </c>
      <c r="M175" s="161" t="n">
        <v>52.653915</v>
      </c>
      <c r="N175" s="161" t="n">
        <v>94.85685700000001</v>
      </c>
    </row>
    <row r="176">
      <c r="B176" s="160" t="inlineStr">
        <is>
          <t>2024-11</t>
        </is>
      </c>
      <c r="C176" s="161" t="n">
        <v>141.697693</v>
      </c>
      <c r="D176" s="161" t="n">
        <v>49.983086</v>
      </c>
      <c r="E176" s="161" t="n">
        <v>143.851395</v>
      </c>
      <c r="F176" s="161" t="n">
        <v>60.734192</v>
      </c>
      <c r="G176" s="161" t="n">
        <v>13.224044</v>
      </c>
      <c r="H176" s="161" t="n">
        <v>2023.142456</v>
      </c>
      <c r="I176" s="161" t="n">
        <v>98.101913</v>
      </c>
      <c r="J176" s="161" t="n">
        <v>35.923149</v>
      </c>
      <c r="K176" s="161" t="n">
        <v>83.534599</v>
      </c>
      <c r="L176" s="161" t="n">
        <v>235.518433</v>
      </c>
      <c r="M176" s="161" t="n">
        <v>50.424839</v>
      </c>
      <c r="N176" s="161" t="n">
        <v>93.145233</v>
      </c>
    </row>
    <row r="177">
      <c r="B177" s="160" t="inlineStr">
        <is>
          <t>2024-12</t>
        </is>
      </c>
      <c r="C177" s="161" t="n">
        <v>148.630859</v>
      </c>
      <c r="D177" s="161" t="n">
        <v>52.259857</v>
      </c>
      <c r="E177" s="161" t="n">
        <v>149.770248</v>
      </c>
      <c r="F177" s="161" t="n">
        <v>61.166264</v>
      </c>
      <c r="G177" s="161" t="n">
        <v>13.421288</v>
      </c>
      <c r="H177" s="161" t="n">
        <v>2274.933105</v>
      </c>
      <c r="I177" s="161" t="n">
        <v>103.248695</v>
      </c>
      <c r="J177" s="161" t="n">
        <v>41.702053</v>
      </c>
      <c r="K177" s="161" t="n">
        <v>85.031311</v>
      </c>
      <c r="L177" s="161" t="n">
        <v>233.003662</v>
      </c>
      <c r="M177" s="161" t="n">
        <v>48.957134</v>
      </c>
      <c r="N177" s="161" t="n">
        <v>93.03330200000001</v>
      </c>
    </row>
    <row r="178">
      <c r="B178" s="160" t="inlineStr">
        <is>
          <t>2025-01</t>
        </is>
      </c>
      <c r="C178" s="161" t="n">
        <v>160.480606</v>
      </c>
      <c r="D178" s="161" t="n">
        <v>57.995911</v>
      </c>
      <c r="E178" s="161" t="n">
        <v>166.62709</v>
      </c>
      <c r="F178" s="161" t="n">
        <v>63.382977</v>
      </c>
      <c r="G178" s="161" t="n">
        <v>13.951651</v>
      </c>
      <c r="H178" s="161" t="n">
        <v>2668.784668</v>
      </c>
      <c r="I178" s="161" t="n">
        <v>104.385376</v>
      </c>
      <c r="J178" s="161" t="n">
        <v>44.006523</v>
      </c>
      <c r="K178" s="161" t="n">
        <v>94.700974</v>
      </c>
      <c r="L178" s="161" t="n">
        <v>237.3078</v>
      </c>
      <c r="M178" s="161" t="n">
        <v>51.727425</v>
      </c>
      <c r="N178" s="161" t="n">
        <v>97.473221</v>
      </c>
    </row>
    <row r="179">
      <c r="B179" s="160" t="inlineStr">
        <is>
          <t>2025-02</t>
        </is>
      </c>
      <c r="C179" s="161" t="n">
        <v>159.117035</v>
      </c>
      <c r="D179" s="161" t="n">
        <v>64.296745</v>
      </c>
      <c r="E179" s="161" t="n">
        <v>141.247116</v>
      </c>
      <c r="F179" s="161" t="n">
        <v>64.67918400000001</v>
      </c>
      <c r="G179" s="161" t="n">
        <v>15.113193</v>
      </c>
      <c r="H179" s="161" t="n">
        <v>2681.520996</v>
      </c>
      <c r="I179" s="161" t="n">
        <v>97.802094</v>
      </c>
      <c r="J179" s="161" t="n">
        <v>44.174927</v>
      </c>
      <c r="K179" s="161" t="n">
        <v>94.664688</v>
      </c>
      <c r="L179" s="161" t="n">
        <v>226.281464</v>
      </c>
      <c r="M179" s="161" t="n">
        <v>53.798843</v>
      </c>
      <c r="N179" s="161" t="n">
        <v>103.629433</v>
      </c>
    </row>
    <row r="180">
      <c r="B180" s="160" t="inlineStr">
        <is>
          <t>2025-03</t>
        </is>
      </c>
      <c r="C180" s="161" t="n">
        <v>156.313034</v>
      </c>
      <c r="D180" s="161" t="n">
        <v>67.87075</v>
      </c>
      <c r="E180" s="161" t="n">
        <v>130.73526</v>
      </c>
      <c r="F180" s="161" t="n">
        <v>66.538971</v>
      </c>
      <c r="G180" s="161" t="n">
        <v>15.810118</v>
      </c>
      <c r="H180" s="161" t="n">
        <v>2365.044678</v>
      </c>
      <c r="I180" s="161" t="n">
        <v>86.444733</v>
      </c>
      <c r="J180" s="161" t="n">
        <v>41.258884</v>
      </c>
      <c r="K180" s="161" t="n">
        <v>92.451363</v>
      </c>
      <c r="L180" s="161" t="n">
        <v>203.841949</v>
      </c>
      <c r="M180" s="161" t="n">
        <v>55.549305</v>
      </c>
      <c r="N180" s="161" t="n">
        <v>108.479782</v>
      </c>
    </row>
    <row r="181">
      <c r="B181" s="160" t="inlineStr">
        <is>
          <t>2025-04</t>
        </is>
      </c>
      <c r="C181" s="161" t="n">
        <v>141.294388</v>
      </c>
      <c r="D181" s="161" t="n">
        <v>65.55867000000001</v>
      </c>
      <c r="E181" s="161" t="n">
        <v>132.439896</v>
      </c>
      <c r="F181" s="161" t="n">
        <v>71.348106</v>
      </c>
      <c r="G181" s="161" t="n">
        <v>15.941613</v>
      </c>
      <c r="H181" s="161" t="n">
        <v>2345.425781</v>
      </c>
      <c r="I181" s="161" t="n">
        <v>90.195786</v>
      </c>
      <c r="J181" s="161" t="n">
        <v>41.329792</v>
      </c>
      <c r="K181" s="161" t="n">
        <v>86.990646</v>
      </c>
      <c r="L181" s="161" t="n">
        <v>197.506638</v>
      </c>
      <c r="M181" s="161" t="n">
        <v>48.277592</v>
      </c>
      <c r="N181" s="161" t="n">
        <v>114.356148</v>
      </c>
    </row>
    <row r="182">
      <c r="B182" s="160" t="inlineStr">
        <is>
          <t>2025-05</t>
        </is>
      </c>
      <c r="C182" s="161" t="n">
        <v>159.13945</v>
      </c>
      <c r="D182" s="161" t="n">
        <v>68.07371500000001</v>
      </c>
      <c r="E182" s="161" t="n">
        <v>138.500778</v>
      </c>
      <c r="F182" s="161" t="n">
        <v>70.67182200000001</v>
      </c>
      <c r="G182" s="161" t="n">
        <v>18.07291</v>
      </c>
      <c r="H182" s="161" t="n">
        <v>2381.720459</v>
      </c>
      <c r="I182" s="161" t="n">
        <v>86.217392</v>
      </c>
      <c r="J182" s="161" t="n">
        <v>40.221874</v>
      </c>
      <c r="K182" s="161" t="n">
        <v>79.38916</v>
      </c>
      <c r="L182" s="161" t="n">
        <v>214.094482</v>
      </c>
      <c r="M182" s="161" t="n">
        <v>48.74942</v>
      </c>
      <c r="N182" s="161" t="n">
        <v>121.131874</v>
      </c>
    </row>
    <row r="183">
      <c r="B183" s="160" t="inlineStr">
        <is>
          <t>2025-06</t>
        </is>
      </c>
      <c r="C183" s="161" t="n">
        <v>174.044037</v>
      </c>
      <c r="D183" s="161" t="n">
        <v>71.674583</v>
      </c>
      <c r="E183" s="161" t="n">
        <v>140.529663</v>
      </c>
      <c r="F183" s="161" t="n">
        <v>67.021675</v>
      </c>
      <c r="G183" s="161" t="n">
        <v>18.967749</v>
      </c>
      <c r="H183" s="161" t="n">
        <v>2276.064941</v>
      </c>
      <c r="I183" s="161" t="n">
        <v>80.136139</v>
      </c>
      <c r="J183" s="161" t="n">
        <v>36.365517</v>
      </c>
      <c r="K183" s="161" t="n">
        <v>77.85702499999999</v>
      </c>
      <c r="L183" s="161" t="n">
        <v>222.32106</v>
      </c>
      <c r="M183" s="161" t="n">
        <v>49.164631</v>
      </c>
      <c r="N183" s="161" t="n">
        <v>120.409988</v>
      </c>
    </row>
    <row r="184">
      <c r="B184" s="160" t="inlineStr">
        <is>
          <t>2025-07</t>
        </is>
      </c>
      <c r="C184" s="161" t="n">
        <v>172.846161</v>
      </c>
      <c r="D184" s="161" t="n">
        <v>75.18692799999999</v>
      </c>
      <c r="E184" s="161" t="n">
        <v>126.820618</v>
      </c>
      <c r="F184" s="161" t="n">
        <v>69.456711</v>
      </c>
      <c r="G184" s="161" t="n">
        <v>18.677402</v>
      </c>
      <c r="H184" s="161" t="n">
        <v>2129.541504</v>
      </c>
      <c r="I184" s="161" t="n">
        <v>85.592224</v>
      </c>
      <c r="J184" s="161" t="n">
        <v>30.39908</v>
      </c>
      <c r="K184" s="161" t="n">
        <v>74.665459</v>
      </c>
      <c r="L184" s="161" t="n">
        <v>224.733307</v>
      </c>
      <c r="M184" s="161" t="n">
        <v>49.865433</v>
      </c>
      <c r="N184" s="161" t="n">
        <v>117.041206</v>
      </c>
    </row>
    <row r="185">
      <c r="B185" s="160" t="inlineStr">
        <is>
          <t>2025-08</t>
        </is>
      </c>
      <c r="C185" s="161" t="n">
        <v>175.811371</v>
      </c>
      <c r="D185" s="161" t="n">
        <v>72.15353399999999</v>
      </c>
      <c r="E185" s="161" t="n">
        <v>117.665123</v>
      </c>
      <c r="F185" s="161" t="n">
        <v>68.780312</v>
      </c>
      <c r="G185" s="161" t="n">
        <v>16.840124</v>
      </c>
      <c r="H185" s="161" t="n">
        <v>2070.139893</v>
      </c>
      <c r="I185" s="161" t="n">
        <v>94.38763400000001</v>
      </c>
      <c r="J185" s="161" t="n">
        <v>31.226204</v>
      </c>
      <c r="K185" s="161" t="n">
        <v>80.016296</v>
      </c>
      <c r="L185" s="161" t="n">
        <v>206.813721</v>
      </c>
      <c r="M185" s="161" t="n">
        <v>51.284134</v>
      </c>
      <c r="N185" s="161" t="n">
        <v>111.554901</v>
      </c>
    </row>
    <row r="186">
      <c r="B186" t="inlineStr">
        <is>
          <t>2025-09</t>
        </is>
      </c>
      <c r="C186" s="162" t="n">
        <v>193.818634</v>
      </c>
      <c r="D186" s="162" t="n">
        <v>72.623108</v>
      </c>
      <c r="E186" s="162" t="n">
        <v>119.699684</v>
      </c>
      <c r="F186" s="162" t="n">
        <v>71.659851</v>
      </c>
      <c r="G186" s="162" t="n">
        <v>17.377979</v>
      </c>
      <c r="H186" s="162" t="n">
        <v>2062.219971</v>
      </c>
      <c r="I186" s="162" t="n">
        <v>81.122871</v>
      </c>
      <c r="J186" s="162" t="n">
        <v>32.341427</v>
      </c>
      <c r="K186" s="162" t="n">
        <v>74.390823</v>
      </c>
      <c r="L186" s="162" t="n">
        <v>233.939255</v>
      </c>
      <c r="M186" s="162" t="n">
        <v>49.587444</v>
      </c>
      <c r="N186" s="162" t="n">
        <v>113.528038</v>
      </c>
    </row>
    <row r="187">
      <c r="B187" t="inlineStr">
        <is>
          <t>2025-10</t>
        </is>
      </c>
      <c r="C187" s="162" t="n">
        <v>209.528351</v>
      </c>
      <c r="D187" s="162" t="n">
        <v>65.128967</v>
      </c>
      <c r="E187" s="162" t="n">
        <v>129.3396</v>
      </c>
      <c r="F187" s="162" t="n">
        <v>74.094894</v>
      </c>
      <c r="G187" s="162" t="n">
        <v>19.324732</v>
      </c>
      <c r="H187" s="162" t="n">
        <v>2127.561279</v>
      </c>
      <c r="I187" s="162" t="n">
        <v>82.501785</v>
      </c>
      <c r="J187" s="162" t="n">
        <v>31.319141</v>
      </c>
      <c r="K187" s="162" t="n">
        <v>82.961624</v>
      </c>
      <c r="L187" s="162" t="n">
        <v>242.308289</v>
      </c>
      <c r="M187" s="162" t="n">
        <v>51.715492</v>
      </c>
      <c r="N187" s="162" t="n">
        <v>111.554901</v>
      </c>
    </row>
    <row r="188">
      <c r="B188" t="inlineStr">
        <is>
          <t>2025-11</t>
        </is>
      </c>
      <c r="C188" s="162" t="n">
        <v>200.740738</v>
      </c>
      <c r="D188" s="162" t="n">
        <v>71.568062</v>
      </c>
      <c r="E188" s="162" t="n">
        <v>130.599091</v>
      </c>
      <c r="F188" s="162" t="n">
        <v>74.404106</v>
      </c>
      <c r="G188" s="162" t="n">
        <v>20.847864</v>
      </c>
      <c r="H188" s="162" t="n">
        <v>2079.050293</v>
      </c>
      <c r="I188" s="162" t="n">
        <v>75.33532</v>
      </c>
      <c r="J188" s="162" t="n">
        <v>32.03474</v>
      </c>
      <c r="K188" s="162" t="n">
        <v>81.219055</v>
      </c>
      <c r="L188" s="162" t="n">
        <v>227.440933</v>
      </c>
      <c r="M188" s="162" t="n">
        <v>55.357048</v>
      </c>
      <c r="N188" s="162" t="n">
        <v>118.720123</v>
      </c>
    </row>
    <row r="189">
      <c r="B189" t="inlineStr">
        <is>
          <t>2025-12</t>
        </is>
      </c>
      <c r="C189" s="162" t="n">
        <v>194.800491</v>
      </c>
      <c r="D189" s="162" t="n">
        <v>78.46360799999999</v>
      </c>
      <c r="E189" s="162" t="n">
        <v>137.81691</v>
      </c>
      <c r="F189" s="162" t="n">
        <v>74.19152099999999</v>
      </c>
      <c r="G189" s="162" t="n">
        <v>21.333363</v>
      </c>
      <c r="H189" s="162" t="n">
        <v>2100.830811</v>
      </c>
      <c r="I189" s="162" t="n">
        <v>73.099998</v>
      </c>
      <c r="J189" s="162" t="n">
        <v>32.917622</v>
      </c>
      <c r="K189" s="162" t="n">
        <v>78.340019</v>
      </c>
      <c r="L189" s="162" t="n">
        <v>231.280838</v>
      </c>
      <c r="M189" s="162" t="n">
        <v>54.177788</v>
      </c>
      <c r="N189" s="162" t="n">
        <v>116.583649</v>
      </c>
    </row>
    <row r="190">
      <c r="B190" t="inlineStr">
        <is>
          <t>2026-01</t>
        </is>
      </c>
      <c r="C190" s="162" t="n">
        <v>189.891205</v>
      </c>
      <c r="D190" s="162" t="n">
        <v>88.57384500000001</v>
      </c>
      <c r="E190" s="162" t="n">
        <v>127.111275</v>
      </c>
      <c r="F190" s="162" t="n">
        <v>63.620338</v>
      </c>
      <c r="G190" s="162" t="n">
        <v>23.894129</v>
      </c>
      <c r="H190" s="162" t="n">
        <v>2008.758545</v>
      </c>
      <c r="I190" s="162" t="n">
        <v>75.08000199999999</v>
      </c>
      <c r="J190" s="162" t="n">
        <v>29.62772</v>
      </c>
      <c r="K190" s="162" t="n">
        <v>75.006401</v>
      </c>
      <c r="L190" s="162" t="n">
        <v>238.566833</v>
      </c>
      <c r="M190" s="162" t="n">
        <v>60.508461</v>
      </c>
      <c r="N190" s="162" t="n">
        <v>117.651886</v>
      </c>
    </row>
    <row r="191">
      <c r="B191" t="inlineStr">
        <is>
          <t>2026-02</t>
        </is>
      </c>
      <c r="C191" s="162" t="n">
        <v>180.8974</v>
      </c>
      <c r="D191" s="162" t="n">
        <v>92.750023</v>
      </c>
      <c r="E191" s="162" t="n">
        <v>103.617004</v>
      </c>
      <c r="F191" s="162" t="n">
        <v>70.191093</v>
      </c>
      <c r="G191" s="162" t="n">
        <v>27.540125</v>
      </c>
      <c r="H191" s="162" t="n">
        <v>2028.559082</v>
      </c>
      <c r="I191" s="162" t="n">
        <v>78.260002</v>
      </c>
      <c r="J191" s="162" t="n">
        <v>29.841473</v>
      </c>
      <c r="K191" s="162" t="n">
        <v>77.847549</v>
      </c>
      <c r="L191" s="162" t="n">
        <v>272.436829</v>
      </c>
      <c r="M191" s="162" t="n">
        <v>66.57415</v>
      </c>
      <c r="N191" s="162" t="n">
        <v>136.685944</v>
      </c>
    </row>
    <row r="192">
      <c r="B192" t="inlineStr">
        <is>
          <t>2026-03</t>
        </is>
      </c>
      <c r="C192" s="162" t="n">
        <v>157.902313</v>
      </c>
      <c r="D192" s="162" t="n">
        <v>78.65784499999999</v>
      </c>
      <c r="E192" s="162" t="n">
        <v>97.368011</v>
      </c>
      <c r="F192" s="162" t="n">
        <v>66.712463</v>
      </c>
      <c r="G192" s="162" t="n">
        <v>26.378735</v>
      </c>
      <c r="H192" s="162" t="n">
        <v>1596.66687</v>
      </c>
      <c r="I192" s="162" t="n">
        <v>64.220001</v>
      </c>
      <c r="J192" s="162" t="n">
        <v>26.969776</v>
      </c>
      <c r="K192" s="162" t="n">
        <v>78.340019</v>
      </c>
      <c r="L192" s="162" t="n">
        <v>225.570221</v>
      </c>
      <c r="M192" s="162" t="n">
        <v>80.06115699999999</v>
      </c>
      <c r="N192" s="162" t="n">
        <v>124.64399</v>
      </c>
    </row>
    <row r="193">
      <c r="B193" t="inlineStr">
        <is>
          <t>2026-04</t>
        </is>
      </c>
      <c r="C193" s="162" t="n">
        <v>171.707214</v>
      </c>
      <c r="D193" s="162" t="n">
        <v>86.66057600000001</v>
      </c>
      <c r="E193" s="162" t="n">
        <v>99.7901</v>
      </c>
      <c r="F193" s="162" t="n">
        <v>64.489998</v>
      </c>
      <c r="G193" s="162" t="n">
        <v>26.721441</v>
      </c>
      <c r="H193" s="162" t="n">
        <v>1611.055664</v>
      </c>
      <c r="I193" s="162" t="n">
        <v>62.84</v>
      </c>
      <c r="J193" s="162" t="n">
        <v>27.66679</v>
      </c>
      <c r="K193" s="162" t="n">
        <v>75.593575</v>
      </c>
      <c r="L193" s="162" t="n">
        <v>264.461639</v>
      </c>
      <c r="M193" s="162" t="n">
        <v>79.290001</v>
      </c>
      <c r="N193" s="162" t="n">
        <v>124.789658</v>
      </c>
    </row>
    <row r="194">
      <c r="B194" t="inlineStr">
        <is>
          <t>2026-05</t>
        </is>
      </c>
      <c r="C194" s="162" t="n">
        <v>179.699997</v>
      </c>
      <c r="D194" s="162" t="n">
        <v>90.273453</v>
      </c>
      <c r="E194" s="162" t="n">
        <v>98.77282</v>
      </c>
      <c r="F194" s="162" t="n">
        <v>58.885532</v>
      </c>
      <c r="G194" s="162" t="n">
        <v>26.469999</v>
      </c>
      <c r="H194" s="162" t="n">
        <v>1620</v>
      </c>
      <c r="I194" s="162" t="n">
        <v>63.419998</v>
      </c>
      <c r="J194" s="162" t="n">
        <v>27.499506</v>
      </c>
      <c r="K194" s="162" t="n">
        <v>71.303436</v>
      </c>
      <c r="L194" s="162" t="n">
        <v>265.790833</v>
      </c>
      <c r="M194" s="162" t="n">
        <v>75.18000000000001</v>
      </c>
      <c r="N194" s="162" t="n">
        <v>125.050003</v>
      </c>
    </row>
    <row r="195">
      <c r="B195" t="inlineStr">
        <is>
          <t>2026-06</t>
        </is>
      </c>
      <c r="C195" s="162" t="n">
        <v>178.960007</v>
      </c>
      <c r="D195" s="162" t="n">
        <v>93.650002</v>
      </c>
      <c r="E195" s="162" t="n">
        <v>101.800003</v>
      </c>
      <c r="F195" s="162" t="n">
        <v>64.41999800000001</v>
      </c>
      <c r="G195" s="162" t="n">
        <v>26.940001</v>
      </c>
      <c r="H195" s="162" t="n">
        <v>1619</v>
      </c>
      <c r="I195" s="162" t="n">
        <v>62.099998</v>
      </c>
      <c r="J195" s="162" t="n">
        <v>26.809999</v>
      </c>
      <c r="K195" s="162" t="n">
        <v>77.949997</v>
      </c>
      <c r="L195" s="162" t="n">
        <v>269.049988</v>
      </c>
      <c r="M195" s="162" t="n">
        <v>77.370003</v>
      </c>
      <c r="N195" s="162" t="n">
        <v>124.25</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3:N34"/>
  <sheetViews>
    <sheetView showGridLines="0" workbookViewId="0">
      <selection activeCell="G13" sqref="G13"/>
    </sheetView>
  </sheetViews>
  <sheetFormatPr baseColWidth="10" defaultColWidth="10.83203125" defaultRowHeight="15"/>
  <cols>
    <col width="11.6640625" bestFit="1" customWidth="1" min="3" max="13"/>
  </cols>
  <sheetData>
    <row r="2" ht="16" customHeight="1" thickBot="1"/>
    <row r="3">
      <c r="B3" s="163" t="inlineStr">
        <is>
          <t>Correlation</t>
        </is>
      </c>
      <c r="C3" s="164" t="n"/>
      <c r="D3" s="164" t="n"/>
      <c r="E3" s="164" t="n"/>
      <c r="F3" s="164" t="n"/>
      <c r="G3" s="164" t="n"/>
      <c r="H3" s="164" t="n"/>
      <c r="I3" s="164" t="n"/>
      <c r="J3" s="164" t="n"/>
      <c r="K3" s="164" t="n"/>
      <c r="L3" s="164" t="n"/>
      <c r="M3" s="164" t="n"/>
      <c r="N3" s="165" t="n"/>
    </row>
    <row r="4" ht="16" customHeight="1" thickBot="1">
      <c r="B4" s="142" t="n"/>
      <c r="C4" s="166" t="n"/>
      <c r="D4" s="166" t="n"/>
      <c r="E4" s="166" t="n"/>
      <c r="F4" s="166" t="n"/>
      <c r="G4" s="166" t="n"/>
      <c r="H4" s="166" t="n"/>
      <c r="I4" s="166" t="n"/>
      <c r="J4" s="166" t="n"/>
      <c r="K4" s="166" t="n"/>
      <c r="L4" s="166" t="n"/>
      <c r="M4" s="166" t="n"/>
      <c r="N4" s="66" t="n"/>
    </row>
    <row r="5">
      <c r="B5" s="44" t="n"/>
      <c r="C5" s="48" t="inlineStr">
        <is>
          <t>AIR.PA</t>
        </is>
      </c>
      <c r="D5" s="48" t="inlineStr">
        <is>
          <t>BNP.PA</t>
        </is>
      </c>
      <c r="E5" s="48" t="inlineStr">
        <is>
          <t>CAP.PA</t>
        </is>
      </c>
      <c r="F5" s="48" t="inlineStr">
        <is>
          <t>BN.PA</t>
        </is>
      </c>
      <c r="G5" s="48" t="inlineStr">
        <is>
          <t>ENGI.PA</t>
        </is>
      </c>
      <c r="H5" s="48" t="inlineStr">
        <is>
          <t>RMS.PA</t>
        </is>
      </c>
      <c r="I5" s="48" t="inlineStr">
        <is>
          <t>RI.PA</t>
        </is>
      </c>
      <c r="J5" s="48" t="inlineStr">
        <is>
          <t>RNO.PA</t>
        </is>
      </c>
      <c r="K5" s="48" t="inlineStr">
        <is>
          <t>SAN.PA</t>
        </is>
      </c>
      <c r="L5" s="48" t="inlineStr">
        <is>
          <t>SU.PA</t>
        </is>
      </c>
      <c r="M5" s="48" t="inlineStr">
        <is>
          <t>TTE.PA</t>
        </is>
      </c>
      <c r="N5" s="49" t="inlineStr">
        <is>
          <t>DG.PA</t>
        </is>
      </c>
    </row>
    <row r="6">
      <c r="B6" s="45" t="inlineStr">
        <is>
          <t>AIR.PA</t>
        </is>
      </c>
      <c r="C6">
        <f>CORREL('Returns-VOL'!C$6:C$185,'Returns-VOL'!$C$6:$C$185)</f>
        <v/>
      </c>
      <c r="N6" s="39" t="n"/>
    </row>
    <row r="7">
      <c r="B7" s="46" t="inlineStr">
        <is>
          <t>BNP.PA</t>
        </is>
      </c>
      <c r="C7" s="40">
        <f>CORREL('Returns-VOL'!C$6:C$185,'Returns-VOL'!$D$6:$D$185)</f>
        <v/>
      </c>
      <c r="D7">
        <f>CORREL('Returns-VOL'!D$6:D$185,'Returns-VOL'!$D$6:$D$185)</f>
        <v/>
      </c>
      <c r="N7" s="39" t="n"/>
    </row>
    <row r="8">
      <c r="B8" s="46" t="inlineStr">
        <is>
          <t>CAP.PA</t>
        </is>
      </c>
      <c r="C8" s="40">
        <f>CORREL('Returns-VOL'!C$6:C$185,'Returns-VOL'!$E$6:$E$185)</f>
        <v/>
      </c>
      <c r="D8" s="40">
        <f>CORREL('Returns-VOL'!D$6:D$185,'Returns-VOL'!$E$6:$E$185)</f>
        <v/>
      </c>
      <c r="E8">
        <f>CORREL('Returns-VOL'!E$6:E$185,'Returns-VOL'!$E$6:$E$185)</f>
        <v/>
      </c>
      <c r="N8" s="39" t="n"/>
    </row>
    <row r="9">
      <c r="B9" s="46" t="inlineStr">
        <is>
          <t>BN.PA</t>
        </is>
      </c>
      <c r="C9" s="40">
        <f>CORREL('Returns-VOL'!C$6:C$185,'Returns-VOL'!$F$6:$F$185)</f>
        <v/>
      </c>
      <c r="D9" s="40">
        <f>CORREL('Returns-VOL'!D$6:D$185,'Returns-VOL'!$F$6:$F$185)</f>
        <v/>
      </c>
      <c r="E9" s="40">
        <f>CORREL('Returns-VOL'!E$6:E$185,'Returns-VOL'!$F$6:$F$185)</f>
        <v/>
      </c>
      <c r="F9">
        <f>CORREL('Returns-VOL'!F$6:F$185,'Returns-VOL'!$F$6:$F$185)</f>
        <v/>
      </c>
      <c r="N9" s="39" t="n"/>
    </row>
    <row r="10">
      <c r="B10" s="46" t="inlineStr">
        <is>
          <t>ENGI.PA</t>
        </is>
      </c>
      <c r="C10" s="40">
        <f>CORREL('Returns-VOL'!C$6:C$185,'Returns-VOL'!$G$6:$G$185)</f>
        <v/>
      </c>
      <c r="D10" s="40">
        <f>CORREL('Returns-VOL'!D$6:D$185,'Returns-VOL'!$G$6:$G$185)</f>
        <v/>
      </c>
      <c r="E10" s="40">
        <f>CORREL('Returns-VOL'!E$6:E$185,'Returns-VOL'!$G$6:$G$185)</f>
        <v/>
      </c>
      <c r="F10" s="40">
        <f>CORREL('Returns-VOL'!F$6:F$185,'Returns-VOL'!$G$6:$G$185)</f>
        <v/>
      </c>
      <c r="G10">
        <f>CORREL('Returns-VOL'!G$6:G$185,'Returns-VOL'!$G$6:$G$185)</f>
        <v/>
      </c>
      <c r="N10" s="39" t="n"/>
    </row>
    <row r="11">
      <c r="B11" s="46" t="inlineStr">
        <is>
          <t>RMS.PA</t>
        </is>
      </c>
      <c r="C11" s="40">
        <f>CORREL('Returns-VOL'!C$6:C$185,'Returns-VOL'!$H$6:$H$185)</f>
        <v/>
      </c>
      <c r="D11" s="40">
        <f>CORREL('Returns-VOL'!D$6:D$185,'Returns-VOL'!$H$6:$H$185)</f>
        <v/>
      </c>
      <c r="E11" s="40">
        <f>CORREL('Returns-VOL'!E$6:E$185,'Returns-VOL'!$H$6:$H$185)</f>
        <v/>
      </c>
      <c r="F11" s="40">
        <f>CORREL('Returns-VOL'!F$6:F$185,'Returns-VOL'!$H$6:$H$185)</f>
        <v/>
      </c>
      <c r="G11" s="40">
        <f>CORREL('Returns-VOL'!G$6:G$185,'Returns-VOL'!$H$6:$H$185)</f>
        <v/>
      </c>
      <c r="H11">
        <f>CORREL('Returns-VOL'!H$6:H$185,'Returns-VOL'!$H$6:$H$185)</f>
        <v/>
      </c>
      <c r="N11" s="39" t="n"/>
    </row>
    <row r="12">
      <c r="B12" s="46" t="inlineStr">
        <is>
          <t>RI.PA</t>
        </is>
      </c>
      <c r="C12" s="40">
        <f>CORREL('Returns-VOL'!C$6:C$185,'Returns-VOL'!$I$6:$I$185)</f>
        <v/>
      </c>
      <c r="D12" s="40">
        <f>CORREL('Returns-VOL'!D$6:D$185,'Returns-VOL'!$I$6:$I$185)</f>
        <v/>
      </c>
      <c r="E12" s="40">
        <f>CORREL('Returns-VOL'!E$6:E$185,'Returns-VOL'!$I$6:$I$185)</f>
        <v/>
      </c>
      <c r="F12" s="40">
        <f>CORREL('Returns-VOL'!F$6:F$185,'Returns-VOL'!$I$6:$I$185)</f>
        <v/>
      </c>
      <c r="G12" s="40">
        <f>CORREL('Returns-VOL'!G$6:G$185,'Returns-VOL'!$I$6:$I$185)</f>
        <v/>
      </c>
      <c r="H12" s="40">
        <f>CORREL('Returns-VOL'!H$6:H$185,'Returns-VOL'!$I$6:$I$185)</f>
        <v/>
      </c>
      <c r="I12">
        <f>CORREL('Returns-VOL'!I$6:I$185,'Returns-VOL'!$I$6:$I$185)</f>
        <v/>
      </c>
      <c r="N12" s="39" t="n"/>
    </row>
    <row r="13">
      <c r="B13" s="46" t="inlineStr">
        <is>
          <t>RNO.PA</t>
        </is>
      </c>
      <c r="C13" s="40">
        <f>CORREL('Returns-VOL'!C$6:C$185,'Returns-VOL'!$J$6:$J$185)</f>
        <v/>
      </c>
      <c r="D13" s="40">
        <f>CORREL('Returns-VOL'!D$6:D$185,'Returns-VOL'!$J$6:$J$185)</f>
        <v/>
      </c>
      <c r="E13" s="40">
        <f>CORREL('Returns-VOL'!E$6:E$185,'Returns-VOL'!$J$6:$J$185)</f>
        <v/>
      </c>
      <c r="F13" s="40">
        <f>CORREL('Returns-VOL'!F$6:F$185,'Returns-VOL'!$J$6:$J$185)</f>
        <v/>
      </c>
      <c r="G13" s="40">
        <f>CORREL('Returns-VOL'!G$6:G$185,'Returns-VOL'!$J$6:$J$185)</f>
        <v/>
      </c>
      <c r="H13" s="40">
        <f>CORREL('Returns-VOL'!H$6:H$185,'Returns-VOL'!$J$6:$J$185)</f>
        <v/>
      </c>
      <c r="I13" s="40">
        <f>CORREL('Returns-VOL'!I$6:I$185,'Returns-VOL'!$J$6:$J$185)</f>
        <v/>
      </c>
      <c r="J13">
        <f>CORREL('Returns-VOL'!J$6:J$185,'Returns-VOL'!$J$6:$J$185)</f>
        <v/>
      </c>
      <c r="N13" s="39" t="n"/>
    </row>
    <row r="14">
      <c r="B14" s="46" t="inlineStr">
        <is>
          <t>SAN.PA</t>
        </is>
      </c>
      <c r="C14" s="40">
        <f>CORREL('Returns-VOL'!C$6:C$185,'Returns-VOL'!$K$6:$K$185)</f>
        <v/>
      </c>
      <c r="D14" s="40">
        <f>CORREL('Returns-VOL'!D$6:D$185,'Returns-VOL'!$K$6:$K$185)</f>
        <v/>
      </c>
      <c r="E14" s="40">
        <f>CORREL('Returns-VOL'!E$6:E$185,'Returns-VOL'!$K$6:$K$185)</f>
        <v/>
      </c>
      <c r="F14" s="40">
        <f>CORREL('Returns-VOL'!F$6:F$185,'Returns-VOL'!$K$6:$K$185)</f>
        <v/>
      </c>
      <c r="G14" s="40">
        <f>CORREL('Returns-VOL'!G$6:G$185,'Returns-VOL'!$K$6:$K$185)</f>
        <v/>
      </c>
      <c r="H14" s="40">
        <f>CORREL('Returns-VOL'!H$6:H$185,'Returns-VOL'!$K$6:$K$185)</f>
        <v/>
      </c>
      <c r="I14" s="40">
        <f>CORREL('Returns-VOL'!I$6:I$185,'Returns-VOL'!$K$6:$K$185)</f>
        <v/>
      </c>
      <c r="J14" s="40">
        <f>CORREL('Returns-VOL'!J$6:J$185,'Returns-VOL'!$K$6:$K$185)</f>
        <v/>
      </c>
      <c r="K14">
        <f>CORREL('Returns-VOL'!K$6:K$185,'Returns-VOL'!$K$6:$K$185)</f>
        <v/>
      </c>
      <c r="N14" s="39" t="n"/>
    </row>
    <row r="15">
      <c r="B15" s="46" t="inlineStr">
        <is>
          <t>SU.PA</t>
        </is>
      </c>
      <c r="C15" s="40">
        <f>CORREL('Returns-VOL'!C$6:C$185,'Returns-VOL'!$L$6:$L$185)</f>
        <v/>
      </c>
      <c r="D15" s="40">
        <f>CORREL('Returns-VOL'!D$6:D$185,'Returns-VOL'!$L$6:$L$185)</f>
        <v/>
      </c>
      <c r="E15" s="40">
        <f>CORREL('Returns-VOL'!E$6:E$185,'Returns-VOL'!$L$6:$L$185)</f>
        <v/>
      </c>
      <c r="F15" s="40">
        <f>CORREL('Returns-VOL'!F$6:F$185,'Returns-VOL'!$L$6:$L$185)</f>
        <v/>
      </c>
      <c r="G15" s="40">
        <f>CORREL('Returns-VOL'!G$6:G$185,'Returns-VOL'!$L$6:$L$185)</f>
        <v/>
      </c>
      <c r="H15" s="40">
        <f>CORREL('Returns-VOL'!H$6:H$185,'Returns-VOL'!$L$6:$L$185)</f>
        <v/>
      </c>
      <c r="I15" s="40">
        <f>CORREL('Returns-VOL'!I$6:I$185,'Returns-VOL'!$L$6:$L$185)</f>
        <v/>
      </c>
      <c r="J15" s="40">
        <f>CORREL('Returns-VOL'!J$6:J$185,'Returns-VOL'!$L$6:$L$185)</f>
        <v/>
      </c>
      <c r="K15" s="40">
        <f>CORREL('Returns-VOL'!K$6:K$185,'Returns-VOL'!$L$6:$L$185)</f>
        <v/>
      </c>
      <c r="L15">
        <f>CORREL('Returns-VOL'!L$6:L$185,'Returns-VOL'!$L$6:$L$185)</f>
        <v/>
      </c>
      <c r="N15" s="39" t="n"/>
    </row>
    <row r="16">
      <c r="B16" s="46" t="inlineStr">
        <is>
          <t>TTE.PA</t>
        </is>
      </c>
      <c r="C16" s="40">
        <f>CORREL('Returns-VOL'!C$6:C$185,'Returns-VOL'!$M$6:$M$185)</f>
        <v/>
      </c>
      <c r="D16" s="40">
        <f>CORREL('Returns-VOL'!D$6:D$185,'Returns-VOL'!$M$6:$M$185)</f>
        <v/>
      </c>
      <c r="E16" s="40">
        <f>CORREL('Returns-VOL'!E$6:E$185,'Returns-VOL'!$M$6:$M$185)</f>
        <v/>
      </c>
      <c r="F16" s="40">
        <f>CORREL('Returns-VOL'!F$6:F$185,'Returns-VOL'!$M$6:$M$185)</f>
        <v/>
      </c>
      <c r="G16" s="40">
        <f>CORREL('Returns-VOL'!G$6:G$185,'Returns-VOL'!$M$6:$M$185)</f>
        <v/>
      </c>
      <c r="H16" s="40">
        <f>CORREL('Returns-VOL'!H$6:H$185,'Returns-VOL'!$M$6:$M$185)</f>
        <v/>
      </c>
      <c r="I16" s="40">
        <f>CORREL('Returns-VOL'!I$6:I$185,'Returns-VOL'!$M$6:$M$185)</f>
        <v/>
      </c>
      <c r="J16" s="40">
        <f>CORREL('Returns-VOL'!J$6:J$185,'Returns-VOL'!$M$6:$M$185)</f>
        <v/>
      </c>
      <c r="K16" s="40">
        <f>CORREL('Returns-VOL'!K$6:K$185,'Returns-VOL'!$M$6:$M$185)</f>
        <v/>
      </c>
      <c r="L16" s="40">
        <f>CORREL('Returns-VOL'!L$6:L$185,'Returns-VOL'!$M$6:$M$185)</f>
        <v/>
      </c>
      <c r="M16">
        <f>CORREL('Returns-VOL'!M$6:M$185,'Returns-VOL'!$M$6:$M$185)</f>
        <v/>
      </c>
      <c r="N16" s="39" t="n"/>
    </row>
    <row r="17" ht="16" customHeight="1" thickBot="1">
      <c r="B17" s="47" t="inlineStr">
        <is>
          <t>DG.PA</t>
        </is>
      </c>
      <c r="C17" s="41">
        <f>CORREL('Returns-VOL'!C$6:C$185,'Returns-VOL'!$N$6:$N$185)</f>
        <v/>
      </c>
      <c r="D17" s="41">
        <f>CORREL('Returns-VOL'!D$6:D$185,'Returns-VOL'!$N$6:$N$185)</f>
        <v/>
      </c>
      <c r="E17" s="41">
        <f>CORREL('Returns-VOL'!E$6:E$185,'Returns-VOL'!$N$6:$N$185)</f>
        <v/>
      </c>
      <c r="F17" s="41">
        <f>CORREL('Returns-VOL'!F$6:F$185,'Returns-VOL'!$N$6:$N$185)</f>
        <v/>
      </c>
      <c r="G17" s="41">
        <f>CORREL('Returns-VOL'!G$6:G$185,'Returns-VOL'!$N$6:$N$185)</f>
        <v/>
      </c>
      <c r="H17" s="41">
        <f>CORREL('Returns-VOL'!H$6:H$185,'Returns-VOL'!$N$6:$N$185)</f>
        <v/>
      </c>
      <c r="I17" s="41">
        <f>CORREL('Returns-VOL'!I$6:I$185,'Returns-VOL'!$N$6:$N$185)</f>
        <v/>
      </c>
      <c r="J17" s="41">
        <f>CORREL('Returns-VOL'!J$6:J$185,'Returns-VOL'!$N$6:$N$185)</f>
        <v/>
      </c>
      <c r="K17" s="41">
        <f>CORREL('Returns-VOL'!K$6:K$185,'Returns-VOL'!$N$6:$N$185)</f>
        <v/>
      </c>
      <c r="L17" s="41">
        <f>CORREL('Returns-VOL'!L$6:L$185,'Returns-VOL'!$N$6:$N$185)</f>
        <v/>
      </c>
      <c r="M17" s="41">
        <f>CORREL('Returns-VOL'!M$6:M$185,'Returns-VOL'!$N$6:$N$185)</f>
        <v/>
      </c>
      <c r="N17" s="66">
        <f>CORREL('Returns-VOL'!N$6:N$185,'Returns-VOL'!$N$6:$N$185)</f>
        <v/>
      </c>
    </row>
    <row r="22">
      <c r="F22" s="29" t="n"/>
    </row>
    <row r="23">
      <c r="F23" s="29" t="n"/>
    </row>
    <row r="24">
      <c r="C24" s="40" t="n"/>
      <c r="F24" s="29" t="n"/>
    </row>
    <row r="25">
      <c r="C25" s="40" t="n"/>
      <c r="D25" s="40" t="n"/>
      <c r="F25" s="29" t="n"/>
    </row>
    <row r="26">
      <c r="C26" s="40" t="n"/>
      <c r="D26" s="40" t="n"/>
      <c r="E26" s="40" t="n"/>
      <c r="F26" s="29" t="n"/>
    </row>
    <row r="27">
      <c r="C27" s="40" t="n"/>
      <c r="D27" s="40" t="n"/>
      <c r="E27" s="40" t="n"/>
      <c r="F27" s="50" t="n"/>
    </row>
    <row r="28">
      <c r="C28" s="40" t="n"/>
      <c r="D28" s="40" t="n"/>
      <c r="E28" s="40" t="n"/>
      <c r="F28" s="50" t="n"/>
      <c r="G28" s="40" t="n"/>
    </row>
    <row r="29">
      <c r="C29" s="40" t="n"/>
      <c r="D29" s="40" t="n"/>
      <c r="E29" s="40" t="n"/>
      <c r="F29" s="50" t="n"/>
      <c r="G29" s="40" t="n"/>
      <c r="H29" s="40" t="n"/>
    </row>
    <row r="30">
      <c r="C30" s="40" t="n"/>
      <c r="D30" s="40" t="n"/>
      <c r="E30" s="40" t="n"/>
      <c r="F30" s="50" t="n"/>
      <c r="G30" s="40" t="n"/>
      <c r="H30" s="40" t="n"/>
      <c r="I30" s="40" t="n"/>
    </row>
    <row r="31">
      <c r="C31" s="40" t="n"/>
      <c r="D31" s="40" t="n"/>
      <c r="E31" s="40" t="n"/>
      <c r="F31" s="50" t="n"/>
      <c r="G31" s="40" t="n"/>
      <c r="H31" s="40" t="n"/>
      <c r="I31" s="40" t="n"/>
      <c r="J31" s="40" t="n"/>
    </row>
    <row r="32">
      <c r="C32" s="40" t="n"/>
      <c r="D32" s="40" t="n"/>
      <c r="E32" s="40" t="n"/>
      <c r="F32" s="50" t="n"/>
      <c r="G32" s="40" t="n"/>
      <c r="H32" s="40" t="n"/>
      <c r="I32" s="40" t="n"/>
      <c r="J32" s="40" t="n"/>
      <c r="K32" s="40" t="n"/>
    </row>
    <row r="33">
      <c r="C33" s="40" t="n"/>
      <c r="D33" s="40" t="n"/>
      <c r="E33" s="40" t="n"/>
      <c r="F33" s="50" t="n"/>
      <c r="G33" s="40" t="n"/>
      <c r="H33" s="40" t="n"/>
      <c r="I33" s="40" t="n"/>
      <c r="J33" s="40" t="n"/>
      <c r="K33" s="40" t="n"/>
      <c r="L33" s="40" t="n"/>
    </row>
    <row r="34">
      <c r="C34" s="40" t="n"/>
      <c r="D34" s="40" t="n"/>
      <c r="E34" s="40" t="n"/>
      <c r="F34" s="40" t="n"/>
      <c r="G34" s="40" t="n"/>
      <c r="H34" s="40" t="n"/>
      <c r="I34" s="40" t="n"/>
      <c r="J34" s="40" t="n"/>
      <c r="K34" s="40" t="n"/>
      <c r="L34" s="40" t="n"/>
      <c r="M34" s="40" t="n"/>
    </row>
  </sheetData>
  <mergeCells count="1">
    <mergeCell ref="B3:N4"/>
  </mergeCells>
  <conditionalFormatting sqref="D13:J13">
    <cfRule type="colorScale" priority="2">
      <colorScale>
        <cfvo type="min"/>
        <cfvo type="percentile" val="50"/>
        <cfvo type="max"/>
        <color rgb="FFF8696B"/>
        <color rgb="FFFFEB84"/>
        <color rgb="FF63BE7B"/>
      </colorScale>
    </cfRule>
  </conditionalFormatting>
  <conditionalFormatting sqref="D14:K14">
    <cfRule type="colorScale" priority="3">
      <colorScale>
        <cfvo type="min"/>
        <cfvo type="percentile" val="50"/>
        <cfvo type="max"/>
        <color rgb="FFF8696B"/>
        <color rgb="FFFFEB84"/>
        <color rgb="FF63BE7B"/>
      </colorScale>
    </cfRule>
  </conditionalFormatting>
  <conditionalFormatting sqref="C6:N12 C13:C14 C15:N17 K13 L14:N14 M13:N13">
    <cfRule type="colorScale" priority="4">
      <colorScale>
        <cfvo type="min"/>
        <cfvo type="percentile" val="50"/>
        <cfvo type="max"/>
        <color rgb="FFF8696B"/>
        <color rgb="FFFFEB84"/>
        <color rgb="FF63BE7B"/>
      </colorScale>
    </cfRule>
  </conditionalFormatting>
  <conditionalFormatting sqref="N2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N16"/>
  <sheetViews>
    <sheetView showGridLines="0" zoomScale="75" workbookViewId="0">
      <selection activeCell="D6" sqref="D6"/>
    </sheetView>
  </sheetViews>
  <sheetFormatPr baseColWidth="10" defaultColWidth="10.83203125" defaultRowHeight="15"/>
  <cols>
    <col width="12.6640625" bestFit="1" customWidth="1" min="3" max="14"/>
  </cols>
  <sheetData>
    <row r="1" ht="16" customHeight="1" thickBot="1"/>
    <row r="2">
      <c r="B2" s="163" t="inlineStr">
        <is>
          <t>Covariance</t>
        </is>
      </c>
      <c r="C2" s="164" t="n"/>
      <c r="D2" s="164" t="n"/>
      <c r="E2" s="164" t="n"/>
      <c r="F2" s="164" t="n"/>
      <c r="G2" s="164" t="n"/>
      <c r="H2" s="164" t="n"/>
      <c r="I2" s="164" t="n"/>
      <c r="J2" s="164" t="n"/>
      <c r="K2" s="164" t="n"/>
      <c r="L2" s="164" t="n"/>
      <c r="M2" s="164" t="n"/>
      <c r="N2" s="165" t="n"/>
    </row>
    <row r="3" ht="16" customHeight="1" thickBot="1">
      <c r="B3" s="142" t="n"/>
      <c r="C3" s="166" t="n"/>
      <c r="D3" s="166" t="n"/>
      <c r="E3" s="166" t="n"/>
      <c r="F3" s="166" t="n"/>
      <c r="G3" s="166" t="n"/>
      <c r="H3" s="166" t="n"/>
      <c r="I3" s="166" t="n"/>
      <c r="J3" s="166" t="n"/>
      <c r="K3" s="166" t="n"/>
      <c r="L3" s="166" t="n"/>
      <c r="M3" s="166" t="n"/>
      <c r="N3" s="66" t="n"/>
    </row>
    <row r="4">
      <c r="B4" s="44" t="n"/>
      <c r="C4" s="48" t="inlineStr">
        <is>
          <t>AIR.PA</t>
        </is>
      </c>
      <c r="D4" s="48" t="inlineStr">
        <is>
          <t>BNP.PA</t>
        </is>
      </c>
      <c r="E4" s="48" t="inlineStr">
        <is>
          <t>CAP.PA</t>
        </is>
      </c>
      <c r="F4" s="48" t="inlineStr">
        <is>
          <t>BN.PA</t>
        </is>
      </c>
      <c r="G4" s="48" t="inlineStr">
        <is>
          <t>ENGI.PA</t>
        </is>
      </c>
      <c r="H4" s="48" t="inlineStr">
        <is>
          <t>RMS.PA</t>
        </is>
      </c>
      <c r="I4" s="48" t="inlineStr">
        <is>
          <t>RI.PA</t>
        </is>
      </c>
      <c r="J4" s="48" t="inlineStr">
        <is>
          <t>RNO.PA</t>
        </is>
      </c>
      <c r="K4" s="48" t="inlineStr">
        <is>
          <t>SAN.PA</t>
        </is>
      </c>
      <c r="L4" s="48" t="inlineStr">
        <is>
          <t>SU.PA</t>
        </is>
      </c>
      <c r="M4" s="48" t="inlineStr">
        <is>
          <t>TTE.PA</t>
        </is>
      </c>
      <c r="N4" s="49" t="inlineStr">
        <is>
          <t>DG.PA</t>
        </is>
      </c>
    </row>
    <row r="5">
      <c r="B5" s="45" t="inlineStr">
        <is>
          <t>AIR.PA</t>
        </is>
      </c>
      <c r="C5" s="62">
        <f>_xlfn.COVARIANCE.S('Returns-VOL'!$C$6:$C$185,'Returns-VOL'!C6:C185)</f>
        <v/>
      </c>
      <c r="D5" s="62">
        <f>_xlfn.COVARIANCE.S('Returns-VOL'!$C$6:$C$185,'Returns-VOL'!D6:D185)</f>
        <v/>
      </c>
      <c r="E5" s="62">
        <f>_xlfn.COVARIANCE.S('Returns-VOL'!$C$6:$C$185,'Returns-VOL'!E6:E185)</f>
        <v/>
      </c>
      <c r="F5" s="62">
        <f>_xlfn.COVARIANCE.S('Returns-VOL'!$C$6:$C$185,'Returns-VOL'!F6:F185)</f>
        <v/>
      </c>
      <c r="G5" s="62">
        <f>_xlfn.COVARIANCE.S('Returns-VOL'!$C$6:$C$185,'Returns-VOL'!G6:G185)</f>
        <v/>
      </c>
      <c r="H5" s="62">
        <f>_xlfn.COVARIANCE.S('Returns-VOL'!$C$6:$C$185,'Returns-VOL'!H6:H185)</f>
        <v/>
      </c>
      <c r="I5" s="62">
        <f>_xlfn.COVARIANCE.S('Returns-VOL'!$C$6:$C$185,'Returns-VOL'!I6:I185)</f>
        <v/>
      </c>
      <c r="J5" s="62">
        <f>_xlfn.COVARIANCE.S('Returns-VOL'!$C$6:$C$185,'Returns-VOL'!J6:J185)</f>
        <v/>
      </c>
      <c r="K5" s="62">
        <f>_xlfn.COVARIANCE.S('Returns-VOL'!$C$6:$C$185,'Returns-VOL'!K6:K185)</f>
        <v/>
      </c>
      <c r="L5" s="62">
        <f>_xlfn.COVARIANCE.S('Returns-VOL'!$C$6:$C$185,'Returns-VOL'!L6:L185)</f>
        <v/>
      </c>
      <c r="M5" s="62">
        <f>_xlfn.COVARIANCE.S('Returns-VOL'!$C$6:$C$185,'Returns-VOL'!M6:M185)</f>
        <v/>
      </c>
      <c r="N5" s="63">
        <f>_xlfn.COVARIANCE.S('Returns-VOL'!$C$6:$C$185,'Returns-VOL'!N6:N185)</f>
        <v/>
      </c>
    </row>
    <row r="6">
      <c r="B6" s="46" t="inlineStr">
        <is>
          <t>BNP.PA</t>
        </is>
      </c>
      <c r="C6" s="62">
        <f>_xlfn.COVARIANCE.S('Returns-VOL'!$D$6:$D$185,'Returns-VOL'!C6:C185)</f>
        <v/>
      </c>
      <c r="D6" s="62">
        <f>_xlfn.COVARIANCE.S('Returns-VOL'!$D$6:$D$185,'Returns-VOL'!D6:D185)</f>
        <v/>
      </c>
      <c r="E6" s="62">
        <f>_xlfn.COVARIANCE.S('Returns-VOL'!$D$6:$D$185,'Returns-VOL'!E6:E185)</f>
        <v/>
      </c>
      <c r="F6" s="62">
        <f>_xlfn.COVARIANCE.S('Returns-VOL'!$D$6:$D$185,'Returns-VOL'!F6:F185)</f>
        <v/>
      </c>
      <c r="G6" s="62">
        <f>_xlfn.COVARIANCE.S('Returns-VOL'!$D$6:$D$185,'Returns-VOL'!G6:G185)</f>
        <v/>
      </c>
      <c r="H6" s="62">
        <f>_xlfn.COVARIANCE.S('Returns-VOL'!$D$6:$D$185,'Returns-VOL'!H6:H185)</f>
        <v/>
      </c>
      <c r="I6" s="62">
        <f>_xlfn.COVARIANCE.S('Returns-VOL'!$D$6:$D$185,'Returns-VOL'!I6:I185)</f>
        <v/>
      </c>
      <c r="J6" s="62">
        <f>_xlfn.COVARIANCE.S('Returns-VOL'!$D$6:$D$185,'Returns-VOL'!J6:J185)</f>
        <v/>
      </c>
      <c r="K6" s="62">
        <f>_xlfn.COVARIANCE.S('Returns-VOL'!$D$6:$D$185,'Returns-VOL'!K6:K185)</f>
        <v/>
      </c>
      <c r="L6" s="62">
        <f>_xlfn.COVARIANCE.S('Returns-VOL'!$D$6:$D$185,'Returns-VOL'!L6:L185)</f>
        <v/>
      </c>
      <c r="M6" s="62">
        <f>_xlfn.COVARIANCE.S('Returns-VOL'!$D$6:$D$185,'Returns-VOL'!M6:M185)</f>
        <v/>
      </c>
      <c r="N6" s="63">
        <f>_xlfn.COVARIANCE.S('Returns-VOL'!$D$6:$D$185,'Returns-VOL'!N6:N185)</f>
        <v/>
      </c>
    </row>
    <row r="7">
      <c r="B7" s="46" t="inlineStr">
        <is>
          <t>CAP.PA</t>
        </is>
      </c>
      <c r="C7" s="62">
        <f>_xlfn.COVARIANCE.S('Returns-VOL'!$E$6:$E$185,'Returns-VOL'!C6:C185)</f>
        <v/>
      </c>
      <c r="D7" s="62">
        <f>_xlfn.COVARIANCE.S('Returns-VOL'!$E$6:$E$185,'Returns-VOL'!D6:D185)</f>
        <v/>
      </c>
      <c r="E7" s="62">
        <f>_xlfn.COVARIANCE.S('Returns-VOL'!$E$6:$E$185,'Returns-VOL'!E6:E185)</f>
        <v/>
      </c>
      <c r="F7" s="62">
        <f>_xlfn.COVARIANCE.S('Returns-VOL'!$E$6:$E$185,'Returns-VOL'!F6:F185)</f>
        <v/>
      </c>
      <c r="G7" s="62">
        <f>_xlfn.COVARIANCE.S('Returns-VOL'!$E$6:$E$185,'Returns-VOL'!G6:G185)</f>
        <v/>
      </c>
      <c r="H7" s="62">
        <f>_xlfn.COVARIANCE.S('Returns-VOL'!$E$6:$E$185,'Returns-VOL'!H6:H185)</f>
        <v/>
      </c>
      <c r="I7" s="62">
        <f>_xlfn.COVARIANCE.S('Returns-VOL'!$E$6:$E$185,'Returns-VOL'!I6:I185)</f>
        <v/>
      </c>
      <c r="J7" s="62">
        <f>_xlfn.COVARIANCE.S('Returns-VOL'!$E$6:$E$185,'Returns-VOL'!J6:J185)</f>
        <v/>
      </c>
      <c r="K7" s="62">
        <f>_xlfn.COVARIANCE.S('Returns-VOL'!$E$6:$E$185,'Returns-VOL'!K6:K185)</f>
        <v/>
      </c>
      <c r="L7" s="62">
        <f>_xlfn.COVARIANCE.S('Returns-VOL'!$E$6:$E$185,'Returns-VOL'!L6:L185)</f>
        <v/>
      </c>
      <c r="M7" s="62">
        <f>_xlfn.COVARIANCE.S('Returns-VOL'!$E$6:$E$185,'Returns-VOL'!M6:M185)</f>
        <v/>
      </c>
      <c r="N7" s="63">
        <f>_xlfn.COVARIANCE.S('Returns-VOL'!$E$6:$E$185,'Returns-VOL'!N6:N185)</f>
        <v/>
      </c>
    </row>
    <row r="8">
      <c r="B8" s="46" t="inlineStr">
        <is>
          <t>BN.PA</t>
        </is>
      </c>
      <c r="C8" s="62">
        <f>_xlfn.COVARIANCE.S('Returns-VOL'!$F$6:$F$185,'Returns-VOL'!C6:C185)</f>
        <v/>
      </c>
      <c r="D8" s="62">
        <f>_xlfn.COVARIANCE.S('Returns-VOL'!$F$6:$F$185,'Returns-VOL'!D6:D185)</f>
        <v/>
      </c>
      <c r="E8" s="62">
        <f>_xlfn.COVARIANCE.S('Returns-VOL'!$F$6:$F$185,'Returns-VOL'!E6:E185)</f>
        <v/>
      </c>
      <c r="F8" s="62">
        <f>_xlfn.COVARIANCE.S('Returns-VOL'!$F$6:$F$185,'Returns-VOL'!F6:F185)</f>
        <v/>
      </c>
      <c r="G8" s="62">
        <f>_xlfn.COVARIANCE.S('Returns-VOL'!$F$6:$F$185,'Returns-VOL'!G6:G185)</f>
        <v/>
      </c>
      <c r="H8" s="62">
        <f>_xlfn.COVARIANCE.S('Returns-VOL'!$F$6:$F$185,'Returns-VOL'!H6:H185)</f>
        <v/>
      </c>
      <c r="I8" s="62">
        <f>_xlfn.COVARIANCE.S('Returns-VOL'!$F$6:$F$185,'Returns-VOL'!I6:I185)</f>
        <v/>
      </c>
      <c r="J8" s="62">
        <f>_xlfn.COVARIANCE.S('Returns-VOL'!$F$6:$F$185,'Returns-VOL'!J6:J185)</f>
        <v/>
      </c>
      <c r="K8" s="62">
        <f>_xlfn.COVARIANCE.S('Returns-VOL'!$F$6:$F$185,'Returns-VOL'!K6:K185)</f>
        <v/>
      </c>
      <c r="L8" s="62">
        <f>_xlfn.COVARIANCE.S('Returns-VOL'!$F$6:$F$185,'Returns-VOL'!L6:L185)</f>
        <v/>
      </c>
      <c r="M8" s="62">
        <f>_xlfn.COVARIANCE.S('Returns-VOL'!$F$6:$F$185,'Returns-VOL'!M6:M185)</f>
        <v/>
      </c>
      <c r="N8" s="63">
        <f>_xlfn.COVARIANCE.S('Returns-VOL'!$F$6:$F$185,'Returns-VOL'!N6:N185)</f>
        <v/>
      </c>
    </row>
    <row r="9">
      <c r="B9" s="46" t="inlineStr">
        <is>
          <t>ENGI.PA</t>
        </is>
      </c>
      <c r="C9" s="62">
        <f>_xlfn.COVARIANCE.S('Returns-VOL'!$G$6:$G$185,'Returns-VOL'!C6:C185)</f>
        <v/>
      </c>
      <c r="D9" s="62">
        <f>_xlfn.COVARIANCE.S('Returns-VOL'!$G$6:$G$185,'Returns-VOL'!D6:D185)</f>
        <v/>
      </c>
      <c r="E9" s="62">
        <f>_xlfn.COVARIANCE.S('Returns-VOL'!$G$6:$G$185,'Returns-VOL'!E6:E185)</f>
        <v/>
      </c>
      <c r="F9" s="62">
        <f>_xlfn.COVARIANCE.S('Returns-VOL'!$G$6:$G$185,'Returns-VOL'!F6:F185)</f>
        <v/>
      </c>
      <c r="G9" s="62">
        <f>_xlfn.COVARIANCE.S('Returns-VOL'!$G$6:$G$185,'Returns-VOL'!G6:G185)</f>
        <v/>
      </c>
      <c r="H9" s="62">
        <f>_xlfn.COVARIANCE.S('Returns-VOL'!$G$6:$G$185,'Returns-VOL'!H6:H185)</f>
        <v/>
      </c>
      <c r="I9" s="62">
        <f>_xlfn.COVARIANCE.S('Returns-VOL'!$G$6:$G$185,'Returns-VOL'!I6:I185)</f>
        <v/>
      </c>
      <c r="J9" s="62">
        <f>_xlfn.COVARIANCE.S('Returns-VOL'!$G$6:$G$185,'Returns-VOL'!J6:J185)</f>
        <v/>
      </c>
      <c r="K9" s="62">
        <f>_xlfn.COVARIANCE.S('Returns-VOL'!$G$6:$G$185,'Returns-VOL'!K6:K185)</f>
        <v/>
      </c>
      <c r="L9" s="62">
        <f>_xlfn.COVARIANCE.S('Returns-VOL'!$G$6:$G$185,'Returns-VOL'!L6:L185)</f>
        <v/>
      </c>
      <c r="M9" s="62">
        <f>_xlfn.COVARIANCE.S('Returns-VOL'!$G$6:$G$185,'Returns-VOL'!M6:M185)</f>
        <v/>
      </c>
      <c r="N9" s="63">
        <f>_xlfn.COVARIANCE.S('Returns-VOL'!$G$6:$G$185,'Returns-VOL'!N6:N185)</f>
        <v/>
      </c>
    </row>
    <row r="10">
      <c r="B10" s="46" t="inlineStr">
        <is>
          <t>RMS.PA</t>
        </is>
      </c>
      <c r="C10" s="62">
        <f>_xlfn.COVARIANCE.S('Returns-VOL'!$H$6:$H$185,'Returns-VOL'!C6:C185)</f>
        <v/>
      </c>
      <c r="D10" s="62">
        <f>_xlfn.COVARIANCE.S('Returns-VOL'!$H$6:$H$185,'Returns-VOL'!D6:D185)</f>
        <v/>
      </c>
      <c r="E10" s="62">
        <f>_xlfn.COVARIANCE.S('Returns-VOL'!$H$6:$H$185,'Returns-VOL'!E6:E185)</f>
        <v/>
      </c>
      <c r="F10" s="62">
        <f>_xlfn.COVARIANCE.S('Returns-VOL'!$H$6:$H$185,'Returns-VOL'!F6:F185)</f>
        <v/>
      </c>
      <c r="G10" s="62">
        <f>_xlfn.COVARIANCE.S('Returns-VOL'!$H$6:$H$185,'Returns-VOL'!G6:G185)</f>
        <v/>
      </c>
      <c r="H10" s="62">
        <f>_xlfn.COVARIANCE.S('Returns-VOL'!$H$6:$H$185,'Returns-VOL'!H6:H185)</f>
        <v/>
      </c>
      <c r="I10" s="62">
        <f>_xlfn.COVARIANCE.S('Returns-VOL'!$H$6:$H$185,'Returns-VOL'!I6:I185)</f>
        <v/>
      </c>
      <c r="J10" s="62">
        <f>_xlfn.COVARIANCE.S('Returns-VOL'!$H$6:$H$185,'Returns-VOL'!J6:J185)</f>
        <v/>
      </c>
      <c r="K10" s="62">
        <f>_xlfn.COVARIANCE.S('Returns-VOL'!$H$6:$H$185,'Returns-VOL'!K6:K185)</f>
        <v/>
      </c>
      <c r="L10" s="62">
        <f>_xlfn.COVARIANCE.S('Returns-VOL'!$H$6:$H$185,'Returns-VOL'!L6:L185)</f>
        <v/>
      </c>
      <c r="M10" s="62">
        <f>_xlfn.COVARIANCE.S('Returns-VOL'!$H$6:$H$185,'Returns-VOL'!M6:M185)</f>
        <v/>
      </c>
      <c r="N10" s="63">
        <f>_xlfn.COVARIANCE.S('Returns-VOL'!$H$6:$H$185,'Returns-VOL'!N6:N185)</f>
        <v/>
      </c>
    </row>
    <row r="11">
      <c r="B11" s="46" t="inlineStr">
        <is>
          <t>RI.PA</t>
        </is>
      </c>
      <c r="C11" s="62">
        <f>_xlfn.COVARIANCE.S('Returns-VOL'!$I$6:$I$185,'Returns-VOL'!C6:C185)</f>
        <v/>
      </c>
      <c r="D11" s="62">
        <f>_xlfn.COVARIANCE.S('Returns-VOL'!$I$6:$I$185,'Returns-VOL'!D6:D185)</f>
        <v/>
      </c>
      <c r="E11" s="62">
        <f>_xlfn.COVARIANCE.S('Returns-VOL'!$I$6:$I$185,'Returns-VOL'!E6:E185)</f>
        <v/>
      </c>
      <c r="F11" s="62">
        <f>_xlfn.COVARIANCE.S('Returns-VOL'!$I$6:$I$185,'Returns-VOL'!F6:F185)</f>
        <v/>
      </c>
      <c r="G11" s="62">
        <f>_xlfn.COVARIANCE.S('Returns-VOL'!$I$6:$I$185,'Returns-VOL'!G6:G185)</f>
        <v/>
      </c>
      <c r="H11" s="62">
        <f>_xlfn.COVARIANCE.S('Returns-VOL'!$I$6:$I$185,'Returns-VOL'!H6:H185)</f>
        <v/>
      </c>
      <c r="I11" s="62">
        <f>_xlfn.COVARIANCE.S('Returns-VOL'!$I$6:$I$185,'Returns-VOL'!I6:I185)</f>
        <v/>
      </c>
      <c r="J11" s="62">
        <f>_xlfn.COVARIANCE.S('Returns-VOL'!$I$6:$I$185,'Returns-VOL'!J6:J185)</f>
        <v/>
      </c>
      <c r="K11" s="62">
        <f>_xlfn.COVARIANCE.S('Returns-VOL'!$I$6:$I$185,'Returns-VOL'!K6:K185)</f>
        <v/>
      </c>
      <c r="L11" s="62">
        <f>_xlfn.COVARIANCE.S('Returns-VOL'!$I$6:$I$185,'Returns-VOL'!L6:L185)</f>
        <v/>
      </c>
      <c r="M11" s="62">
        <f>_xlfn.COVARIANCE.S('Returns-VOL'!$I$6:$I$185,'Returns-VOL'!M6:M185)</f>
        <v/>
      </c>
      <c r="N11" s="63">
        <f>_xlfn.COVARIANCE.S('Returns-VOL'!$I$6:$I$185,'Returns-VOL'!N6:N185)</f>
        <v/>
      </c>
    </row>
    <row r="12">
      <c r="B12" s="46" t="inlineStr">
        <is>
          <t>RNO.PA</t>
        </is>
      </c>
      <c r="C12" s="62">
        <f>_xlfn.COVARIANCE.S('Returns-VOL'!$J$6:$J$185,'Returns-VOL'!C6:C185)</f>
        <v/>
      </c>
      <c r="D12" s="62">
        <f>_xlfn.COVARIANCE.S('Returns-VOL'!$J$6:$J$185,'Returns-VOL'!D6:D185)</f>
        <v/>
      </c>
      <c r="E12" s="62">
        <f>_xlfn.COVARIANCE.S('Returns-VOL'!$J$6:$J$185,'Returns-VOL'!E6:E185)</f>
        <v/>
      </c>
      <c r="F12" s="62">
        <f>_xlfn.COVARIANCE.S('Returns-VOL'!$J$6:$J$185,'Returns-VOL'!F6:F185)</f>
        <v/>
      </c>
      <c r="G12" s="62">
        <f>_xlfn.COVARIANCE.S('Returns-VOL'!$J$6:$J$185,'Returns-VOL'!G6:G185)</f>
        <v/>
      </c>
      <c r="H12" s="62">
        <f>_xlfn.COVARIANCE.S('Returns-VOL'!$J$6:$J$185,'Returns-VOL'!H6:H185)</f>
        <v/>
      </c>
      <c r="I12" s="62">
        <f>_xlfn.COVARIANCE.S('Returns-VOL'!$J$6:$J$185,'Returns-VOL'!I6:I185)</f>
        <v/>
      </c>
      <c r="J12" s="62">
        <f>_xlfn.COVARIANCE.S('Returns-VOL'!$J$6:$J$185,'Returns-VOL'!J6:J185)</f>
        <v/>
      </c>
      <c r="K12" s="62">
        <f>_xlfn.COVARIANCE.S('Returns-VOL'!$J$6:$J$185,'Returns-VOL'!K6:K185)</f>
        <v/>
      </c>
      <c r="L12" s="62">
        <f>_xlfn.COVARIANCE.S('Returns-VOL'!$J$6:$J$185,'Returns-VOL'!L6:L185)</f>
        <v/>
      </c>
      <c r="M12" s="62">
        <f>_xlfn.COVARIANCE.S('Returns-VOL'!$J$6:$J$185,'Returns-VOL'!M6:M185)</f>
        <v/>
      </c>
      <c r="N12" s="63">
        <f>_xlfn.COVARIANCE.S('Returns-VOL'!$J$6:$J$185,'Returns-VOL'!N6:N185)</f>
        <v/>
      </c>
    </row>
    <row r="13">
      <c r="B13" s="46" t="inlineStr">
        <is>
          <t>SAN.PA</t>
        </is>
      </c>
      <c r="C13" s="62">
        <f>_xlfn.COVARIANCE.S('Returns-VOL'!$K$6:$K$185,'Returns-VOL'!C6:C185)</f>
        <v/>
      </c>
      <c r="D13" s="62">
        <f>_xlfn.COVARIANCE.S('Returns-VOL'!$K$6:$K$185,'Returns-VOL'!D6:D185)</f>
        <v/>
      </c>
      <c r="E13" s="62">
        <f>_xlfn.COVARIANCE.S('Returns-VOL'!$K$6:$K$185,'Returns-VOL'!E6:E185)</f>
        <v/>
      </c>
      <c r="F13" s="62">
        <f>_xlfn.COVARIANCE.S('Returns-VOL'!$K$6:$K$185,'Returns-VOL'!F6:F185)</f>
        <v/>
      </c>
      <c r="G13" s="62">
        <f>_xlfn.COVARIANCE.S('Returns-VOL'!$K$6:$K$185,'Returns-VOL'!G6:G185)</f>
        <v/>
      </c>
      <c r="H13" s="62">
        <f>_xlfn.COVARIANCE.S('Returns-VOL'!$K$6:$K$185,'Returns-VOL'!H6:H185)</f>
        <v/>
      </c>
      <c r="I13" s="62">
        <f>_xlfn.COVARIANCE.S('Returns-VOL'!$K$6:$K$185,'Returns-VOL'!I6:I185)</f>
        <v/>
      </c>
      <c r="J13" s="62">
        <f>_xlfn.COVARIANCE.S('Returns-VOL'!$K$6:$K$185,'Returns-VOL'!J6:J185)</f>
        <v/>
      </c>
      <c r="K13" s="62">
        <f>_xlfn.COVARIANCE.S('Returns-VOL'!$K$6:$K$185,'Returns-VOL'!K6:K185)</f>
        <v/>
      </c>
      <c r="L13" s="62">
        <f>_xlfn.COVARIANCE.S('Returns-VOL'!$K$6:$K$185,'Returns-VOL'!L6:L185)</f>
        <v/>
      </c>
      <c r="M13" s="62">
        <f>_xlfn.COVARIANCE.S('Returns-VOL'!$K$6:$K$185,'Returns-VOL'!M6:M185)</f>
        <v/>
      </c>
      <c r="N13" s="63">
        <f>_xlfn.COVARIANCE.S('Returns-VOL'!$K$6:$K$185,'Returns-VOL'!N6:N185)</f>
        <v/>
      </c>
    </row>
    <row r="14">
      <c r="B14" s="46" t="inlineStr">
        <is>
          <t>SU.PA</t>
        </is>
      </c>
      <c r="C14" s="62">
        <f>_xlfn.COVARIANCE.S('Returns-VOL'!$L$6:$L$185,'Returns-VOL'!C6:C185)</f>
        <v/>
      </c>
      <c r="D14" s="62">
        <f>_xlfn.COVARIANCE.S('Returns-VOL'!$L$6:$L$185,'Returns-VOL'!D6:D185)</f>
        <v/>
      </c>
      <c r="E14" s="62">
        <f>_xlfn.COVARIANCE.S('Returns-VOL'!$L$6:$L$185,'Returns-VOL'!E6:E185)</f>
        <v/>
      </c>
      <c r="F14" s="62">
        <f>_xlfn.COVARIANCE.S('Returns-VOL'!$L$6:$L$185,'Returns-VOL'!F6:F185)</f>
        <v/>
      </c>
      <c r="G14" s="62">
        <f>_xlfn.COVARIANCE.S('Returns-VOL'!$L$6:$L$185,'Returns-VOL'!G6:G185)</f>
        <v/>
      </c>
      <c r="H14" s="62">
        <f>_xlfn.COVARIANCE.S('Returns-VOL'!$L$6:$L$185,'Returns-VOL'!H6:H185)</f>
        <v/>
      </c>
      <c r="I14" s="62">
        <f>_xlfn.COVARIANCE.S('Returns-VOL'!$L$6:$L$185,'Returns-VOL'!I6:I185)</f>
        <v/>
      </c>
      <c r="J14" s="62">
        <f>_xlfn.COVARIANCE.S('Returns-VOL'!$L$6:$L$185,'Returns-VOL'!J6:J185)</f>
        <v/>
      </c>
      <c r="K14" s="62">
        <f>_xlfn.COVARIANCE.S('Returns-VOL'!$L$6:$L$185,'Returns-VOL'!K6:K185)</f>
        <v/>
      </c>
      <c r="L14" s="62">
        <f>_xlfn.COVARIANCE.S('Returns-VOL'!$L$6:$L$185,'Returns-VOL'!L6:L185)</f>
        <v/>
      </c>
      <c r="M14" s="62">
        <f>_xlfn.COVARIANCE.S('Returns-VOL'!$L$6:$L$185,'Returns-VOL'!M6:M185)</f>
        <v/>
      </c>
      <c r="N14" s="63">
        <f>_xlfn.COVARIANCE.S('Returns-VOL'!$L$6:$L$185,'Returns-VOL'!N6:N185)</f>
        <v/>
      </c>
    </row>
    <row r="15">
      <c r="B15" s="46" t="inlineStr">
        <is>
          <t>TTE.PA</t>
        </is>
      </c>
      <c r="C15" s="62">
        <f>_xlfn.COVARIANCE.S('Returns-VOL'!$M$6:$M$185,'Returns-VOL'!C6:C185)</f>
        <v/>
      </c>
      <c r="D15" s="62">
        <f>_xlfn.COVARIANCE.S('Returns-VOL'!$M$6:$M$185,'Returns-VOL'!D6:D185)</f>
        <v/>
      </c>
      <c r="E15" s="62">
        <f>_xlfn.COVARIANCE.S('Returns-VOL'!$M$6:$M$185,'Returns-VOL'!E6:E185)</f>
        <v/>
      </c>
      <c r="F15" s="62">
        <f>_xlfn.COVARIANCE.S('Returns-VOL'!$M$6:$M$185,'Returns-VOL'!F6:F185)</f>
        <v/>
      </c>
      <c r="G15" s="62">
        <f>_xlfn.COVARIANCE.S('Returns-VOL'!$M$6:$M$185,'Returns-VOL'!G6:G185)</f>
        <v/>
      </c>
      <c r="H15" s="62">
        <f>_xlfn.COVARIANCE.S('Returns-VOL'!$M$6:$M$185,'Returns-VOL'!H6:H185)</f>
        <v/>
      </c>
      <c r="I15" s="62">
        <f>_xlfn.COVARIANCE.S('Returns-VOL'!$M$6:$M$185,'Returns-VOL'!I6:I185)</f>
        <v/>
      </c>
      <c r="J15" s="62">
        <f>_xlfn.COVARIANCE.S('Returns-VOL'!$M$6:$M$185,'Returns-VOL'!J6:J185)</f>
        <v/>
      </c>
      <c r="K15" s="62">
        <f>_xlfn.COVARIANCE.S('Returns-VOL'!$M$6:$M$185,'Returns-VOL'!K6:K185)</f>
        <v/>
      </c>
      <c r="L15" s="62">
        <f>_xlfn.COVARIANCE.S('Returns-VOL'!$M$6:$M$185,'Returns-VOL'!L6:L185)</f>
        <v/>
      </c>
      <c r="M15" s="62">
        <f>_xlfn.COVARIANCE.S('Returns-VOL'!$M$6:$M$185,'Returns-VOL'!M6:M185)</f>
        <v/>
      </c>
      <c r="N15" s="63">
        <f>_xlfn.COVARIANCE.S('Returns-VOL'!$M$6:$M$185,'Returns-VOL'!N6:N185)</f>
        <v/>
      </c>
    </row>
    <row r="16" ht="16" customHeight="1" thickBot="1">
      <c r="B16" s="47" t="inlineStr">
        <is>
          <t>DG.PA</t>
        </is>
      </c>
      <c r="C16" s="64">
        <f>_xlfn.COVARIANCE.S('Returns-VOL'!$N$6:$N$185,'Returns-VOL'!C6:C185)</f>
        <v/>
      </c>
      <c r="D16" s="64">
        <f>_xlfn.COVARIANCE.S('Returns-VOL'!$N$6:$N$185,'Returns-VOL'!D6:D185)</f>
        <v/>
      </c>
      <c r="E16" s="64">
        <f>_xlfn.COVARIANCE.S('Returns-VOL'!$N$6:$N$185,'Returns-VOL'!E6:E185)</f>
        <v/>
      </c>
      <c r="F16" s="64">
        <f>_xlfn.COVARIANCE.S('Returns-VOL'!$N$6:$N$185,'Returns-VOL'!F6:F185)</f>
        <v/>
      </c>
      <c r="G16" s="64">
        <f>_xlfn.COVARIANCE.S('Returns-VOL'!$N$6:$N$185,'Returns-VOL'!G6:G185)</f>
        <v/>
      </c>
      <c r="H16" s="64">
        <f>_xlfn.COVARIANCE.S('Returns-VOL'!$N$6:$N$185,'Returns-VOL'!H6:H185)</f>
        <v/>
      </c>
      <c r="I16" s="64">
        <f>_xlfn.COVARIANCE.S('Returns-VOL'!$N$6:$N$185,'Returns-VOL'!I6:I185)</f>
        <v/>
      </c>
      <c r="J16" s="64">
        <f>_xlfn.COVARIANCE.S('Returns-VOL'!$N$6:$N$185,'Returns-VOL'!J6:J185)</f>
        <v/>
      </c>
      <c r="K16" s="64">
        <f>_xlfn.COVARIANCE.S('Returns-VOL'!$N$6:$N$185,'Returns-VOL'!K6:K185)</f>
        <v/>
      </c>
      <c r="L16" s="64">
        <f>_xlfn.COVARIANCE.S('Returns-VOL'!$N$6:$N$185,'Returns-VOL'!L6:L185)</f>
        <v/>
      </c>
      <c r="M16" s="64">
        <f>_xlfn.COVARIANCE.S('Returns-VOL'!$N$6:$N$185,'Returns-VOL'!M6:M185)</f>
        <v/>
      </c>
      <c r="N16" s="65">
        <f>_xlfn.COVARIANCE.S('Returns-VOL'!$N$6:$N$185,'Returns-VOL'!N6:N185)</f>
        <v/>
      </c>
    </row>
  </sheetData>
  <mergeCells count="1">
    <mergeCell ref="B2:N3"/>
  </mergeCells>
  <pageMargins left="0.7" right="0.7" top="0.75" bottom="0.75" header="0.3" footer="0.3"/>
</worksheet>
</file>

<file path=xl/worksheets/sheet5.xml><?xml version="1.0" encoding="utf-8"?>
<worksheet xmlns="http://schemas.openxmlformats.org/spreadsheetml/2006/main">
  <sheetPr>
    <tabColor theme="4" tint="0.5999938962981048"/>
    <outlinePr summaryBelow="1" summaryRight="1"/>
    <pageSetUpPr/>
  </sheetPr>
  <dimension ref="B3:P228"/>
  <sheetViews>
    <sheetView showGridLines="0" topLeftCell="A185" zoomScale="67" zoomScaleNormal="194" workbookViewId="0">
      <selection activeCell="M220" sqref="M220"/>
    </sheetView>
  </sheetViews>
  <sheetFormatPr baseColWidth="10" defaultColWidth="10.83203125" defaultRowHeight="15"/>
  <cols>
    <col width="20.6640625" bestFit="1" customWidth="1" min="2" max="2"/>
    <col width="16.1640625" customWidth="1" min="3" max="15"/>
    <col width="21.1640625" customWidth="1" min="16" max="16"/>
  </cols>
  <sheetData>
    <row r="3">
      <c r="B3" s="51" t="inlineStr">
        <is>
          <t>Stock Nb. →</t>
        </is>
      </c>
      <c r="C3" s="133" t="n">
        <v>1</v>
      </c>
      <c r="D3" s="133" t="n">
        <v>2</v>
      </c>
      <c r="E3" s="133" t="n">
        <v>3</v>
      </c>
      <c r="F3" s="133" t="n">
        <v>4</v>
      </c>
      <c r="G3" s="133" t="n">
        <v>5</v>
      </c>
      <c r="H3" s="133" t="n">
        <v>6</v>
      </c>
      <c r="I3" s="133" t="n">
        <v>7</v>
      </c>
      <c r="J3" s="133" t="n">
        <v>8</v>
      </c>
      <c r="K3" s="133" t="n">
        <v>9</v>
      </c>
      <c r="L3" s="133" t="n">
        <v>10</v>
      </c>
      <c r="M3" s="133" t="n">
        <v>11</v>
      </c>
      <c r="N3" s="133" t="n">
        <v>12</v>
      </c>
    </row>
    <row r="4">
      <c r="B4" s="52" t="inlineStr">
        <is>
          <t>Company Name →</t>
        </is>
      </c>
      <c r="C4" s="57" t="inlineStr">
        <is>
          <t>AIRBUS</t>
        </is>
      </c>
      <c r="D4" s="56" t="inlineStr">
        <is>
          <t>BNP PARIBAS ACT.A</t>
        </is>
      </c>
      <c r="E4" s="56" t="inlineStr">
        <is>
          <t>CAPGEMINI</t>
        </is>
      </c>
      <c r="F4" s="56" t="inlineStr">
        <is>
          <t>DANONE</t>
        </is>
      </c>
      <c r="G4" s="56" t="inlineStr">
        <is>
          <t>ENGIE</t>
        </is>
      </c>
      <c r="H4" s="56" t="inlineStr">
        <is>
          <t>HERMES INTL</t>
        </is>
      </c>
      <c r="I4" s="56" t="inlineStr">
        <is>
          <t>PERNOD RICARD</t>
        </is>
      </c>
      <c r="J4" s="56" t="inlineStr">
        <is>
          <t>RENAULT</t>
        </is>
      </c>
      <c r="K4" s="56" t="inlineStr">
        <is>
          <t>SANOFI</t>
        </is>
      </c>
      <c r="L4" s="56" t="inlineStr">
        <is>
          <t>SCHNEIDER ELECTRIC</t>
        </is>
      </c>
      <c r="M4" s="56" t="inlineStr">
        <is>
          <t>TOTALENERGIES</t>
        </is>
      </c>
      <c r="N4" s="56" t="inlineStr">
        <is>
          <t>VINCI</t>
        </is>
      </c>
      <c r="P4" s="97" t="inlineStr">
        <is>
          <t>Average Monthly Return</t>
        </is>
      </c>
    </row>
    <row r="5">
      <c r="B5" s="53" t="inlineStr">
        <is>
          <t>Yahoo Ticker →</t>
        </is>
      </c>
      <c r="C5" s="55" t="inlineStr">
        <is>
          <t>AIR.PA</t>
        </is>
      </c>
      <c r="D5" s="55" t="inlineStr">
        <is>
          <t>BNP.PA</t>
        </is>
      </c>
      <c r="E5" s="55" t="inlineStr">
        <is>
          <t>CAP.PA</t>
        </is>
      </c>
      <c r="F5" s="55" t="inlineStr">
        <is>
          <t>BN.PA</t>
        </is>
      </c>
      <c r="G5" s="55" t="inlineStr">
        <is>
          <t>ENGI.PA</t>
        </is>
      </c>
      <c r="H5" s="55" t="inlineStr">
        <is>
          <t>RMS.PA</t>
        </is>
      </c>
      <c r="I5" s="55" t="inlineStr">
        <is>
          <t>RI.PA</t>
        </is>
      </c>
      <c r="J5" s="55" t="inlineStr">
        <is>
          <t>RNO.PA</t>
        </is>
      </c>
      <c r="K5" s="55" t="inlineStr">
        <is>
          <t>SAN.PA</t>
        </is>
      </c>
      <c r="L5" s="55" t="inlineStr">
        <is>
          <t>SU.PA</t>
        </is>
      </c>
      <c r="M5" s="55" t="inlineStr">
        <is>
          <t>TTE.PA</t>
        </is>
      </c>
      <c r="N5" s="55" t="inlineStr">
        <is>
          <t>DG.PA</t>
        </is>
      </c>
      <c r="P5" s="107" t="n"/>
    </row>
    <row r="6">
      <c r="B6" s="160" t="n">
        <v>40451</v>
      </c>
      <c r="C6" s="42">
        <f>AIRBUS!D4</f>
        <v/>
      </c>
      <c r="D6" s="42">
        <f>BNP!D4</f>
        <v/>
      </c>
      <c r="E6" s="42">
        <f>CAPGEMINI!D4</f>
        <v/>
      </c>
      <c r="F6" s="42">
        <f>DANONE!D4</f>
        <v/>
      </c>
      <c r="G6" s="42">
        <f>ENGIE!D4</f>
        <v/>
      </c>
      <c r="H6" s="42">
        <f>'HERMES INTL'!D4</f>
        <v/>
      </c>
      <c r="I6" s="42">
        <f>'PERNOD RICARD'!D4</f>
        <v/>
      </c>
      <c r="J6" s="42">
        <f>RENAULT!D4</f>
        <v/>
      </c>
      <c r="K6" s="42">
        <f>SANOFI!D4</f>
        <v/>
      </c>
      <c r="L6" s="42">
        <f>'SCHNEIDER ELECTRIC'!D4</f>
        <v/>
      </c>
      <c r="M6" s="42">
        <f>'TOTAL ENERGIES'!D4</f>
        <v/>
      </c>
      <c r="N6" s="42">
        <f>VINCI!D4</f>
        <v/>
      </c>
      <c r="O6" s="43" t="n"/>
      <c r="P6" s="43">
        <f>AVERAGE(C6:N6)</f>
        <v/>
      </c>
    </row>
    <row r="7">
      <c r="B7" s="160" t="n">
        <v>40482</v>
      </c>
      <c r="C7" s="42">
        <f>AIRBUS!D5</f>
        <v/>
      </c>
      <c r="D7" s="42">
        <f>BNP!D5</f>
        <v/>
      </c>
      <c r="E7" s="42">
        <f>CAPGEMINI!D5</f>
        <v/>
      </c>
      <c r="F7" s="42">
        <f>DANONE!D5</f>
        <v/>
      </c>
      <c r="G7" s="42">
        <f>ENGIE!D5</f>
        <v/>
      </c>
      <c r="H7" s="42">
        <f>'HERMES INTL'!D5</f>
        <v/>
      </c>
      <c r="I7" s="42">
        <f>'PERNOD RICARD'!D5</f>
        <v/>
      </c>
      <c r="J7" s="42">
        <f>RENAULT!D5</f>
        <v/>
      </c>
      <c r="K7" s="42">
        <f>SANOFI!D5</f>
        <v/>
      </c>
      <c r="L7" s="42">
        <f>'SCHNEIDER ELECTRIC'!D5</f>
        <v/>
      </c>
      <c r="M7" s="42">
        <f>'TOTAL ENERGIES'!D5</f>
        <v/>
      </c>
      <c r="N7" s="42">
        <f>VINCI!D5</f>
        <v/>
      </c>
      <c r="O7" s="43" t="n"/>
      <c r="P7" s="43">
        <f>AVERAGE(C7:N7)</f>
        <v/>
      </c>
    </row>
    <row r="8">
      <c r="B8" s="160" t="n">
        <v>40512</v>
      </c>
      <c r="C8" s="42">
        <f>AIRBUS!D6</f>
        <v/>
      </c>
      <c r="D8" s="42">
        <f>BNP!D6</f>
        <v/>
      </c>
      <c r="E8" s="42">
        <f>CAPGEMINI!D6</f>
        <v/>
      </c>
      <c r="F8" s="42">
        <f>DANONE!D6</f>
        <v/>
      </c>
      <c r="G8" s="42">
        <f>ENGIE!D6</f>
        <v/>
      </c>
      <c r="H8" s="42">
        <f>'HERMES INTL'!D6</f>
        <v/>
      </c>
      <c r="I8" s="42">
        <f>'PERNOD RICARD'!D6</f>
        <v/>
      </c>
      <c r="J8" s="42">
        <f>RENAULT!D6</f>
        <v/>
      </c>
      <c r="K8" s="42">
        <f>SANOFI!D6</f>
        <v/>
      </c>
      <c r="L8" s="42">
        <f>'SCHNEIDER ELECTRIC'!D6</f>
        <v/>
      </c>
      <c r="M8" s="42">
        <f>'TOTAL ENERGIES'!D6</f>
        <v/>
      </c>
      <c r="N8" s="42">
        <f>VINCI!D6</f>
        <v/>
      </c>
      <c r="O8" s="43" t="n"/>
      <c r="P8" s="43">
        <f>AVERAGE(C8:N8)</f>
        <v/>
      </c>
    </row>
    <row r="9">
      <c r="B9" s="160" t="n">
        <v>40543</v>
      </c>
      <c r="C9" s="42">
        <f>AIRBUS!D7</f>
        <v/>
      </c>
      <c r="D9" s="42">
        <f>BNP!D7</f>
        <v/>
      </c>
      <c r="E9" s="42">
        <f>CAPGEMINI!D7</f>
        <v/>
      </c>
      <c r="F9" s="42">
        <f>DANONE!D7</f>
        <v/>
      </c>
      <c r="G9" s="42">
        <f>ENGIE!D7</f>
        <v/>
      </c>
      <c r="H9" s="42">
        <f>'HERMES INTL'!D7</f>
        <v/>
      </c>
      <c r="I9" s="42">
        <f>'PERNOD RICARD'!D7</f>
        <v/>
      </c>
      <c r="J9" s="42">
        <f>RENAULT!D7</f>
        <v/>
      </c>
      <c r="K9" s="42">
        <f>SANOFI!D7</f>
        <v/>
      </c>
      <c r="L9" s="42">
        <f>'SCHNEIDER ELECTRIC'!D7</f>
        <v/>
      </c>
      <c r="M9" s="42">
        <f>'TOTAL ENERGIES'!D7</f>
        <v/>
      </c>
      <c r="N9" s="42">
        <f>VINCI!D7</f>
        <v/>
      </c>
      <c r="O9" s="43" t="n"/>
      <c r="P9" s="43">
        <f>AVERAGE(C9:N9)</f>
        <v/>
      </c>
    </row>
    <row r="10">
      <c r="B10" s="160" t="n">
        <v>40574</v>
      </c>
      <c r="C10" s="42">
        <f>AIRBUS!D8</f>
        <v/>
      </c>
      <c r="D10" s="42">
        <f>BNP!D8</f>
        <v/>
      </c>
      <c r="E10" s="42">
        <f>CAPGEMINI!D8</f>
        <v/>
      </c>
      <c r="F10" s="42">
        <f>DANONE!D8</f>
        <v/>
      </c>
      <c r="G10" s="42">
        <f>ENGIE!D8</f>
        <v/>
      </c>
      <c r="H10" s="42">
        <f>'HERMES INTL'!D8</f>
        <v/>
      </c>
      <c r="I10" s="42">
        <f>'PERNOD RICARD'!D8</f>
        <v/>
      </c>
      <c r="J10" s="42">
        <f>RENAULT!D8</f>
        <v/>
      </c>
      <c r="K10" s="42">
        <f>SANOFI!D8</f>
        <v/>
      </c>
      <c r="L10" s="42">
        <f>'SCHNEIDER ELECTRIC'!D8</f>
        <v/>
      </c>
      <c r="M10" s="42">
        <f>'TOTAL ENERGIES'!D8</f>
        <v/>
      </c>
      <c r="N10" s="42">
        <f>VINCI!D8</f>
        <v/>
      </c>
      <c r="O10" s="43" t="n"/>
      <c r="P10" s="43">
        <f>AVERAGE(C10:N10)</f>
        <v/>
      </c>
    </row>
    <row r="11">
      <c r="B11" s="160" t="n">
        <v>40602</v>
      </c>
      <c r="C11" s="42">
        <f>AIRBUS!D9</f>
        <v/>
      </c>
      <c r="D11" s="42">
        <f>BNP!D9</f>
        <v/>
      </c>
      <c r="E11" s="42">
        <f>CAPGEMINI!D9</f>
        <v/>
      </c>
      <c r="F11" s="42">
        <f>DANONE!D9</f>
        <v/>
      </c>
      <c r="G11" s="42">
        <f>ENGIE!D9</f>
        <v/>
      </c>
      <c r="H11" s="42">
        <f>'HERMES INTL'!D9</f>
        <v/>
      </c>
      <c r="I11" s="42">
        <f>'PERNOD RICARD'!D9</f>
        <v/>
      </c>
      <c r="J11" s="42">
        <f>RENAULT!D9</f>
        <v/>
      </c>
      <c r="K11" s="42">
        <f>SANOFI!D9</f>
        <v/>
      </c>
      <c r="L11" s="42">
        <f>'SCHNEIDER ELECTRIC'!D9</f>
        <v/>
      </c>
      <c r="M11" s="42">
        <f>'TOTAL ENERGIES'!D9</f>
        <v/>
      </c>
      <c r="N11" s="42">
        <f>VINCI!D9</f>
        <v/>
      </c>
      <c r="O11" s="43" t="n"/>
      <c r="P11" s="43">
        <f>AVERAGE(C11:N11)</f>
        <v/>
      </c>
    </row>
    <row r="12">
      <c r="B12" s="160" t="n">
        <v>40633</v>
      </c>
      <c r="C12" s="42">
        <f>AIRBUS!D10</f>
        <v/>
      </c>
      <c r="D12" s="42">
        <f>BNP!D10</f>
        <v/>
      </c>
      <c r="E12" s="42">
        <f>CAPGEMINI!D10</f>
        <v/>
      </c>
      <c r="F12" s="42">
        <f>DANONE!D10</f>
        <v/>
      </c>
      <c r="G12" s="42">
        <f>ENGIE!D10</f>
        <v/>
      </c>
      <c r="H12" s="42">
        <f>'HERMES INTL'!D10</f>
        <v/>
      </c>
      <c r="I12" s="42">
        <f>'PERNOD RICARD'!D10</f>
        <v/>
      </c>
      <c r="J12" s="42">
        <f>RENAULT!D10</f>
        <v/>
      </c>
      <c r="K12" s="42">
        <f>SANOFI!D10</f>
        <v/>
      </c>
      <c r="L12" s="42">
        <f>'SCHNEIDER ELECTRIC'!D10</f>
        <v/>
      </c>
      <c r="M12" s="42">
        <f>'TOTAL ENERGIES'!D10</f>
        <v/>
      </c>
      <c r="N12" s="42">
        <f>VINCI!D10</f>
        <v/>
      </c>
      <c r="O12" s="43" t="n"/>
      <c r="P12" s="43">
        <f>AVERAGE(C12:N12)</f>
        <v/>
      </c>
    </row>
    <row r="13">
      <c r="B13" s="160" t="n">
        <v>40663</v>
      </c>
      <c r="C13" s="42">
        <f>AIRBUS!D11</f>
        <v/>
      </c>
      <c r="D13" s="42">
        <f>BNP!D11</f>
        <v/>
      </c>
      <c r="E13" s="42">
        <f>CAPGEMINI!D11</f>
        <v/>
      </c>
      <c r="F13" s="42">
        <f>DANONE!D11</f>
        <v/>
      </c>
      <c r="G13" s="42">
        <f>ENGIE!D11</f>
        <v/>
      </c>
      <c r="H13" s="42">
        <f>'HERMES INTL'!D11</f>
        <v/>
      </c>
      <c r="I13" s="42">
        <f>'PERNOD RICARD'!D11</f>
        <v/>
      </c>
      <c r="J13" s="42">
        <f>RENAULT!D11</f>
        <v/>
      </c>
      <c r="K13" s="42">
        <f>SANOFI!D11</f>
        <v/>
      </c>
      <c r="L13" s="42">
        <f>'SCHNEIDER ELECTRIC'!D11</f>
        <v/>
      </c>
      <c r="M13" s="42">
        <f>'TOTAL ENERGIES'!D11</f>
        <v/>
      </c>
      <c r="N13" s="42">
        <f>VINCI!D11</f>
        <v/>
      </c>
      <c r="O13" s="43" t="n"/>
      <c r="P13" s="43">
        <f>AVERAGE(C13:N13)</f>
        <v/>
      </c>
    </row>
    <row r="14">
      <c r="B14" s="160" t="n">
        <v>40694</v>
      </c>
      <c r="C14" s="42">
        <f>AIRBUS!D12</f>
        <v/>
      </c>
      <c r="D14" s="42">
        <f>BNP!D12</f>
        <v/>
      </c>
      <c r="E14" s="42">
        <f>CAPGEMINI!D12</f>
        <v/>
      </c>
      <c r="F14" s="42">
        <f>DANONE!D12</f>
        <v/>
      </c>
      <c r="G14" s="42">
        <f>ENGIE!D12</f>
        <v/>
      </c>
      <c r="H14" s="42">
        <f>'HERMES INTL'!D12</f>
        <v/>
      </c>
      <c r="I14" s="42">
        <f>'PERNOD RICARD'!D12</f>
        <v/>
      </c>
      <c r="J14" s="42">
        <f>RENAULT!D12</f>
        <v/>
      </c>
      <c r="K14" s="42">
        <f>SANOFI!D12</f>
        <v/>
      </c>
      <c r="L14" s="42">
        <f>'SCHNEIDER ELECTRIC'!D12</f>
        <v/>
      </c>
      <c r="M14" s="42">
        <f>'TOTAL ENERGIES'!D12</f>
        <v/>
      </c>
      <c r="N14" s="42">
        <f>VINCI!D12</f>
        <v/>
      </c>
      <c r="O14" s="43" t="n"/>
      <c r="P14" s="43">
        <f>AVERAGE(C14:N14)</f>
        <v/>
      </c>
    </row>
    <row r="15">
      <c r="B15" s="160" t="n">
        <v>40724</v>
      </c>
      <c r="C15" s="42">
        <f>AIRBUS!D13</f>
        <v/>
      </c>
      <c r="D15" s="42">
        <f>BNP!D13</f>
        <v/>
      </c>
      <c r="E15" s="42">
        <f>CAPGEMINI!D13</f>
        <v/>
      </c>
      <c r="F15" s="42">
        <f>DANONE!D13</f>
        <v/>
      </c>
      <c r="G15" s="42">
        <f>ENGIE!D13</f>
        <v/>
      </c>
      <c r="H15" s="42">
        <f>'HERMES INTL'!D13</f>
        <v/>
      </c>
      <c r="I15" s="42">
        <f>'PERNOD RICARD'!D13</f>
        <v/>
      </c>
      <c r="J15" s="42">
        <f>RENAULT!D13</f>
        <v/>
      </c>
      <c r="K15" s="42">
        <f>SANOFI!D13</f>
        <v/>
      </c>
      <c r="L15" s="42">
        <f>'SCHNEIDER ELECTRIC'!D13</f>
        <v/>
      </c>
      <c r="M15" s="42">
        <f>'TOTAL ENERGIES'!D13</f>
        <v/>
      </c>
      <c r="N15" s="42">
        <f>VINCI!D13</f>
        <v/>
      </c>
      <c r="O15" s="43" t="n"/>
      <c r="P15" s="43">
        <f>AVERAGE(C15:N15)</f>
        <v/>
      </c>
    </row>
    <row r="16">
      <c r="B16" s="160" t="n">
        <v>40755</v>
      </c>
      <c r="C16" s="42">
        <f>AIRBUS!D14</f>
        <v/>
      </c>
      <c r="D16" s="42">
        <f>BNP!D14</f>
        <v/>
      </c>
      <c r="E16" s="42">
        <f>CAPGEMINI!D14</f>
        <v/>
      </c>
      <c r="F16" s="42">
        <f>DANONE!D14</f>
        <v/>
      </c>
      <c r="G16" s="42">
        <f>ENGIE!D14</f>
        <v/>
      </c>
      <c r="H16" s="42">
        <f>'HERMES INTL'!D14</f>
        <v/>
      </c>
      <c r="I16" s="42">
        <f>'PERNOD RICARD'!D14</f>
        <v/>
      </c>
      <c r="J16" s="42">
        <f>RENAULT!D14</f>
        <v/>
      </c>
      <c r="K16" s="42">
        <f>SANOFI!D14</f>
        <v/>
      </c>
      <c r="L16" s="42">
        <f>'SCHNEIDER ELECTRIC'!D14</f>
        <v/>
      </c>
      <c r="M16" s="42">
        <f>'TOTAL ENERGIES'!D14</f>
        <v/>
      </c>
      <c r="N16" s="42">
        <f>VINCI!D14</f>
        <v/>
      </c>
      <c r="O16" s="43" t="n"/>
      <c r="P16" s="43">
        <f>AVERAGE(C16:N16)</f>
        <v/>
      </c>
    </row>
    <row r="17">
      <c r="B17" s="160" t="n">
        <v>40786</v>
      </c>
      <c r="C17" s="42">
        <f>AIRBUS!D15</f>
        <v/>
      </c>
      <c r="D17" s="42">
        <f>BNP!D15</f>
        <v/>
      </c>
      <c r="E17" s="42">
        <f>CAPGEMINI!D15</f>
        <v/>
      </c>
      <c r="F17" s="42">
        <f>DANONE!D15</f>
        <v/>
      </c>
      <c r="G17" s="42">
        <f>ENGIE!D15</f>
        <v/>
      </c>
      <c r="H17" s="42">
        <f>'HERMES INTL'!D15</f>
        <v/>
      </c>
      <c r="I17" s="42">
        <f>'PERNOD RICARD'!D15</f>
        <v/>
      </c>
      <c r="J17" s="42">
        <f>RENAULT!D15</f>
        <v/>
      </c>
      <c r="K17" s="42">
        <f>SANOFI!D15</f>
        <v/>
      </c>
      <c r="L17" s="42">
        <f>'SCHNEIDER ELECTRIC'!D15</f>
        <v/>
      </c>
      <c r="M17" s="42">
        <f>'TOTAL ENERGIES'!D15</f>
        <v/>
      </c>
      <c r="N17" s="42">
        <f>VINCI!D15</f>
        <v/>
      </c>
      <c r="O17" s="43" t="n"/>
      <c r="P17" s="43">
        <f>AVERAGE(C17:N17)</f>
        <v/>
      </c>
    </row>
    <row r="18">
      <c r="B18" s="160" t="n">
        <v>40816</v>
      </c>
      <c r="C18" s="42">
        <f>AIRBUS!D16</f>
        <v/>
      </c>
      <c r="D18" s="42">
        <f>BNP!D16</f>
        <v/>
      </c>
      <c r="E18" s="42">
        <f>CAPGEMINI!D16</f>
        <v/>
      </c>
      <c r="F18" s="42">
        <f>DANONE!D16</f>
        <v/>
      </c>
      <c r="G18" s="42">
        <f>ENGIE!D16</f>
        <v/>
      </c>
      <c r="H18" s="42">
        <f>'HERMES INTL'!D16</f>
        <v/>
      </c>
      <c r="I18" s="42">
        <f>'PERNOD RICARD'!D16</f>
        <v/>
      </c>
      <c r="J18" s="42">
        <f>RENAULT!D16</f>
        <v/>
      </c>
      <c r="K18" s="42">
        <f>SANOFI!D16</f>
        <v/>
      </c>
      <c r="L18" s="42">
        <f>'SCHNEIDER ELECTRIC'!D16</f>
        <v/>
      </c>
      <c r="M18" s="42">
        <f>'TOTAL ENERGIES'!D16</f>
        <v/>
      </c>
      <c r="N18" s="42">
        <f>VINCI!D16</f>
        <v/>
      </c>
      <c r="O18" s="43" t="n"/>
      <c r="P18" s="43">
        <f>AVERAGE(C18:N18)</f>
        <v/>
      </c>
    </row>
    <row r="19">
      <c r="B19" s="160" t="n">
        <v>40847</v>
      </c>
      <c r="C19" s="42">
        <f>AIRBUS!D17</f>
        <v/>
      </c>
      <c r="D19" s="42">
        <f>BNP!D17</f>
        <v/>
      </c>
      <c r="E19" s="42">
        <f>CAPGEMINI!D17</f>
        <v/>
      </c>
      <c r="F19" s="42">
        <f>DANONE!D17</f>
        <v/>
      </c>
      <c r="G19" s="42">
        <f>ENGIE!D17</f>
        <v/>
      </c>
      <c r="H19" s="42">
        <f>'HERMES INTL'!D17</f>
        <v/>
      </c>
      <c r="I19" s="42">
        <f>'PERNOD RICARD'!D17</f>
        <v/>
      </c>
      <c r="J19" s="42">
        <f>RENAULT!D17</f>
        <v/>
      </c>
      <c r="K19" s="42">
        <f>SANOFI!D17</f>
        <v/>
      </c>
      <c r="L19" s="42">
        <f>'SCHNEIDER ELECTRIC'!D17</f>
        <v/>
      </c>
      <c r="M19" s="42">
        <f>'TOTAL ENERGIES'!D17</f>
        <v/>
      </c>
      <c r="N19" s="42">
        <f>VINCI!D17</f>
        <v/>
      </c>
      <c r="O19" s="43" t="n"/>
      <c r="P19" s="43">
        <f>AVERAGE(C19:N19)</f>
        <v/>
      </c>
    </row>
    <row r="20">
      <c r="B20" s="160" t="n">
        <v>40877</v>
      </c>
      <c r="C20" s="42">
        <f>AIRBUS!D18</f>
        <v/>
      </c>
      <c r="D20" s="42">
        <f>BNP!D18</f>
        <v/>
      </c>
      <c r="E20" s="42">
        <f>CAPGEMINI!D18</f>
        <v/>
      </c>
      <c r="F20" s="42">
        <f>DANONE!D18</f>
        <v/>
      </c>
      <c r="G20" s="42">
        <f>ENGIE!D18</f>
        <v/>
      </c>
      <c r="H20" s="42">
        <f>'HERMES INTL'!D18</f>
        <v/>
      </c>
      <c r="I20" s="42">
        <f>'PERNOD RICARD'!D18</f>
        <v/>
      </c>
      <c r="J20" s="42">
        <f>RENAULT!D18</f>
        <v/>
      </c>
      <c r="K20" s="42">
        <f>SANOFI!D18</f>
        <v/>
      </c>
      <c r="L20" s="42">
        <f>'SCHNEIDER ELECTRIC'!D18</f>
        <v/>
      </c>
      <c r="M20" s="42">
        <f>'TOTAL ENERGIES'!D18</f>
        <v/>
      </c>
      <c r="N20" s="42">
        <f>VINCI!D18</f>
        <v/>
      </c>
      <c r="O20" s="43" t="n"/>
      <c r="P20" s="43">
        <f>AVERAGE(C20:N20)</f>
        <v/>
      </c>
    </row>
    <row r="21">
      <c r="B21" s="160" t="n">
        <v>40908</v>
      </c>
      <c r="C21" s="42">
        <f>AIRBUS!D19</f>
        <v/>
      </c>
      <c r="D21" s="42">
        <f>BNP!D19</f>
        <v/>
      </c>
      <c r="E21" s="42">
        <f>CAPGEMINI!D19</f>
        <v/>
      </c>
      <c r="F21" s="42">
        <f>DANONE!D19</f>
        <v/>
      </c>
      <c r="G21" s="42">
        <f>ENGIE!D19</f>
        <v/>
      </c>
      <c r="H21" s="42">
        <f>'HERMES INTL'!D19</f>
        <v/>
      </c>
      <c r="I21" s="42">
        <f>'PERNOD RICARD'!D19</f>
        <v/>
      </c>
      <c r="J21" s="42">
        <f>RENAULT!D19</f>
        <v/>
      </c>
      <c r="K21" s="42">
        <f>SANOFI!D19</f>
        <v/>
      </c>
      <c r="L21" s="42">
        <f>'SCHNEIDER ELECTRIC'!D19</f>
        <v/>
      </c>
      <c r="M21" s="42">
        <f>'TOTAL ENERGIES'!D19</f>
        <v/>
      </c>
      <c r="N21" s="42">
        <f>VINCI!D19</f>
        <v/>
      </c>
      <c r="O21" s="43" t="n"/>
      <c r="P21" s="43">
        <f>AVERAGE(C21:N21)</f>
        <v/>
      </c>
    </row>
    <row r="22">
      <c r="B22" s="160" t="n">
        <v>40939</v>
      </c>
      <c r="C22" s="42">
        <f>AIRBUS!D20</f>
        <v/>
      </c>
      <c r="D22" s="42">
        <f>BNP!D20</f>
        <v/>
      </c>
      <c r="E22" s="42">
        <f>CAPGEMINI!D20</f>
        <v/>
      </c>
      <c r="F22" s="42">
        <f>DANONE!D20</f>
        <v/>
      </c>
      <c r="G22" s="42">
        <f>ENGIE!D20</f>
        <v/>
      </c>
      <c r="H22" s="42">
        <f>'HERMES INTL'!D20</f>
        <v/>
      </c>
      <c r="I22" s="42">
        <f>'PERNOD RICARD'!D20</f>
        <v/>
      </c>
      <c r="J22" s="42">
        <f>RENAULT!D20</f>
        <v/>
      </c>
      <c r="K22" s="42">
        <f>SANOFI!D20</f>
        <v/>
      </c>
      <c r="L22" s="42">
        <f>'SCHNEIDER ELECTRIC'!D20</f>
        <v/>
      </c>
      <c r="M22" s="42">
        <f>'TOTAL ENERGIES'!D20</f>
        <v/>
      </c>
      <c r="N22" s="42">
        <f>VINCI!D20</f>
        <v/>
      </c>
      <c r="O22" s="43" t="n"/>
      <c r="P22" s="43">
        <f>AVERAGE(C22:N22)</f>
        <v/>
      </c>
    </row>
    <row r="23">
      <c r="B23" s="160" t="n">
        <v>40968</v>
      </c>
      <c r="C23" s="42">
        <f>AIRBUS!D21</f>
        <v/>
      </c>
      <c r="D23" s="42">
        <f>BNP!D21</f>
        <v/>
      </c>
      <c r="E23" s="42">
        <f>CAPGEMINI!D21</f>
        <v/>
      </c>
      <c r="F23" s="42">
        <f>DANONE!D21</f>
        <v/>
      </c>
      <c r="G23" s="42">
        <f>ENGIE!D21</f>
        <v/>
      </c>
      <c r="H23" s="42">
        <f>'HERMES INTL'!D21</f>
        <v/>
      </c>
      <c r="I23" s="42">
        <f>'PERNOD RICARD'!D21</f>
        <v/>
      </c>
      <c r="J23" s="42">
        <f>RENAULT!D21</f>
        <v/>
      </c>
      <c r="K23" s="42">
        <f>SANOFI!D21</f>
        <v/>
      </c>
      <c r="L23" s="42">
        <f>'SCHNEIDER ELECTRIC'!D21</f>
        <v/>
      </c>
      <c r="M23" s="42">
        <f>'TOTAL ENERGIES'!D21</f>
        <v/>
      </c>
      <c r="N23" s="42">
        <f>VINCI!D21</f>
        <v/>
      </c>
      <c r="O23" s="43" t="n"/>
      <c r="P23" s="43">
        <f>AVERAGE(C23:N23)</f>
        <v/>
      </c>
    </row>
    <row r="24">
      <c r="B24" s="160" t="n">
        <v>40999</v>
      </c>
      <c r="C24" s="42">
        <f>AIRBUS!D22</f>
        <v/>
      </c>
      <c r="D24" s="42">
        <f>BNP!D22</f>
        <v/>
      </c>
      <c r="E24" s="42">
        <f>CAPGEMINI!D22</f>
        <v/>
      </c>
      <c r="F24" s="42">
        <f>DANONE!D22</f>
        <v/>
      </c>
      <c r="G24" s="42">
        <f>ENGIE!D22</f>
        <v/>
      </c>
      <c r="H24" s="42">
        <f>'HERMES INTL'!D22</f>
        <v/>
      </c>
      <c r="I24" s="42">
        <f>'PERNOD RICARD'!D22</f>
        <v/>
      </c>
      <c r="J24" s="42">
        <f>RENAULT!D22</f>
        <v/>
      </c>
      <c r="K24" s="42">
        <f>SANOFI!D22</f>
        <v/>
      </c>
      <c r="L24" s="42">
        <f>'SCHNEIDER ELECTRIC'!D22</f>
        <v/>
      </c>
      <c r="M24" s="42">
        <f>'TOTAL ENERGIES'!D22</f>
        <v/>
      </c>
      <c r="N24" s="42">
        <f>VINCI!D22</f>
        <v/>
      </c>
      <c r="O24" s="43" t="n"/>
      <c r="P24" s="43">
        <f>AVERAGE(C24:N24)</f>
        <v/>
      </c>
    </row>
    <row r="25">
      <c r="B25" s="160" t="n">
        <v>41029</v>
      </c>
      <c r="C25" s="42">
        <f>AIRBUS!D23</f>
        <v/>
      </c>
      <c r="D25" s="42">
        <f>BNP!D23</f>
        <v/>
      </c>
      <c r="E25" s="42">
        <f>CAPGEMINI!D23</f>
        <v/>
      </c>
      <c r="F25" s="42">
        <f>DANONE!D23</f>
        <v/>
      </c>
      <c r="G25" s="42">
        <f>ENGIE!D23</f>
        <v/>
      </c>
      <c r="H25" s="42">
        <f>'HERMES INTL'!D23</f>
        <v/>
      </c>
      <c r="I25" s="42">
        <f>'PERNOD RICARD'!D23</f>
        <v/>
      </c>
      <c r="J25" s="42">
        <f>RENAULT!D23</f>
        <v/>
      </c>
      <c r="K25" s="42">
        <f>SANOFI!D23</f>
        <v/>
      </c>
      <c r="L25" s="42">
        <f>'SCHNEIDER ELECTRIC'!D23</f>
        <v/>
      </c>
      <c r="M25" s="42">
        <f>'TOTAL ENERGIES'!D23</f>
        <v/>
      </c>
      <c r="N25" s="42">
        <f>VINCI!D23</f>
        <v/>
      </c>
      <c r="O25" s="43" t="n"/>
      <c r="P25" s="43">
        <f>AVERAGE(C25:N25)</f>
        <v/>
      </c>
    </row>
    <row r="26">
      <c r="B26" s="160" t="n">
        <v>41060</v>
      </c>
      <c r="C26" s="42">
        <f>AIRBUS!D24</f>
        <v/>
      </c>
      <c r="D26" s="42">
        <f>BNP!D24</f>
        <v/>
      </c>
      <c r="E26" s="42">
        <f>CAPGEMINI!D24</f>
        <v/>
      </c>
      <c r="F26" s="42">
        <f>DANONE!D24</f>
        <v/>
      </c>
      <c r="G26" s="42">
        <f>ENGIE!D24</f>
        <v/>
      </c>
      <c r="H26" s="42">
        <f>'HERMES INTL'!D24</f>
        <v/>
      </c>
      <c r="I26" s="42">
        <f>'PERNOD RICARD'!D24</f>
        <v/>
      </c>
      <c r="J26" s="42">
        <f>RENAULT!D24</f>
        <v/>
      </c>
      <c r="K26" s="42">
        <f>SANOFI!D24</f>
        <v/>
      </c>
      <c r="L26" s="42">
        <f>'SCHNEIDER ELECTRIC'!D24</f>
        <v/>
      </c>
      <c r="M26" s="42">
        <f>'TOTAL ENERGIES'!D24</f>
        <v/>
      </c>
      <c r="N26" s="42">
        <f>VINCI!D24</f>
        <v/>
      </c>
      <c r="O26" s="43" t="n"/>
      <c r="P26" s="43">
        <f>AVERAGE(C26:N26)</f>
        <v/>
      </c>
    </row>
    <row r="27">
      <c r="B27" s="160" t="n">
        <v>41090</v>
      </c>
      <c r="C27" s="42">
        <f>AIRBUS!D25</f>
        <v/>
      </c>
      <c r="D27" s="42">
        <f>BNP!D25</f>
        <v/>
      </c>
      <c r="E27" s="42">
        <f>CAPGEMINI!D25</f>
        <v/>
      </c>
      <c r="F27" s="42">
        <f>DANONE!D25</f>
        <v/>
      </c>
      <c r="G27" s="42">
        <f>ENGIE!D25</f>
        <v/>
      </c>
      <c r="H27" s="42">
        <f>'HERMES INTL'!D25</f>
        <v/>
      </c>
      <c r="I27" s="42">
        <f>'PERNOD RICARD'!D25</f>
        <v/>
      </c>
      <c r="J27" s="42">
        <f>RENAULT!D25</f>
        <v/>
      </c>
      <c r="K27" s="42">
        <f>SANOFI!D25</f>
        <v/>
      </c>
      <c r="L27" s="42">
        <f>'SCHNEIDER ELECTRIC'!D25</f>
        <v/>
      </c>
      <c r="M27" s="42">
        <f>'TOTAL ENERGIES'!D25</f>
        <v/>
      </c>
      <c r="N27" s="42">
        <f>VINCI!D25</f>
        <v/>
      </c>
      <c r="O27" s="43" t="n"/>
      <c r="P27" s="43">
        <f>AVERAGE(C27:N27)</f>
        <v/>
      </c>
    </row>
    <row r="28">
      <c r="B28" s="160" t="n">
        <v>41121</v>
      </c>
      <c r="C28" s="42">
        <f>AIRBUS!D26</f>
        <v/>
      </c>
      <c r="D28" s="42">
        <f>BNP!D26</f>
        <v/>
      </c>
      <c r="E28" s="42">
        <f>CAPGEMINI!D26</f>
        <v/>
      </c>
      <c r="F28" s="42">
        <f>DANONE!D26</f>
        <v/>
      </c>
      <c r="G28" s="42">
        <f>ENGIE!D26</f>
        <v/>
      </c>
      <c r="H28" s="42">
        <f>'HERMES INTL'!D26</f>
        <v/>
      </c>
      <c r="I28" s="42">
        <f>'PERNOD RICARD'!D26</f>
        <v/>
      </c>
      <c r="J28" s="42">
        <f>RENAULT!D26</f>
        <v/>
      </c>
      <c r="K28" s="42">
        <f>SANOFI!D26</f>
        <v/>
      </c>
      <c r="L28" s="42">
        <f>'SCHNEIDER ELECTRIC'!D26</f>
        <v/>
      </c>
      <c r="M28" s="42">
        <f>'TOTAL ENERGIES'!D26</f>
        <v/>
      </c>
      <c r="N28" s="42">
        <f>VINCI!D26</f>
        <v/>
      </c>
      <c r="O28" s="43" t="n"/>
      <c r="P28" s="43">
        <f>AVERAGE(C28:N28)</f>
        <v/>
      </c>
    </row>
    <row r="29">
      <c r="B29" s="160" t="n">
        <v>41152</v>
      </c>
      <c r="C29" s="42">
        <f>AIRBUS!D27</f>
        <v/>
      </c>
      <c r="D29" s="42">
        <f>BNP!D27</f>
        <v/>
      </c>
      <c r="E29" s="42">
        <f>CAPGEMINI!D27</f>
        <v/>
      </c>
      <c r="F29" s="42">
        <f>DANONE!D27</f>
        <v/>
      </c>
      <c r="G29" s="42">
        <f>ENGIE!D27</f>
        <v/>
      </c>
      <c r="H29" s="42">
        <f>'HERMES INTL'!D27</f>
        <v/>
      </c>
      <c r="I29" s="42">
        <f>'PERNOD RICARD'!D27</f>
        <v/>
      </c>
      <c r="J29" s="42">
        <f>RENAULT!D27</f>
        <v/>
      </c>
      <c r="K29" s="42">
        <f>SANOFI!D27</f>
        <v/>
      </c>
      <c r="L29" s="42">
        <f>'SCHNEIDER ELECTRIC'!D27</f>
        <v/>
      </c>
      <c r="M29" s="42">
        <f>'TOTAL ENERGIES'!D27</f>
        <v/>
      </c>
      <c r="N29" s="42">
        <f>VINCI!D27</f>
        <v/>
      </c>
      <c r="O29" s="43" t="n"/>
      <c r="P29" s="43">
        <f>AVERAGE(C29:N29)</f>
        <v/>
      </c>
    </row>
    <row r="30">
      <c r="B30" s="160" t="n">
        <v>41182</v>
      </c>
      <c r="C30" s="42">
        <f>AIRBUS!D28</f>
        <v/>
      </c>
      <c r="D30" s="42">
        <f>BNP!D28</f>
        <v/>
      </c>
      <c r="E30" s="42">
        <f>CAPGEMINI!D28</f>
        <v/>
      </c>
      <c r="F30" s="42">
        <f>DANONE!D28</f>
        <v/>
      </c>
      <c r="G30" s="42">
        <f>ENGIE!D28</f>
        <v/>
      </c>
      <c r="H30" s="42">
        <f>'HERMES INTL'!D28</f>
        <v/>
      </c>
      <c r="I30" s="42">
        <f>'PERNOD RICARD'!D28</f>
        <v/>
      </c>
      <c r="J30" s="42">
        <f>RENAULT!D28</f>
        <v/>
      </c>
      <c r="K30" s="42">
        <f>SANOFI!D28</f>
        <v/>
      </c>
      <c r="L30" s="42">
        <f>'SCHNEIDER ELECTRIC'!D28</f>
        <v/>
      </c>
      <c r="M30" s="42">
        <f>'TOTAL ENERGIES'!D28</f>
        <v/>
      </c>
      <c r="N30" s="42">
        <f>VINCI!D28</f>
        <v/>
      </c>
      <c r="O30" s="43" t="n"/>
      <c r="P30" s="43">
        <f>AVERAGE(C30:N30)</f>
        <v/>
      </c>
    </row>
    <row r="31">
      <c r="B31" s="160" t="n">
        <v>41213</v>
      </c>
      <c r="C31" s="42">
        <f>AIRBUS!D29</f>
        <v/>
      </c>
      <c r="D31" s="42">
        <f>BNP!D29</f>
        <v/>
      </c>
      <c r="E31" s="42">
        <f>CAPGEMINI!D29</f>
        <v/>
      </c>
      <c r="F31" s="42">
        <f>DANONE!D29</f>
        <v/>
      </c>
      <c r="G31" s="42">
        <f>ENGIE!D29</f>
        <v/>
      </c>
      <c r="H31" s="42">
        <f>'HERMES INTL'!D29</f>
        <v/>
      </c>
      <c r="I31" s="42">
        <f>'PERNOD RICARD'!D29</f>
        <v/>
      </c>
      <c r="J31" s="42">
        <f>RENAULT!D29</f>
        <v/>
      </c>
      <c r="K31" s="42">
        <f>SANOFI!D29</f>
        <v/>
      </c>
      <c r="L31" s="42">
        <f>'SCHNEIDER ELECTRIC'!D29</f>
        <v/>
      </c>
      <c r="M31" s="42">
        <f>'TOTAL ENERGIES'!D29</f>
        <v/>
      </c>
      <c r="N31" s="42">
        <f>VINCI!D29</f>
        <v/>
      </c>
      <c r="O31" s="43" t="n"/>
      <c r="P31" s="43">
        <f>AVERAGE(C31:N31)</f>
        <v/>
      </c>
    </row>
    <row r="32">
      <c r="B32" s="160" t="n">
        <v>41243</v>
      </c>
      <c r="C32" s="42">
        <f>AIRBUS!D30</f>
        <v/>
      </c>
      <c r="D32" s="42">
        <f>BNP!D30</f>
        <v/>
      </c>
      <c r="E32" s="42">
        <f>CAPGEMINI!D30</f>
        <v/>
      </c>
      <c r="F32" s="42">
        <f>DANONE!D30</f>
        <v/>
      </c>
      <c r="G32" s="42">
        <f>ENGIE!D30</f>
        <v/>
      </c>
      <c r="H32" s="42">
        <f>'HERMES INTL'!D30</f>
        <v/>
      </c>
      <c r="I32" s="42">
        <f>'PERNOD RICARD'!D30</f>
        <v/>
      </c>
      <c r="J32" s="42">
        <f>RENAULT!D30</f>
        <v/>
      </c>
      <c r="K32" s="42">
        <f>SANOFI!D30</f>
        <v/>
      </c>
      <c r="L32" s="42">
        <f>'SCHNEIDER ELECTRIC'!D30</f>
        <v/>
      </c>
      <c r="M32" s="42">
        <f>'TOTAL ENERGIES'!D30</f>
        <v/>
      </c>
      <c r="N32" s="42">
        <f>VINCI!D30</f>
        <v/>
      </c>
      <c r="O32" s="43" t="n"/>
      <c r="P32" s="43">
        <f>AVERAGE(C32:N32)</f>
        <v/>
      </c>
    </row>
    <row r="33">
      <c r="B33" s="160" t="n">
        <v>41274</v>
      </c>
      <c r="C33" s="42">
        <f>AIRBUS!D31</f>
        <v/>
      </c>
      <c r="D33" s="42">
        <f>BNP!D31</f>
        <v/>
      </c>
      <c r="E33" s="42">
        <f>CAPGEMINI!D31</f>
        <v/>
      </c>
      <c r="F33" s="42">
        <f>DANONE!D31</f>
        <v/>
      </c>
      <c r="G33" s="42">
        <f>ENGIE!D31</f>
        <v/>
      </c>
      <c r="H33" s="42">
        <f>'HERMES INTL'!D31</f>
        <v/>
      </c>
      <c r="I33" s="42">
        <f>'PERNOD RICARD'!D31</f>
        <v/>
      </c>
      <c r="J33" s="42">
        <f>RENAULT!D31</f>
        <v/>
      </c>
      <c r="K33" s="42">
        <f>SANOFI!D31</f>
        <v/>
      </c>
      <c r="L33" s="42">
        <f>'SCHNEIDER ELECTRIC'!D31</f>
        <v/>
      </c>
      <c r="M33" s="42">
        <f>'TOTAL ENERGIES'!D31</f>
        <v/>
      </c>
      <c r="N33" s="42">
        <f>VINCI!D31</f>
        <v/>
      </c>
      <c r="O33" s="43" t="n"/>
      <c r="P33" s="43">
        <f>AVERAGE(C33:N33)</f>
        <v/>
      </c>
    </row>
    <row r="34">
      <c r="B34" s="160" t="n">
        <v>41305</v>
      </c>
      <c r="C34" s="42">
        <f>AIRBUS!D32</f>
        <v/>
      </c>
      <c r="D34" s="42">
        <f>BNP!D32</f>
        <v/>
      </c>
      <c r="E34" s="42">
        <f>CAPGEMINI!D32</f>
        <v/>
      </c>
      <c r="F34" s="42">
        <f>DANONE!D32</f>
        <v/>
      </c>
      <c r="G34" s="42">
        <f>ENGIE!D32</f>
        <v/>
      </c>
      <c r="H34" s="42">
        <f>'HERMES INTL'!D32</f>
        <v/>
      </c>
      <c r="I34" s="42">
        <f>'PERNOD RICARD'!D32</f>
        <v/>
      </c>
      <c r="J34" s="42">
        <f>RENAULT!D32</f>
        <v/>
      </c>
      <c r="K34" s="42">
        <f>SANOFI!D32</f>
        <v/>
      </c>
      <c r="L34" s="42">
        <f>'SCHNEIDER ELECTRIC'!D32</f>
        <v/>
      </c>
      <c r="M34" s="42">
        <f>'TOTAL ENERGIES'!D32</f>
        <v/>
      </c>
      <c r="N34" s="42">
        <f>VINCI!D32</f>
        <v/>
      </c>
      <c r="O34" s="43" t="n"/>
      <c r="P34" s="43">
        <f>AVERAGE(C34:N34)</f>
        <v/>
      </c>
    </row>
    <row r="35">
      <c r="B35" s="160" t="n">
        <v>41333</v>
      </c>
      <c r="C35" s="42">
        <f>AIRBUS!D33</f>
        <v/>
      </c>
      <c r="D35" s="42">
        <f>BNP!D33</f>
        <v/>
      </c>
      <c r="E35" s="42">
        <f>CAPGEMINI!D33</f>
        <v/>
      </c>
      <c r="F35" s="42">
        <f>DANONE!D33</f>
        <v/>
      </c>
      <c r="G35" s="42">
        <f>ENGIE!D33</f>
        <v/>
      </c>
      <c r="H35" s="42">
        <f>'HERMES INTL'!D33</f>
        <v/>
      </c>
      <c r="I35" s="42">
        <f>'PERNOD RICARD'!D33</f>
        <v/>
      </c>
      <c r="J35" s="42">
        <f>RENAULT!D33</f>
        <v/>
      </c>
      <c r="K35" s="42">
        <f>SANOFI!D33</f>
        <v/>
      </c>
      <c r="L35" s="42">
        <f>'SCHNEIDER ELECTRIC'!D33</f>
        <v/>
      </c>
      <c r="M35" s="42">
        <f>'TOTAL ENERGIES'!D33</f>
        <v/>
      </c>
      <c r="N35" s="42">
        <f>VINCI!D33</f>
        <v/>
      </c>
      <c r="O35" s="43" t="n"/>
      <c r="P35" s="43">
        <f>AVERAGE(C35:N35)</f>
        <v/>
      </c>
    </row>
    <row r="36">
      <c r="B36" s="160" t="n">
        <v>41364</v>
      </c>
      <c r="C36" s="42">
        <f>AIRBUS!D34</f>
        <v/>
      </c>
      <c r="D36" s="42">
        <f>BNP!D34</f>
        <v/>
      </c>
      <c r="E36" s="42">
        <f>CAPGEMINI!D34</f>
        <v/>
      </c>
      <c r="F36" s="42">
        <f>DANONE!D34</f>
        <v/>
      </c>
      <c r="G36" s="42">
        <f>ENGIE!D34</f>
        <v/>
      </c>
      <c r="H36" s="42">
        <f>'HERMES INTL'!D34</f>
        <v/>
      </c>
      <c r="I36" s="42">
        <f>'PERNOD RICARD'!D34</f>
        <v/>
      </c>
      <c r="J36" s="42">
        <f>RENAULT!D34</f>
        <v/>
      </c>
      <c r="K36" s="42">
        <f>SANOFI!D34</f>
        <v/>
      </c>
      <c r="L36" s="42">
        <f>'SCHNEIDER ELECTRIC'!D34</f>
        <v/>
      </c>
      <c r="M36" s="42">
        <f>'TOTAL ENERGIES'!D34</f>
        <v/>
      </c>
      <c r="N36" s="42">
        <f>VINCI!D34</f>
        <v/>
      </c>
      <c r="O36" s="43" t="n"/>
      <c r="P36" s="43">
        <f>AVERAGE(C36:N36)</f>
        <v/>
      </c>
    </row>
    <row r="37">
      <c r="B37" s="160" t="n">
        <v>41394</v>
      </c>
      <c r="C37" s="42">
        <f>AIRBUS!D35</f>
        <v/>
      </c>
      <c r="D37" s="42">
        <f>BNP!D35</f>
        <v/>
      </c>
      <c r="E37" s="42">
        <f>CAPGEMINI!D35</f>
        <v/>
      </c>
      <c r="F37" s="42">
        <f>DANONE!D35</f>
        <v/>
      </c>
      <c r="G37" s="42">
        <f>ENGIE!D35</f>
        <v/>
      </c>
      <c r="H37" s="42">
        <f>'HERMES INTL'!D35</f>
        <v/>
      </c>
      <c r="I37" s="42">
        <f>'PERNOD RICARD'!D35</f>
        <v/>
      </c>
      <c r="J37" s="42">
        <f>RENAULT!D35</f>
        <v/>
      </c>
      <c r="K37" s="42">
        <f>SANOFI!D35</f>
        <v/>
      </c>
      <c r="L37" s="42">
        <f>'SCHNEIDER ELECTRIC'!D35</f>
        <v/>
      </c>
      <c r="M37" s="42">
        <f>'TOTAL ENERGIES'!D35</f>
        <v/>
      </c>
      <c r="N37" s="42">
        <f>VINCI!D35</f>
        <v/>
      </c>
      <c r="O37" s="43" t="n"/>
      <c r="P37" s="43">
        <f>AVERAGE(C37:N37)</f>
        <v/>
      </c>
    </row>
    <row r="38">
      <c r="B38" s="160" t="n">
        <v>41425</v>
      </c>
      <c r="C38" s="42">
        <f>AIRBUS!D36</f>
        <v/>
      </c>
      <c r="D38" s="42">
        <f>BNP!D36</f>
        <v/>
      </c>
      <c r="E38" s="42">
        <f>CAPGEMINI!D36</f>
        <v/>
      </c>
      <c r="F38" s="42">
        <f>DANONE!D36</f>
        <v/>
      </c>
      <c r="G38" s="42">
        <f>ENGIE!D36</f>
        <v/>
      </c>
      <c r="H38" s="42">
        <f>'HERMES INTL'!D36</f>
        <v/>
      </c>
      <c r="I38" s="42">
        <f>'PERNOD RICARD'!D36</f>
        <v/>
      </c>
      <c r="J38" s="42">
        <f>RENAULT!D36</f>
        <v/>
      </c>
      <c r="K38" s="42">
        <f>SANOFI!D36</f>
        <v/>
      </c>
      <c r="L38" s="42">
        <f>'SCHNEIDER ELECTRIC'!D36</f>
        <v/>
      </c>
      <c r="M38" s="42">
        <f>'TOTAL ENERGIES'!D36</f>
        <v/>
      </c>
      <c r="N38" s="42">
        <f>VINCI!D36</f>
        <v/>
      </c>
      <c r="O38" s="43" t="n"/>
      <c r="P38" s="43">
        <f>AVERAGE(C38:N38)</f>
        <v/>
      </c>
    </row>
    <row r="39">
      <c r="B39" s="160" t="n">
        <v>41455</v>
      </c>
      <c r="C39" s="42">
        <f>AIRBUS!D37</f>
        <v/>
      </c>
      <c r="D39" s="42">
        <f>BNP!D37</f>
        <v/>
      </c>
      <c r="E39" s="42">
        <f>CAPGEMINI!D37</f>
        <v/>
      </c>
      <c r="F39" s="42">
        <f>DANONE!D37</f>
        <v/>
      </c>
      <c r="G39" s="42">
        <f>ENGIE!D37</f>
        <v/>
      </c>
      <c r="H39" s="42">
        <f>'HERMES INTL'!D37</f>
        <v/>
      </c>
      <c r="I39" s="42">
        <f>'PERNOD RICARD'!D37</f>
        <v/>
      </c>
      <c r="J39" s="42">
        <f>RENAULT!D37</f>
        <v/>
      </c>
      <c r="K39" s="42">
        <f>SANOFI!D37</f>
        <v/>
      </c>
      <c r="L39" s="42">
        <f>'SCHNEIDER ELECTRIC'!D37</f>
        <v/>
      </c>
      <c r="M39" s="42">
        <f>'TOTAL ENERGIES'!D37</f>
        <v/>
      </c>
      <c r="N39" s="42">
        <f>VINCI!D37</f>
        <v/>
      </c>
      <c r="O39" s="43" t="n"/>
      <c r="P39" s="43">
        <f>AVERAGE(C39:N39)</f>
        <v/>
      </c>
    </row>
    <row r="40">
      <c r="B40" s="160" t="n">
        <v>41486</v>
      </c>
      <c r="C40" s="42">
        <f>AIRBUS!D38</f>
        <v/>
      </c>
      <c r="D40" s="42">
        <f>BNP!D38</f>
        <v/>
      </c>
      <c r="E40" s="42">
        <f>CAPGEMINI!D38</f>
        <v/>
      </c>
      <c r="F40" s="42">
        <f>DANONE!D38</f>
        <v/>
      </c>
      <c r="G40" s="42">
        <f>ENGIE!D38</f>
        <v/>
      </c>
      <c r="H40" s="42">
        <f>'HERMES INTL'!D38</f>
        <v/>
      </c>
      <c r="I40" s="42">
        <f>'PERNOD RICARD'!D38</f>
        <v/>
      </c>
      <c r="J40" s="42">
        <f>RENAULT!D38</f>
        <v/>
      </c>
      <c r="K40" s="42">
        <f>SANOFI!D38</f>
        <v/>
      </c>
      <c r="L40" s="42">
        <f>'SCHNEIDER ELECTRIC'!D38</f>
        <v/>
      </c>
      <c r="M40" s="42">
        <f>'TOTAL ENERGIES'!D38</f>
        <v/>
      </c>
      <c r="N40" s="42">
        <f>VINCI!D38</f>
        <v/>
      </c>
      <c r="O40" s="43" t="n"/>
      <c r="P40" s="43">
        <f>AVERAGE(C40:N40)</f>
        <v/>
      </c>
    </row>
    <row r="41">
      <c r="B41" s="160" t="n">
        <v>41517</v>
      </c>
      <c r="C41" s="42">
        <f>AIRBUS!D39</f>
        <v/>
      </c>
      <c r="D41" s="42">
        <f>BNP!D39</f>
        <v/>
      </c>
      <c r="E41" s="42">
        <f>CAPGEMINI!D39</f>
        <v/>
      </c>
      <c r="F41" s="42">
        <f>DANONE!D39</f>
        <v/>
      </c>
      <c r="G41" s="42">
        <f>ENGIE!D39</f>
        <v/>
      </c>
      <c r="H41" s="42">
        <f>'HERMES INTL'!D39</f>
        <v/>
      </c>
      <c r="I41" s="42">
        <f>'PERNOD RICARD'!D39</f>
        <v/>
      </c>
      <c r="J41" s="42">
        <f>RENAULT!D39</f>
        <v/>
      </c>
      <c r="K41" s="42">
        <f>SANOFI!D39</f>
        <v/>
      </c>
      <c r="L41" s="42">
        <f>'SCHNEIDER ELECTRIC'!D39</f>
        <v/>
      </c>
      <c r="M41" s="42">
        <f>'TOTAL ENERGIES'!D39</f>
        <v/>
      </c>
      <c r="N41" s="42">
        <f>VINCI!D39</f>
        <v/>
      </c>
      <c r="O41" s="43" t="n"/>
      <c r="P41" s="43">
        <f>AVERAGE(C41:N41)</f>
        <v/>
      </c>
    </row>
    <row r="42">
      <c r="B42" s="160" t="n">
        <v>41547</v>
      </c>
      <c r="C42" s="42">
        <f>AIRBUS!D40</f>
        <v/>
      </c>
      <c r="D42" s="42">
        <f>BNP!D40</f>
        <v/>
      </c>
      <c r="E42" s="42">
        <f>CAPGEMINI!D40</f>
        <v/>
      </c>
      <c r="F42" s="42">
        <f>DANONE!D40</f>
        <v/>
      </c>
      <c r="G42" s="42">
        <f>ENGIE!D40</f>
        <v/>
      </c>
      <c r="H42" s="42">
        <f>'HERMES INTL'!D40</f>
        <v/>
      </c>
      <c r="I42" s="42">
        <f>'PERNOD RICARD'!D40</f>
        <v/>
      </c>
      <c r="J42" s="42">
        <f>RENAULT!D40</f>
        <v/>
      </c>
      <c r="K42" s="42">
        <f>SANOFI!D40</f>
        <v/>
      </c>
      <c r="L42" s="42">
        <f>'SCHNEIDER ELECTRIC'!D40</f>
        <v/>
      </c>
      <c r="M42" s="42">
        <f>'TOTAL ENERGIES'!D40</f>
        <v/>
      </c>
      <c r="N42" s="42">
        <f>VINCI!D40</f>
        <v/>
      </c>
      <c r="O42" s="43" t="n"/>
      <c r="P42" s="43">
        <f>AVERAGE(C42:N42)</f>
        <v/>
      </c>
    </row>
    <row r="43">
      <c r="B43" s="160" t="n">
        <v>41578</v>
      </c>
      <c r="C43" s="42">
        <f>AIRBUS!D41</f>
        <v/>
      </c>
      <c r="D43" s="42">
        <f>BNP!D41</f>
        <v/>
      </c>
      <c r="E43" s="42">
        <f>CAPGEMINI!D41</f>
        <v/>
      </c>
      <c r="F43" s="42">
        <f>DANONE!D41</f>
        <v/>
      </c>
      <c r="G43" s="42">
        <f>ENGIE!D41</f>
        <v/>
      </c>
      <c r="H43" s="42">
        <f>'HERMES INTL'!D41</f>
        <v/>
      </c>
      <c r="I43" s="42">
        <f>'PERNOD RICARD'!D41</f>
        <v/>
      </c>
      <c r="J43" s="42">
        <f>RENAULT!D41</f>
        <v/>
      </c>
      <c r="K43" s="42">
        <f>SANOFI!D41</f>
        <v/>
      </c>
      <c r="L43" s="42">
        <f>'SCHNEIDER ELECTRIC'!D41</f>
        <v/>
      </c>
      <c r="M43" s="42">
        <f>'TOTAL ENERGIES'!D41</f>
        <v/>
      </c>
      <c r="N43" s="42">
        <f>VINCI!D41</f>
        <v/>
      </c>
      <c r="O43" s="43" t="n"/>
      <c r="P43" s="43">
        <f>AVERAGE(C43:N43)</f>
        <v/>
      </c>
    </row>
    <row r="44">
      <c r="B44" s="160" t="n">
        <v>41608</v>
      </c>
      <c r="C44" s="42">
        <f>AIRBUS!D42</f>
        <v/>
      </c>
      <c r="D44" s="42">
        <f>BNP!D42</f>
        <v/>
      </c>
      <c r="E44" s="42">
        <f>CAPGEMINI!D42</f>
        <v/>
      </c>
      <c r="F44" s="42">
        <f>DANONE!D42</f>
        <v/>
      </c>
      <c r="G44" s="42">
        <f>ENGIE!D42</f>
        <v/>
      </c>
      <c r="H44" s="42">
        <f>'HERMES INTL'!D42</f>
        <v/>
      </c>
      <c r="I44" s="42">
        <f>'PERNOD RICARD'!D42</f>
        <v/>
      </c>
      <c r="J44" s="42">
        <f>RENAULT!D42</f>
        <v/>
      </c>
      <c r="K44" s="42">
        <f>SANOFI!D42</f>
        <v/>
      </c>
      <c r="L44" s="42">
        <f>'SCHNEIDER ELECTRIC'!D42</f>
        <v/>
      </c>
      <c r="M44" s="42">
        <f>'TOTAL ENERGIES'!D42</f>
        <v/>
      </c>
      <c r="N44" s="42">
        <f>VINCI!D42</f>
        <v/>
      </c>
      <c r="O44" s="43" t="n"/>
      <c r="P44" s="43">
        <f>AVERAGE(C44:N44)</f>
        <v/>
      </c>
    </row>
    <row r="45">
      <c r="B45" s="160" t="n">
        <v>41639</v>
      </c>
      <c r="C45" s="42">
        <f>AIRBUS!D43</f>
        <v/>
      </c>
      <c r="D45" s="42">
        <f>BNP!D43</f>
        <v/>
      </c>
      <c r="E45" s="42">
        <f>CAPGEMINI!D43</f>
        <v/>
      </c>
      <c r="F45" s="42">
        <f>DANONE!D43</f>
        <v/>
      </c>
      <c r="G45" s="42">
        <f>ENGIE!D43</f>
        <v/>
      </c>
      <c r="H45" s="42">
        <f>'HERMES INTL'!D43</f>
        <v/>
      </c>
      <c r="I45" s="42">
        <f>'PERNOD RICARD'!D43</f>
        <v/>
      </c>
      <c r="J45" s="42">
        <f>RENAULT!D43</f>
        <v/>
      </c>
      <c r="K45" s="42">
        <f>SANOFI!D43</f>
        <v/>
      </c>
      <c r="L45" s="42">
        <f>'SCHNEIDER ELECTRIC'!D43</f>
        <v/>
      </c>
      <c r="M45" s="42">
        <f>'TOTAL ENERGIES'!D43</f>
        <v/>
      </c>
      <c r="N45" s="42">
        <f>VINCI!D43</f>
        <v/>
      </c>
      <c r="O45" s="43" t="n"/>
      <c r="P45" s="43">
        <f>AVERAGE(C45:N45)</f>
        <v/>
      </c>
    </row>
    <row r="46">
      <c r="B46" s="160" t="n">
        <v>41670</v>
      </c>
      <c r="C46" s="42">
        <f>AIRBUS!D44</f>
        <v/>
      </c>
      <c r="D46" s="42">
        <f>BNP!D44</f>
        <v/>
      </c>
      <c r="E46" s="42">
        <f>CAPGEMINI!D44</f>
        <v/>
      </c>
      <c r="F46" s="42">
        <f>DANONE!D44</f>
        <v/>
      </c>
      <c r="G46" s="42">
        <f>ENGIE!D44</f>
        <v/>
      </c>
      <c r="H46" s="42">
        <f>'HERMES INTL'!D44</f>
        <v/>
      </c>
      <c r="I46" s="42">
        <f>'PERNOD RICARD'!D44</f>
        <v/>
      </c>
      <c r="J46" s="42">
        <f>RENAULT!D44</f>
        <v/>
      </c>
      <c r="K46" s="42">
        <f>SANOFI!D44</f>
        <v/>
      </c>
      <c r="L46" s="42">
        <f>'SCHNEIDER ELECTRIC'!D44</f>
        <v/>
      </c>
      <c r="M46" s="42">
        <f>'TOTAL ENERGIES'!D44</f>
        <v/>
      </c>
      <c r="N46" s="42">
        <f>VINCI!D44</f>
        <v/>
      </c>
      <c r="O46" s="43" t="n"/>
      <c r="P46" s="43">
        <f>AVERAGE(C46:N46)</f>
        <v/>
      </c>
    </row>
    <row r="47">
      <c r="B47" s="160" t="n">
        <v>41698</v>
      </c>
      <c r="C47" s="42">
        <f>AIRBUS!D45</f>
        <v/>
      </c>
      <c r="D47" s="42">
        <f>BNP!D45</f>
        <v/>
      </c>
      <c r="E47" s="42">
        <f>CAPGEMINI!D45</f>
        <v/>
      </c>
      <c r="F47" s="42">
        <f>DANONE!D45</f>
        <v/>
      </c>
      <c r="G47" s="42">
        <f>ENGIE!D45</f>
        <v/>
      </c>
      <c r="H47" s="42">
        <f>'HERMES INTL'!D45</f>
        <v/>
      </c>
      <c r="I47" s="42">
        <f>'PERNOD RICARD'!D45</f>
        <v/>
      </c>
      <c r="J47" s="42">
        <f>RENAULT!D45</f>
        <v/>
      </c>
      <c r="K47" s="42">
        <f>SANOFI!D45</f>
        <v/>
      </c>
      <c r="L47" s="42">
        <f>'SCHNEIDER ELECTRIC'!D45</f>
        <v/>
      </c>
      <c r="M47" s="42">
        <f>'TOTAL ENERGIES'!D45</f>
        <v/>
      </c>
      <c r="N47" s="42">
        <f>VINCI!D45</f>
        <v/>
      </c>
      <c r="O47" s="43" t="n"/>
      <c r="P47" s="43">
        <f>AVERAGE(C47:N47)</f>
        <v/>
      </c>
    </row>
    <row r="48">
      <c r="B48" s="160" t="n">
        <v>41729</v>
      </c>
      <c r="C48" s="42">
        <f>AIRBUS!D46</f>
        <v/>
      </c>
      <c r="D48" s="42">
        <f>BNP!D46</f>
        <v/>
      </c>
      <c r="E48" s="42">
        <f>CAPGEMINI!D46</f>
        <v/>
      </c>
      <c r="F48" s="42">
        <f>DANONE!D46</f>
        <v/>
      </c>
      <c r="G48" s="42">
        <f>ENGIE!D46</f>
        <v/>
      </c>
      <c r="H48" s="42">
        <f>'HERMES INTL'!D46</f>
        <v/>
      </c>
      <c r="I48" s="42">
        <f>'PERNOD RICARD'!D46</f>
        <v/>
      </c>
      <c r="J48" s="42">
        <f>RENAULT!D46</f>
        <v/>
      </c>
      <c r="K48" s="42">
        <f>SANOFI!D46</f>
        <v/>
      </c>
      <c r="L48" s="42">
        <f>'SCHNEIDER ELECTRIC'!D46</f>
        <v/>
      </c>
      <c r="M48" s="42">
        <f>'TOTAL ENERGIES'!D46</f>
        <v/>
      </c>
      <c r="N48" s="42">
        <f>VINCI!D46</f>
        <v/>
      </c>
      <c r="O48" s="43" t="n"/>
      <c r="P48" s="43">
        <f>AVERAGE(C48:N48)</f>
        <v/>
      </c>
    </row>
    <row r="49">
      <c r="B49" s="160" t="n">
        <v>41759</v>
      </c>
      <c r="C49" s="42">
        <f>AIRBUS!D47</f>
        <v/>
      </c>
      <c r="D49" s="42">
        <f>BNP!D47</f>
        <v/>
      </c>
      <c r="E49" s="42">
        <f>CAPGEMINI!D47</f>
        <v/>
      </c>
      <c r="F49" s="42">
        <f>DANONE!D47</f>
        <v/>
      </c>
      <c r="G49" s="42">
        <f>ENGIE!D47</f>
        <v/>
      </c>
      <c r="H49" s="42">
        <f>'HERMES INTL'!D47</f>
        <v/>
      </c>
      <c r="I49" s="42">
        <f>'PERNOD RICARD'!D47</f>
        <v/>
      </c>
      <c r="J49" s="42">
        <f>RENAULT!D47</f>
        <v/>
      </c>
      <c r="K49" s="42">
        <f>SANOFI!D47</f>
        <v/>
      </c>
      <c r="L49" s="42">
        <f>'SCHNEIDER ELECTRIC'!D47</f>
        <v/>
      </c>
      <c r="M49" s="42">
        <f>'TOTAL ENERGIES'!D47</f>
        <v/>
      </c>
      <c r="N49" s="42">
        <f>VINCI!D47</f>
        <v/>
      </c>
      <c r="O49" s="43" t="n"/>
      <c r="P49" s="43">
        <f>AVERAGE(C49:N49)</f>
        <v/>
      </c>
    </row>
    <row r="50">
      <c r="B50" s="160" t="n">
        <v>41790</v>
      </c>
      <c r="C50" s="42">
        <f>AIRBUS!D48</f>
        <v/>
      </c>
      <c r="D50" s="42">
        <f>BNP!D48</f>
        <v/>
      </c>
      <c r="E50" s="42">
        <f>CAPGEMINI!D48</f>
        <v/>
      </c>
      <c r="F50" s="42">
        <f>DANONE!D48</f>
        <v/>
      </c>
      <c r="G50" s="42">
        <f>ENGIE!D48</f>
        <v/>
      </c>
      <c r="H50" s="42">
        <f>'HERMES INTL'!D48</f>
        <v/>
      </c>
      <c r="I50" s="42">
        <f>'PERNOD RICARD'!D48</f>
        <v/>
      </c>
      <c r="J50" s="42">
        <f>RENAULT!D48</f>
        <v/>
      </c>
      <c r="K50" s="42">
        <f>SANOFI!D48</f>
        <v/>
      </c>
      <c r="L50" s="42">
        <f>'SCHNEIDER ELECTRIC'!D48</f>
        <v/>
      </c>
      <c r="M50" s="42">
        <f>'TOTAL ENERGIES'!D48</f>
        <v/>
      </c>
      <c r="N50" s="42">
        <f>VINCI!D48</f>
        <v/>
      </c>
      <c r="O50" s="43" t="n"/>
      <c r="P50" s="43">
        <f>AVERAGE(C50:N50)</f>
        <v/>
      </c>
    </row>
    <row r="51">
      <c r="B51" s="160" t="n">
        <v>41820</v>
      </c>
      <c r="C51" s="42">
        <f>AIRBUS!D49</f>
        <v/>
      </c>
      <c r="D51" s="42">
        <f>BNP!D49</f>
        <v/>
      </c>
      <c r="E51" s="42">
        <f>CAPGEMINI!D49</f>
        <v/>
      </c>
      <c r="F51" s="42">
        <f>DANONE!D49</f>
        <v/>
      </c>
      <c r="G51" s="42">
        <f>ENGIE!D49</f>
        <v/>
      </c>
      <c r="H51" s="42">
        <f>'HERMES INTL'!D49</f>
        <v/>
      </c>
      <c r="I51" s="42">
        <f>'PERNOD RICARD'!D49</f>
        <v/>
      </c>
      <c r="J51" s="42">
        <f>RENAULT!D49</f>
        <v/>
      </c>
      <c r="K51" s="42">
        <f>SANOFI!D49</f>
        <v/>
      </c>
      <c r="L51" s="42">
        <f>'SCHNEIDER ELECTRIC'!D49</f>
        <v/>
      </c>
      <c r="M51" s="42">
        <f>'TOTAL ENERGIES'!D49</f>
        <v/>
      </c>
      <c r="N51" s="42">
        <f>VINCI!D49</f>
        <v/>
      </c>
      <c r="O51" s="43" t="n"/>
      <c r="P51" s="43">
        <f>AVERAGE(C51:N51)</f>
        <v/>
      </c>
    </row>
    <row r="52">
      <c r="B52" s="160" t="n">
        <v>41851</v>
      </c>
      <c r="C52" s="42">
        <f>AIRBUS!D50</f>
        <v/>
      </c>
      <c r="D52" s="42">
        <f>BNP!D50</f>
        <v/>
      </c>
      <c r="E52" s="42">
        <f>CAPGEMINI!D50</f>
        <v/>
      </c>
      <c r="F52" s="42">
        <f>DANONE!D50</f>
        <v/>
      </c>
      <c r="G52" s="42">
        <f>ENGIE!D50</f>
        <v/>
      </c>
      <c r="H52" s="42">
        <f>'HERMES INTL'!D50</f>
        <v/>
      </c>
      <c r="I52" s="42">
        <f>'PERNOD RICARD'!D50</f>
        <v/>
      </c>
      <c r="J52" s="42">
        <f>RENAULT!D50</f>
        <v/>
      </c>
      <c r="K52" s="42">
        <f>SANOFI!D50</f>
        <v/>
      </c>
      <c r="L52" s="42">
        <f>'SCHNEIDER ELECTRIC'!D50</f>
        <v/>
      </c>
      <c r="M52" s="42">
        <f>'TOTAL ENERGIES'!D50</f>
        <v/>
      </c>
      <c r="N52" s="42">
        <f>VINCI!D50</f>
        <v/>
      </c>
      <c r="O52" s="43" t="n"/>
      <c r="P52" s="43">
        <f>AVERAGE(C52:N52)</f>
        <v/>
      </c>
    </row>
    <row r="53">
      <c r="B53" s="160" t="n">
        <v>41882</v>
      </c>
      <c r="C53" s="42">
        <f>AIRBUS!D51</f>
        <v/>
      </c>
      <c r="D53" s="42">
        <f>BNP!D51</f>
        <v/>
      </c>
      <c r="E53" s="42">
        <f>CAPGEMINI!D51</f>
        <v/>
      </c>
      <c r="F53" s="42">
        <f>DANONE!D51</f>
        <v/>
      </c>
      <c r="G53" s="42">
        <f>ENGIE!D51</f>
        <v/>
      </c>
      <c r="H53" s="42">
        <f>'HERMES INTL'!D51</f>
        <v/>
      </c>
      <c r="I53" s="42">
        <f>'PERNOD RICARD'!D51</f>
        <v/>
      </c>
      <c r="J53" s="42">
        <f>RENAULT!D51</f>
        <v/>
      </c>
      <c r="K53" s="42">
        <f>SANOFI!D51</f>
        <v/>
      </c>
      <c r="L53" s="42">
        <f>'SCHNEIDER ELECTRIC'!D51</f>
        <v/>
      </c>
      <c r="M53" s="42">
        <f>'TOTAL ENERGIES'!D51</f>
        <v/>
      </c>
      <c r="N53" s="42">
        <f>VINCI!D51</f>
        <v/>
      </c>
      <c r="O53" s="43" t="n"/>
      <c r="P53" s="43">
        <f>AVERAGE(C53:N53)</f>
        <v/>
      </c>
    </row>
    <row r="54">
      <c r="B54" s="160" t="n">
        <v>41912</v>
      </c>
      <c r="C54" s="42">
        <f>AIRBUS!D52</f>
        <v/>
      </c>
      <c r="D54" s="42">
        <f>BNP!D52</f>
        <v/>
      </c>
      <c r="E54" s="42">
        <f>CAPGEMINI!D52</f>
        <v/>
      </c>
      <c r="F54" s="42">
        <f>DANONE!D52</f>
        <v/>
      </c>
      <c r="G54" s="42">
        <f>ENGIE!D52</f>
        <v/>
      </c>
      <c r="H54" s="42">
        <f>'HERMES INTL'!D52</f>
        <v/>
      </c>
      <c r="I54" s="42">
        <f>'PERNOD RICARD'!D52</f>
        <v/>
      </c>
      <c r="J54" s="42">
        <f>RENAULT!D52</f>
        <v/>
      </c>
      <c r="K54" s="42">
        <f>SANOFI!D52</f>
        <v/>
      </c>
      <c r="L54" s="42">
        <f>'SCHNEIDER ELECTRIC'!D52</f>
        <v/>
      </c>
      <c r="M54" s="42">
        <f>'TOTAL ENERGIES'!D52</f>
        <v/>
      </c>
      <c r="N54" s="42">
        <f>VINCI!D52</f>
        <v/>
      </c>
      <c r="O54" s="43" t="n"/>
      <c r="P54" s="43">
        <f>AVERAGE(C54:N54)</f>
        <v/>
      </c>
    </row>
    <row r="55">
      <c r="B55" s="160" t="n">
        <v>41943</v>
      </c>
      <c r="C55" s="42">
        <f>AIRBUS!D53</f>
        <v/>
      </c>
      <c r="D55" s="42">
        <f>BNP!D53</f>
        <v/>
      </c>
      <c r="E55" s="42">
        <f>CAPGEMINI!D53</f>
        <v/>
      </c>
      <c r="F55" s="42">
        <f>DANONE!D53</f>
        <v/>
      </c>
      <c r="G55" s="42">
        <f>ENGIE!D53</f>
        <v/>
      </c>
      <c r="H55" s="42">
        <f>'HERMES INTL'!D53</f>
        <v/>
      </c>
      <c r="I55" s="42">
        <f>'PERNOD RICARD'!D53</f>
        <v/>
      </c>
      <c r="J55" s="42">
        <f>RENAULT!D53</f>
        <v/>
      </c>
      <c r="K55" s="42">
        <f>SANOFI!D53</f>
        <v/>
      </c>
      <c r="L55" s="42">
        <f>'SCHNEIDER ELECTRIC'!D53</f>
        <v/>
      </c>
      <c r="M55" s="42">
        <f>'TOTAL ENERGIES'!D53</f>
        <v/>
      </c>
      <c r="N55" s="42">
        <f>VINCI!D53</f>
        <v/>
      </c>
      <c r="O55" s="43" t="n"/>
      <c r="P55" s="43">
        <f>AVERAGE(C55:N55)</f>
        <v/>
      </c>
    </row>
    <row r="56">
      <c r="B56" s="160" t="n">
        <v>41973</v>
      </c>
      <c r="C56" s="42">
        <f>AIRBUS!D54</f>
        <v/>
      </c>
      <c r="D56" s="42">
        <f>BNP!D54</f>
        <v/>
      </c>
      <c r="E56" s="42">
        <f>CAPGEMINI!D54</f>
        <v/>
      </c>
      <c r="F56" s="42">
        <f>DANONE!D54</f>
        <v/>
      </c>
      <c r="G56" s="42">
        <f>ENGIE!D54</f>
        <v/>
      </c>
      <c r="H56" s="42">
        <f>'HERMES INTL'!D54</f>
        <v/>
      </c>
      <c r="I56" s="42">
        <f>'PERNOD RICARD'!D54</f>
        <v/>
      </c>
      <c r="J56" s="42">
        <f>RENAULT!D54</f>
        <v/>
      </c>
      <c r="K56" s="42">
        <f>SANOFI!D54</f>
        <v/>
      </c>
      <c r="L56" s="42">
        <f>'SCHNEIDER ELECTRIC'!D54</f>
        <v/>
      </c>
      <c r="M56" s="42">
        <f>'TOTAL ENERGIES'!D54</f>
        <v/>
      </c>
      <c r="N56" s="42">
        <f>VINCI!D54</f>
        <v/>
      </c>
      <c r="O56" s="43" t="n"/>
      <c r="P56" s="43">
        <f>AVERAGE(C56:N56)</f>
        <v/>
      </c>
    </row>
    <row r="57">
      <c r="B57" s="160" t="n">
        <v>42004</v>
      </c>
      <c r="C57" s="42">
        <f>AIRBUS!D55</f>
        <v/>
      </c>
      <c r="D57" s="42">
        <f>BNP!D55</f>
        <v/>
      </c>
      <c r="E57" s="42">
        <f>CAPGEMINI!D55</f>
        <v/>
      </c>
      <c r="F57" s="42">
        <f>DANONE!D55</f>
        <v/>
      </c>
      <c r="G57" s="42">
        <f>ENGIE!D55</f>
        <v/>
      </c>
      <c r="H57" s="42">
        <f>'HERMES INTL'!D55</f>
        <v/>
      </c>
      <c r="I57" s="42">
        <f>'PERNOD RICARD'!D55</f>
        <v/>
      </c>
      <c r="J57" s="42">
        <f>RENAULT!D55</f>
        <v/>
      </c>
      <c r="K57" s="42">
        <f>SANOFI!D55</f>
        <v/>
      </c>
      <c r="L57" s="42">
        <f>'SCHNEIDER ELECTRIC'!D55</f>
        <v/>
      </c>
      <c r="M57" s="42">
        <f>'TOTAL ENERGIES'!D55</f>
        <v/>
      </c>
      <c r="N57" s="42">
        <f>VINCI!D55</f>
        <v/>
      </c>
      <c r="O57" s="43" t="n"/>
      <c r="P57" s="43">
        <f>AVERAGE(C57:N57)</f>
        <v/>
      </c>
    </row>
    <row r="58">
      <c r="B58" s="160" t="n">
        <v>42035</v>
      </c>
      <c r="C58" s="42">
        <f>AIRBUS!D56</f>
        <v/>
      </c>
      <c r="D58" s="42">
        <f>BNP!D56</f>
        <v/>
      </c>
      <c r="E58" s="42">
        <f>CAPGEMINI!D56</f>
        <v/>
      </c>
      <c r="F58" s="42">
        <f>DANONE!D56</f>
        <v/>
      </c>
      <c r="G58" s="42">
        <f>ENGIE!D56</f>
        <v/>
      </c>
      <c r="H58" s="42">
        <f>'HERMES INTL'!D56</f>
        <v/>
      </c>
      <c r="I58" s="42">
        <f>'PERNOD RICARD'!D56</f>
        <v/>
      </c>
      <c r="J58" s="42">
        <f>RENAULT!D56</f>
        <v/>
      </c>
      <c r="K58" s="42">
        <f>SANOFI!D56</f>
        <v/>
      </c>
      <c r="L58" s="42">
        <f>'SCHNEIDER ELECTRIC'!D56</f>
        <v/>
      </c>
      <c r="M58" s="42">
        <f>'TOTAL ENERGIES'!D56</f>
        <v/>
      </c>
      <c r="N58" s="42">
        <f>VINCI!D56</f>
        <v/>
      </c>
      <c r="O58" s="43" t="n"/>
      <c r="P58" s="43">
        <f>AVERAGE(C58:N58)</f>
        <v/>
      </c>
    </row>
    <row r="59">
      <c r="B59" s="160" t="n">
        <v>42063</v>
      </c>
      <c r="C59" s="42">
        <f>AIRBUS!D57</f>
        <v/>
      </c>
      <c r="D59" s="42">
        <f>BNP!D57</f>
        <v/>
      </c>
      <c r="E59" s="42">
        <f>CAPGEMINI!D57</f>
        <v/>
      </c>
      <c r="F59" s="42">
        <f>DANONE!D57</f>
        <v/>
      </c>
      <c r="G59" s="42">
        <f>ENGIE!D57</f>
        <v/>
      </c>
      <c r="H59" s="42">
        <f>'HERMES INTL'!D57</f>
        <v/>
      </c>
      <c r="I59" s="42">
        <f>'PERNOD RICARD'!D57</f>
        <v/>
      </c>
      <c r="J59" s="42">
        <f>RENAULT!D57</f>
        <v/>
      </c>
      <c r="K59" s="42">
        <f>SANOFI!D57</f>
        <v/>
      </c>
      <c r="L59" s="42">
        <f>'SCHNEIDER ELECTRIC'!D57</f>
        <v/>
      </c>
      <c r="M59" s="42">
        <f>'TOTAL ENERGIES'!D57</f>
        <v/>
      </c>
      <c r="N59" s="42">
        <f>VINCI!D57</f>
        <v/>
      </c>
      <c r="O59" s="43" t="n"/>
      <c r="P59" s="43">
        <f>AVERAGE(C59:N59)</f>
        <v/>
      </c>
    </row>
    <row r="60">
      <c r="B60" s="160" t="n">
        <v>42094</v>
      </c>
      <c r="C60" s="42">
        <f>AIRBUS!D58</f>
        <v/>
      </c>
      <c r="D60" s="42">
        <f>BNP!D58</f>
        <v/>
      </c>
      <c r="E60" s="42">
        <f>CAPGEMINI!D58</f>
        <v/>
      </c>
      <c r="F60" s="42">
        <f>DANONE!D58</f>
        <v/>
      </c>
      <c r="G60" s="42">
        <f>ENGIE!D58</f>
        <v/>
      </c>
      <c r="H60" s="42">
        <f>'HERMES INTL'!D58</f>
        <v/>
      </c>
      <c r="I60" s="42">
        <f>'PERNOD RICARD'!D58</f>
        <v/>
      </c>
      <c r="J60" s="42">
        <f>RENAULT!D58</f>
        <v/>
      </c>
      <c r="K60" s="42">
        <f>SANOFI!D58</f>
        <v/>
      </c>
      <c r="L60" s="42">
        <f>'SCHNEIDER ELECTRIC'!D58</f>
        <v/>
      </c>
      <c r="M60" s="42">
        <f>'TOTAL ENERGIES'!D58</f>
        <v/>
      </c>
      <c r="N60" s="42">
        <f>VINCI!D58</f>
        <v/>
      </c>
      <c r="O60" s="43" t="n"/>
      <c r="P60" s="43">
        <f>AVERAGE(C60:N60)</f>
        <v/>
      </c>
    </row>
    <row r="61">
      <c r="B61" s="160" t="n">
        <v>42124</v>
      </c>
      <c r="C61" s="42">
        <f>AIRBUS!D59</f>
        <v/>
      </c>
      <c r="D61" s="42">
        <f>BNP!D59</f>
        <v/>
      </c>
      <c r="E61" s="42">
        <f>CAPGEMINI!D59</f>
        <v/>
      </c>
      <c r="F61" s="42">
        <f>DANONE!D59</f>
        <v/>
      </c>
      <c r="G61" s="42">
        <f>ENGIE!D59</f>
        <v/>
      </c>
      <c r="H61" s="42">
        <f>'HERMES INTL'!D59</f>
        <v/>
      </c>
      <c r="I61" s="42">
        <f>'PERNOD RICARD'!D59</f>
        <v/>
      </c>
      <c r="J61" s="42">
        <f>RENAULT!D59</f>
        <v/>
      </c>
      <c r="K61" s="42">
        <f>SANOFI!D59</f>
        <v/>
      </c>
      <c r="L61" s="42">
        <f>'SCHNEIDER ELECTRIC'!D59</f>
        <v/>
      </c>
      <c r="M61" s="42">
        <f>'TOTAL ENERGIES'!D59</f>
        <v/>
      </c>
      <c r="N61" s="42">
        <f>VINCI!D59</f>
        <v/>
      </c>
      <c r="O61" s="43" t="n"/>
      <c r="P61" s="43">
        <f>AVERAGE(C61:N61)</f>
        <v/>
      </c>
    </row>
    <row r="62">
      <c r="B62" s="160" t="n">
        <v>42155</v>
      </c>
      <c r="C62" s="42">
        <f>AIRBUS!D60</f>
        <v/>
      </c>
      <c r="D62" s="42">
        <f>BNP!D60</f>
        <v/>
      </c>
      <c r="E62" s="42">
        <f>CAPGEMINI!D60</f>
        <v/>
      </c>
      <c r="F62" s="42">
        <f>DANONE!D60</f>
        <v/>
      </c>
      <c r="G62" s="42">
        <f>ENGIE!D60</f>
        <v/>
      </c>
      <c r="H62" s="42">
        <f>'HERMES INTL'!D60</f>
        <v/>
      </c>
      <c r="I62" s="42">
        <f>'PERNOD RICARD'!D60</f>
        <v/>
      </c>
      <c r="J62" s="42">
        <f>RENAULT!D60</f>
        <v/>
      </c>
      <c r="K62" s="42">
        <f>SANOFI!D60</f>
        <v/>
      </c>
      <c r="L62" s="42">
        <f>'SCHNEIDER ELECTRIC'!D60</f>
        <v/>
      </c>
      <c r="M62" s="42">
        <f>'TOTAL ENERGIES'!D60</f>
        <v/>
      </c>
      <c r="N62" s="42">
        <f>VINCI!D60</f>
        <v/>
      </c>
      <c r="O62" s="43" t="n"/>
      <c r="P62" s="43">
        <f>AVERAGE(C62:N62)</f>
        <v/>
      </c>
    </row>
    <row r="63">
      <c r="B63" s="160" t="n">
        <v>42185</v>
      </c>
      <c r="C63" s="42">
        <f>AIRBUS!D61</f>
        <v/>
      </c>
      <c r="D63" s="42">
        <f>BNP!D61</f>
        <v/>
      </c>
      <c r="E63" s="42">
        <f>CAPGEMINI!D61</f>
        <v/>
      </c>
      <c r="F63" s="42">
        <f>DANONE!D61</f>
        <v/>
      </c>
      <c r="G63" s="42">
        <f>ENGIE!D61</f>
        <v/>
      </c>
      <c r="H63" s="42">
        <f>'HERMES INTL'!D61</f>
        <v/>
      </c>
      <c r="I63" s="42">
        <f>'PERNOD RICARD'!D61</f>
        <v/>
      </c>
      <c r="J63" s="42">
        <f>RENAULT!D61</f>
        <v/>
      </c>
      <c r="K63" s="42">
        <f>SANOFI!D61</f>
        <v/>
      </c>
      <c r="L63" s="42">
        <f>'SCHNEIDER ELECTRIC'!D61</f>
        <v/>
      </c>
      <c r="M63" s="42">
        <f>'TOTAL ENERGIES'!D61</f>
        <v/>
      </c>
      <c r="N63" s="42">
        <f>VINCI!D61</f>
        <v/>
      </c>
      <c r="O63" s="43" t="n"/>
      <c r="P63" s="43">
        <f>AVERAGE(C63:N63)</f>
        <v/>
      </c>
    </row>
    <row r="64">
      <c r="B64" s="160" t="n">
        <v>42216</v>
      </c>
      <c r="C64" s="42">
        <f>AIRBUS!D62</f>
        <v/>
      </c>
      <c r="D64" s="42">
        <f>BNP!D62</f>
        <v/>
      </c>
      <c r="E64" s="42">
        <f>CAPGEMINI!D62</f>
        <v/>
      </c>
      <c r="F64" s="42">
        <f>DANONE!D62</f>
        <v/>
      </c>
      <c r="G64" s="42">
        <f>ENGIE!D62</f>
        <v/>
      </c>
      <c r="H64" s="42">
        <f>'HERMES INTL'!D62</f>
        <v/>
      </c>
      <c r="I64" s="42">
        <f>'PERNOD RICARD'!D62</f>
        <v/>
      </c>
      <c r="J64" s="42">
        <f>RENAULT!D62</f>
        <v/>
      </c>
      <c r="K64" s="42">
        <f>SANOFI!D62</f>
        <v/>
      </c>
      <c r="L64" s="42">
        <f>'SCHNEIDER ELECTRIC'!D62</f>
        <v/>
      </c>
      <c r="M64" s="42">
        <f>'TOTAL ENERGIES'!D62</f>
        <v/>
      </c>
      <c r="N64" s="42">
        <f>VINCI!D62</f>
        <v/>
      </c>
      <c r="O64" s="43" t="n"/>
      <c r="P64" s="43">
        <f>AVERAGE(C64:N64)</f>
        <v/>
      </c>
    </row>
    <row r="65">
      <c r="B65" s="160" t="n">
        <v>42247</v>
      </c>
      <c r="C65" s="42">
        <f>AIRBUS!D63</f>
        <v/>
      </c>
      <c r="D65" s="42">
        <f>BNP!D63</f>
        <v/>
      </c>
      <c r="E65" s="42">
        <f>CAPGEMINI!D63</f>
        <v/>
      </c>
      <c r="F65" s="42">
        <f>DANONE!D63</f>
        <v/>
      </c>
      <c r="G65" s="42">
        <f>ENGIE!D63</f>
        <v/>
      </c>
      <c r="H65" s="42">
        <f>'HERMES INTL'!D63</f>
        <v/>
      </c>
      <c r="I65" s="42">
        <f>'PERNOD RICARD'!D63</f>
        <v/>
      </c>
      <c r="J65" s="42">
        <f>RENAULT!D63</f>
        <v/>
      </c>
      <c r="K65" s="42">
        <f>SANOFI!D63</f>
        <v/>
      </c>
      <c r="L65" s="42">
        <f>'SCHNEIDER ELECTRIC'!D63</f>
        <v/>
      </c>
      <c r="M65" s="42">
        <f>'TOTAL ENERGIES'!D63</f>
        <v/>
      </c>
      <c r="N65" s="42">
        <f>VINCI!D63</f>
        <v/>
      </c>
      <c r="O65" s="43" t="n"/>
      <c r="P65" s="43">
        <f>AVERAGE(C65:N65)</f>
        <v/>
      </c>
    </row>
    <row r="66">
      <c r="B66" s="160" t="n">
        <v>42277</v>
      </c>
      <c r="C66" s="42">
        <f>AIRBUS!D64</f>
        <v/>
      </c>
      <c r="D66" s="42">
        <f>BNP!D64</f>
        <v/>
      </c>
      <c r="E66" s="42">
        <f>CAPGEMINI!D64</f>
        <v/>
      </c>
      <c r="F66" s="42">
        <f>DANONE!D64</f>
        <v/>
      </c>
      <c r="G66" s="42">
        <f>ENGIE!D64</f>
        <v/>
      </c>
      <c r="H66" s="42">
        <f>'HERMES INTL'!D64</f>
        <v/>
      </c>
      <c r="I66" s="42">
        <f>'PERNOD RICARD'!D64</f>
        <v/>
      </c>
      <c r="J66" s="42">
        <f>RENAULT!D64</f>
        <v/>
      </c>
      <c r="K66" s="42">
        <f>SANOFI!D64</f>
        <v/>
      </c>
      <c r="L66" s="42">
        <f>'SCHNEIDER ELECTRIC'!D64</f>
        <v/>
      </c>
      <c r="M66" s="42">
        <f>'TOTAL ENERGIES'!D64</f>
        <v/>
      </c>
      <c r="N66" s="42">
        <f>VINCI!D64</f>
        <v/>
      </c>
      <c r="O66" s="43" t="n"/>
      <c r="P66" s="43">
        <f>AVERAGE(C66:N66)</f>
        <v/>
      </c>
    </row>
    <row r="67">
      <c r="B67" s="160" t="n">
        <v>42308</v>
      </c>
      <c r="C67" s="42">
        <f>AIRBUS!D65</f>
        <v/>
      </c>
      <c r="D67" s="42">
        <f>BNP!D65</f>
        <v/>
      </c>
      <c r="E67" s="42">
        <f>CAPGEMINI!D65</f>
        <v/>
      </c>
      <c r="F67" s="42">
        <f>DANONE!D65</f>
        <v/>
      </c>
      <c r="G67" s="42">
        <f>ENGIE!D65</f>
        <v/>
      </c>
      <c r="H67" s="42">
        <f>'HERMES INTL'!D65</f>
        <v/>
      </c>
      <c r="I67" s="42">
        <f>'PERNOD RICARD'!D65</f>
        <v/>
      </c>
      <c r="J67" s="42">
        <f>RENAULT!D65</f>
        <v/>
      </c>
      <c r="K67" s="42">
        <f>SANOFI!D65</f>
        <v/>
      </c>
      <c r="L67" s="42">
        <f>'SCHNEIDER ELECTRIC'!D65</f>
        <v/>
      </c>
      <c r="M67" s="42">
        <f>'TOTAL ENERGIES'!D65</f>
        <v/>
      </c>
      <c r="N67" s="42">
        <f>VINCI!D65</f>
        <v/>
      </c>
      <c r="O67" s="43" t="n"/>
      <c r="P67" s="43">
        <f>AVERAGE(C67:N67)</f>
        <v/>
      </c>
    </row>
    <row r="68">
      <c r="B68" s="160" t="n">
        <v>42338</v>
      </c>
      <c r="C68" s="42">
        <f>AIRBUS!D66</f>
        <v/>
      </c>
      <c r="D68" s="42">
        <f>BNP!D66</f>
        <v/>
      </c>
      <c r="E68" s="42">
        <f>CAPGEMINI!D66</f>
        <v/>
      </c>
      <c r="F68" s="42">
        <f>DANONE!D66</f>
        <v/>
      </c>
      <c r="G68" s="42">
        <f>ENGIE!D66</f>
        <v/>
      </c>
      <c r="H68" s="42">
        <f>'HERMES INTL'!D66</f>
        <v/>
      </c>
      <c r="I68" s="42">
        <f>'PERNOD RICARD'!D66</f>
        <v/>
      </c>
      <c r="J68" s="42">
        <f>RENAULT!D66</f>
        <v/>
      </c>
      <c r="K68" s="42">
        <f>SANOFI!D66</f>
        <v/>
      </c>
      <c r="L68" s="42">
        <f>'SCHNEIDER ELECTRIC'!D66</f>
        <v/>
      </c>
      <c r="M68" s="42">
        <f>'TOTAL ENERGIES'!D66</f>
        <v/>
      </c>
      <c r="N68" s="42">
        <f>VINCI!D66</f>
        <v/>
      </c>
      <c r="O68" s="43" t="n"/>
      <c r="P68" s="43">
        <f>AVERAGE(C68:N68)</f>
        <v/>
      </c>
    </row>
    <row r="69">
      <c r="B69" s="160" t="n">
        <v>42369</v>
      </c>
      <c r="C69" s="42">
        <f>AIRBUS!D67</f>
        <v/>
      </c>
      <c r="D69" s="42">
        <f>BNP!D67</f>
        <v/>
      </c>
      <c r="E69" s="42">
        <f>CAPGEMINI!D67</f>
        <v/>
      </c>
      <c r="F69" s="42">
        <f>DANONE!D67</f>
        <v/>
      </c>
      <c r="G69" s="42">
        <f>ENGIE!D67</f>
        <v/>
      </c>
      <c r="H69" s="42">
        <f>'HERMES INTL'!D67</f>
        <v/>
      </c>
      <c r="I69" s="42">
        <f>'PERNOD RICARD'!D67</f>
        <v/>
      </c>
      <c r="J69" s="42">
        <f>RENAULT!D67</f>
        <v/>
      </c>
      <c r="K69" s="42">
        <f>SANOFI!D67</f>
        <v/>
      </c>
      <c r="L69" s="42">
        <f>'SCHNEIDER ELECTRIC'!D67</f>
        <v/>
      </c>
      <c r="M69" s="42">
        <f>'TOTAL ENERGIES'!D67</f>
        <v/>
      </c>
      <c r="N69" s="42">
        <f>VINCI!D67</f>
        <v/>
      </c>
      <c r="O69" s="43" t="n"/>
      <c r="P69" s="43">
        <f>AVERAGE(C69:N69)</f>
        <v/>
      </c>
    </row>
    <row r="70">
      <c r="B70" s="160" t="n">
        <v>42400</v>
      </c>
      <c r="C70" s="42">
        <f>AIRBUS!D68</f>
        <v/>
      </c>
      <c r="D70" s="42">
        <f>BNP!D68</f>
        <v/>
      </c>
      <c r="E70" s="42">
        <f>CAPGEMINI!D68</f>
        <v/>
      </c>
      <c r="F70" s="42">
        <f>DANONE!D68</f>
        <v/>
      </c>
      <c r="G70" s="42">
        <f>ENGIE!D68</f>
        <v/>
      </c>
      <c r="H70" s="42">
        <f>'HERMES INTL'!D68</f>
        <v/>
      </c>
      <c r="I70" s="42">
        <f>'PERNOD RICARD'!D68</f>
        <v/>
      </c>
      <c r="J70" s="42">
        <f>RENAULT!D68</f>
        <v/>
      </c>
      <c r="K70" s="42">
        <f>SANOFI!D68</f>
        <v/>
      </c>
      <c r="L70" s="42">
        <f>'SCHNEIDER ELECTRIC'!D68</f>
        <v/>
      </c>
      <c r="M70" s="42">
        <f>'TOTAL ENERGIES'!D68</f>
        <v/>
      </c>
      <c r="N70" s="42">
        <f>VINCI!D68</f>
        <v/>
      </c>
      <c r="O70" s="43" t="n"/>
      <c r="P70" s="43">
        <f>AVERAGE(C70:N70)</f>
        <v/>
      </c>
    </row>
    <row r="71">
      <c r="B71" s="160" t="n">
        <v>42429</v>
      </c>
      <c r="C71" s="42">
        <f>AIRBUS!D69</f>
        <v/>
      </c>
      <c r="D71" s="42">
        <f>BNP!D69</f>
        <v/>
      </c>
      <c r="E71" s="42">
        <f>CAPGEMINI!D69</f>
        <v/>
      </c>
      <c r="F71" s="42">
        <f>DANONE!D69</f>
        <v/>
      </c>
      <c r="G71" s="42">
        <f>ENGIE!D69</f>
        <v/>
      </c>
      <c r="H71" s="42">
        <f>'HERMES INTL'!D69</f>
        <v/>
      </c>
      <c r="I71" s="42">
        <f>'PERNOD RICARD'!D69</f>
        <v/>
      </c>
      <c r="J71" s="42">
        <f>RENAULT!D69</f>
        <v/>
      </c>
      <c r="K71" s="42">
        <f>SANOFI!D69</f>
        <v/>
      </c>
      <c r="L71" s="42">
        <f>'SCHNEIDER ELECTRIC'!D69</f>
        <v/>
      </c>
      <c r="M71" s="42">
        <f>'TOTAL ENERGIES'!D69</f>
        <v/>
      </c>
      <c r="N71" s="42">
        <f>VINCI!D69</f>
        <v/>
      </c>
      <c r="O71" s="43" t="n"/>
      <c r="P71" s="43">
        <f>AVERAGE(C71:N71)</f>
        <v/>
      </c>
    </row>
    <row r="72">
      <c r="B72" s="160" t="n">
        <v>42460</v>
      </c>
      <c r="C72" s="42">
        <f>AIRBUS!D70</f>
        <v/>
      </c>
      <c r="D72" s="42">
        <f>BNP!D70</f>
        <v/>
      </c>
      <c r="E72" s="42">
        <f>CAPGEMINI!D70</f>
        <v/>
      </c>
      <c r="F72" s="42">
        <f>DANONE!D70</f>
        <v/>
      </c>
      <c r="G72" s="42">
        <f>ENGIE!D70</f>
        <v/>
      </c>
      <c r="H72" s="42">
        <f>'HERMES INTL'!D70</f>
        <v/>
      </c>
      <c r="I72" s="42">
        <f>'PERNOD RICARD'!D70</f>
        <v/>
      </c>
      <c r="J72" s="42">
        <f>RENAULT!D70</f>
        <v/>
      </c>
      <c r="K72" s="42">
        <f>SANOFI!D70</f>
        <v/>
      </c>
      <c r="L72" s="42">
        <f>'SCHNEIDER ELECTRIC'!D70</f>
        <v/>
      </c>
      <c r="M72" s="42">
        <f>'TOTAL ENERGIES'!D70</f>
        <v/>
      </c>
      <c r="N72" s="42">
        <f>VINCI!D70</f>
        <v/>
      </c>
      <c r="O72" s="43" t="n"/>
      <c r="P72" s="43">
        <f>AVERAGE(C72:N72)</f>
        <v/>
      </c>
    </row>
    <row r="73">
      <c r="B73" s="160" t="n">
        <v>42490</v>
      </c>
      <c r="C73" s="42">
        <f>AIRBUS!D71</f>
        <v/>
      </c>
      <c r="D73" s="42">
        <f>BNP!D71</f>
        <v/>
      </c>
      <c r="E73" s="42">
        <f>CAPGEMINI!D71</f>
        <v/>
      </c>
      <c r="F73" s="42">
        <f>DANONE!D71</f>
        <v/>
      </c>
      <c r="G73" s="42">
        <f>ENGIE!D71</f>
        <v/>
      </c>
      <c r="H73" s="42">
        <f>'HERMES INTL'!D71</f>
        <v/>
      </c>
      <c r="I73" s="42">
        <f>'PERNOD RICARD'!D71</f>
        <v/>
      </c>
      <c r="J73" s="42">
        <f>RENAULT!D71</f>
        <v/>
      </c>
      <c r="K73" s="42">
        <f>SANOFI!D71</f>
        <v/>
      </c>
      <c r="L73" s="42">
        <f>'SCHNEIDER ELECTRIC'!D71</f>
        <v/>
      </c>
      <c r="M73" s="42">
        <f>'TOTAL ENERGIES'!D71</f>
        <v/>
      </c>
      <c r="N73" s="42">
        <f>VINCI!D71</f>
        <v/>
      </c>
      <c r="O73" s="43" t="n"/>
      <c r="P73" s="43">
        <f>AVERAGE(C73:N73)</f>
        <v/>
      </c>
    </row>
    <row r="74">
      <c r="B74" s="160" t="n">
        <v>42521</v>
      </c>
      <c r="C74" s="42">
        <f>AIRBUS!D72</f>
        <v/>
      </c>
      <c r="D74" s="42">
        <f>BNP!D72</f>
        <v/>
      </c>
      <c r="E74" s="42">
        <f>CAPGEMINI!D72</f>
        <v/>
      </c>
      <c r="F74" s="42">
        <f>DANONE!D72</f>
        <v/>
      </c>
      <c r="G74" s="42">
        <f>ENGIE!D72</f>
        <v/>
      </c>
      <c r="H74" s="42">
        <f>'HERMES INTL'!D72</f>
        <v/>
      </c>
      <c r="I74" s="42">
        <f>'PERNOD RICARD'!D72</f>
        <v/>
      </c>
      <c r="J74" s="42">
        <f>RENAULT!D72</f>
        <v/>
      </c>
      <c r="K74" s="42">
        <f>SANOFI!D72</f>
        <v/>
      </c>
      <c r="L74" s="42">
        <f>'SCHNEIDER ELECTRIC'!D72</f>
        <v/>
      </c>
      <c r="M74" s="42">
        <f>'TOTAL ENERGIES'!D72</f>
        <v/>
      </c>
      <c r="N74" s="42">
        <f>VINCI!D72</f>
        <v/>
      </c>
      <c r="O74" s="43" t="n"/>
      <c r="P74" s="43">
        <f>AVERAGE(C74:N74)</f>
        <v/>
      </c>
    </row>
    <row r="75">
      <c r="B75" s="160" t="n">
        <v>42551</v>
      </c>
      <c r="C75" s="42">
        <f>AIRBUS!D73</f>
        <v/>
      </c>
      <c r="D75" s="42">
        <f>BNP!D73</f>
        <v/>
      </c>
      <c r="E75" s="42">
        <f>CAPGEMINI!D73</f>
        <v/>
      </c>
      <c r="F75" s="42">
        <f>DANONE!D73</f>
        <v/>
      </c>
      <c r="G75" s="42">
        <f>ENGIE!D73</f>
        <v/>
      </c>
      <c r="H75" s="42">
        <f>'HERMES INTL'!D73</f>
        <v/>
      </c>
      <c r="I75" s="42">
        <f>'PERNOD RICARD'!D73</f>
        <v/>
      </c>
      <c r="J75" s="42">
        <f>RENAULT!D73</f>
        <v/>
      </c>
      <c r="K75" s="42">
        <f>SANOFI!D73</f>
        <v/>
      </c>
      <c r="L75" s="42">
        <f>'SCHNEIDER ELECTRIC'!D73</f>
        <v/>
      </c>
      <c r="M75" s="42">
        <f>'TOTAL ENERGIES'!D73</f>
        <v/>
      </c>
      <c r="N75" s="42">
        <f>VINCI!D73</f>
        <v/>
      </c>
      <c r="O75" s="43" t="n"/>
      <c r="P75" s="43">
        <f>AVERAGE(C75:N75)</f>
        <v/>
      </c>
    </row>
    <row r="76">
      <c r="B76" s="160" t="n">
        <v>42582</v>
      </c>
      <c r="C76" s="42">
        <f>AIRBUS!D74</f>
        <v/>
      </c>
      <c r="D76" s="42">
        <f>BNP!D74</f>
        <v/>
      </c>
      <c r="E76" s="42">
        <f>CAPGEMINI!D74</f>
        <v/>
      </c>
      <c r="F76" s="42">
        <f>DANONE!D74</f>
        <v/>
      </c>
      <c r="G76" s="42">
        <f>ENGIE!D74</f>
        <v/>
      </c>
      <c r="H76" s="42">
        <f>'HERMES INTL'!D74</f>
        <v/>
      </c>
      <c r="I76" s="42">
        <f>'PERNOD RICARD'!D74</f>
        <v/>
      </c>
      <c r="J76" s="42">
        <f>RENAULT!D74</f>
        <v/>
      </c>
      <c r="K76" s="42">
        <f>SANOFI!D74</f>
        <v/>
      </c>
      <c r="L76" s="42">
        <f>'SCHNEIDER ELECTRIC'!D74</f>
        <v/>
      </c>
      <c r="M76" s="42">
        <f>'TOTAL ENERGIES'!D74</f>
        <v/>
      </c>
      <c r="N76" s="42">
        <f>VINCI!D74</f>
        <v/>
      </c>
      <c r="O76" s="43" t="n"/>
      <c r="P76" s="43">
        <f>AVERAGE(C76:N76)</f>
        <v/>
      </c>
    </row>
    <row r="77">
      <c r="B77" s="160" t="n">
        <v>42613</v>
      </c>
      <c r="C77" s="42">
        <f>AIRBUS!D75</f>
        <v/>
      </c>
      <c r="D77" s="42">
        <f>BNP!D75</f>
        <v/>
      </c>
      <c r="E77" s="42">
        <f>CAPGEMINI!D75</f>
        <v/>
      </c>
      <c r="F77" s="42">
        <f>DANONE!D75</f>
        <v/>
      </c>
      <c r="G77" s="42">
        <f>ENGIE!D75</f>
        <v/>
      </c>
      <c r="H77" s="42">
        <f>'HERMES INTL'!D75</f>
        <v/>
      </c>
      <c r="I77" s="42">
        <f>'PERNOD RICARD'!D75</f>
        <v/>
      </c>
      <c r="J77" s="42">
        <f>RENAULT!D75</f>
        <v/>
      </c>
      <c r="K77" s="42">
        <f>SANOFI!D75</f>
        <v/>
      </c>
      <c r="L77" s="42">
        <f>'SCHNEIDER ELECTRIC'!D75</f>
        <v/>
      </c>
      <c r="M77" s="42">
        <f>'TOTAL ENERGIES'!D75</f>
        <v/>
      </c>
      <c r="N77" s="42">
        <f>VINCI!D75</f>
        <v/>
      </c>
      <c r="O77" s="43" t="n"/>
      <c r="P77" s="43">
        <f>AVERAGE(C77:N77)</f>
        <v/>
      </c>
    </row>
    <row r="78">
      <c r="B78" s="160" t="n">
        <v>42643</v>
      </c>
      <c r="C78" s="42">
        <f>AIRBUS!D76</f>
        <v/>
      </c>
      <c r="D78" s="42">
        <f>BNP!D76</f>
        <v/>
      </c>
      <c r="E78" s="42">
        <f>CAPGEMINI!D76</f>
        <v/>
      </c>
      <c r="F78" s="42">
        <f>DANONE!D76</f>
        <v/>
      </c>
      <c r="G78" s="42">
        <f>ENGIE!D76</f>
        <v/>
      </c>
      <c r="H78" s="42">
        <f>'HERMES INTL'!D76</f>
        <v/>
      </c>
      <c r="I78" s="42">
        <f>'PERNOD RICARD'!D76</f>
        <v/>
      </c>
      <c r="J78" s="42">
        <f>RENAULT!D76</f>
        <v/>
      </c>
      <c r="K78" s="42">
        <f>SANOFI!D76</f>
        <v/>
      </c>
      <c r="L78" s="42">
        <f>'SCHNEIDER ELECTRIC'!D76</f>
        <v/>
      </c>
      <c r="M78" s="42">
        <f>'TOTAL ENERGIES'!D76</f>
        <v/>
      </c>
      <c r="N78" s="42">
        <f>VINCI!D76</f>
        <v/>
      </c>
      <c r="O78" s="43" t="n"/>
      <c r="P78" s="43">
        <f>AVERAGE(C78:N78)</f>
        <v/>
      </c>
    </row>
    <row r="79">
      <c r="B79" s="160" t="n">
        <v>42674</v>
      </c>
      <c r="C79" s="42">
        <f>AIRBUS!D77</f>
        <v/>
      </c>
      <c r="D79" s="42">
        <f>BNP!D77</f>
        <v/>
      </c>
      <c r="E79" s="42">
        <f>CAPGEMINI!D77</f>
        <v/>
      </c>
      <c r="F79" s="42">
        <f>DANONE!D77</f>
        <v/>
      </c>
      <c r="G79" s="42">
        <f>ENGIE!D77</f>
        <v/>
      </c>
      <c r="H79" s="42">
        <f>'HERMES INTL'!D77</f>
        <v/>
      </c>
      <c r="I79" s="42">
        <f>'PERNOD RICARD'!D77</f>
        <v/>
      </c>
      <c r="J79" s="42">
        <f>RENAULT!D77</f>
        <v/>
      </c>
      <c r="K79" s="42">
        <f>SANOFI!D77</f>
        <v/>
      </c>
      <c r="L79" s="42">
        <f>'SCHNEIDER ELECTRIC'!D77</f>
        <v/>
      </c>
      <c r="M79" s="42">
        <f>'TOTAL ENERGIES'!D77</f>
        <v/>
      </c>
      <c r="N79" s="42">
        <f>VINCI!D77</f>
        <v/>
      </c>
      <c r="O79" s="43" t="n"/>
      <c r="P79" s="43">
        <f>AVERAGE(C79:N79)</f>
        <v/>
      </c>
    </row>
    <row r="80">
      <c r="B80" s="160" t="n">
        <v>42704</v>
      </c>
      <c r="C80" s="42">
        <f>AIRBUS!D78</f>
        <v/>
      </c>
      <c r="D80" s="42">
        <f>BNP!D78</f>
        <v/>
      </c>
      <c r="E80" s="42">
        <f>CAPGEMINI!D78</f>
        <v/>
      </c>
      <c r="F80" s="42">
        <f>DANONE!D78</f>
        <v/>
      </c>
      <c r="G80" s="42">
        <f>ENGIE!D78</f>
        <v/>
      </c>
      <c r="H80" s="42">
        <f>'HERMES INTL'!D78</f>
        <v/>
      </c>
      <c r="I80" s="42">
        <f>'PERNOD RICARD'!D78</f>
        <v/>
      </c>
      <c r="J80" s="42">
        <f>RENAULT!D78</f>
        <v/>
      </c>
      <c r="K80" s="42">
        <f>SANOFI!D78</f>
        <v/>
      </c>
      <c r="L80" s="42">
        <f>'SCHNEIDER ELECTRIC'!D78</f>
        <v/>
      </c>
      <c r="M80" s="42">
        <f>'TOTAL ENERGIES'!D78</f>
        <v/>
      </c>
      <c r="N80" s="42">
        <f>VINCI!D78</f>
        <v/>
      </c>
      <c r="O80" s="43" t="n"/>
      <c r="P80" s="43">
        <f>AVERAGE(C80:N80)</f>
        <v/>
      </c>
    </row>
    <row r="81">
      <c r="B81" s="160" t="n">
        <v>42735</v>
      </c>
      <c r="C81" s="42">
        <f>AIRBUS!D79</f>
        <v/>
      </c>
      <c r="D81" s="42">
        <f>BNP!D79</f>
        <v/>
      </c>
      <c r="E81" s="42">
        <f>CAPGEMINI!D79</f>
        <v/>
      </c>
      <c r="F81" s="42">
        <f>DANONE!D79</f>
        <v/>
      </c>
      <c r="G81" s="42">
        <f>ENGIE!D79</f>
        <v/>
      </c>
      <c r="H81" s="42">
        <f>'HERMES INTL'!D79</f>
        <v/>
      </c>
      <c r="I81" s="42">
        <f>'PERNOD RICARD'!D79</f>
        <v/>
      </c>
      <c r="J81" s="42">
        <f>RENAULT!D79</f>
        <v/>
      </c>
      <c r="K81" s="42">
        <f>SANOFI!D79</f>
        <v/>
      </c>
      <c r="L81" s="42">
        <f>'SCHNEIDER ELECTRIC'!D79</f>
        <v/>
      </c>
      <c r="M81" s="42">
        <f>'TOTAL ENERGIES'!D79</f>
        <v/>
      </c>
      <c r="N81" s="42">
        <f>VINCI!D79</f>
        <v/>
      </c>
      <c r="O81" s="43" t="n"/>
      <c r="P81" s="43">
        <f>AVERAGE(C81:N81)</f>
        <v/>
      </c>
    </row>
    <row r="82">
      <c r="B82" s="160" t="n">
        <v>42766</v>
      </c>
      <c r="C82" s="42">
        <f>AIRBUS!D80</f>
        <v/>
      </c>
      <c r="D82" s="42">
        <f>BNP!D80</f>
        <v/>
      </c>
      <c r="E82" s="42">
        <f>CAPGEMINI!D80</f>
        <v/>
      </c>
      <c r="F82" s="42">
        <f>DANONE!D80</f>
        <v/>
      </c>
      <c r="G82" s="42">
        <f>ENGIE!D80</f>
        <v/>
      </c>
      <c r="H82" s="42">
        <f>'HERMES INTL'!D80</f>
        <v/>
      </c>
      <c r="I82" s="42">
        <f>'PERNOD RICARD'!D80</f>
        <v/>
      </c>
      <c r="J82" s="42">
        <f>RENAULT!D80</f>
        <v/>
      </c>
      <c r="K82" s="42">
        <f>SANOFI!D80</f>
        <v/>
      </c>
      <c r="L82" s="42">
        <f>'SCHNEIDER ELECTRIC'!D80</f>
        <v/>
      </c>
      <c r="M82" s="42">
        <f>'TOTAL ENERGIES'!D80</f>
        <v/>
      </c>
      <c r="N82" s="42">
        <f>VINCI!D80</f>
        <v/>
      </c>
      <c r="O82" s="43" t="n"/>
      <c r="P82" s="43">
        <f>AVERAGE(C82:N82)</f>
        <v/>
      </c>
    </row>
    <row r="83">
      <c r="B83" s="160" t="n">
        <v>42794</v>
      </c>
      <c r="C83" s="42">
        <f>AIRBUS!D81</f>
        <v/>
      </c>
      <c r="D83" s="42">
        <f>BNP!D81</f>
        <v/>
      </c>
      <c r="E83" s="42">
        <f>CAPGEMINI!D81</f>
        <v/>
      </c>
      <c r="F83" s="42">
        <f>DANONE!D81</f>
        <v/>
      </c>
      <c r="G83" s="42">
        <f>ENGIE!D81</f>
        <v/>
      </c>
      <c r="H83" s="42">
        <f>'HERMES INTL'!D81</f>
        <v/>
      </c>
      <c r="I83" s="42">
        <f>'PERNOD RICARD'!D81</f>
        <v/>
      </c>
      <c r="J83" s="42">
        <f>RENAULT!D81</f>
        <v/>
      </c>
      <c r="K83" s="42">
        <f>SANOFI!D81</f>
        <v/>
      </c>
      <c r="L83" s="42">
        <f>'SCHNEIDER ELECTRIC'!D81</f>
        <v/>
      </c>
      <c r="M83" s="42">
        <f>'TOTAL ENERGIES'!D81</f>
        <v/>
      </c>
      <c r="N83" s="42">
        <f>VINCI!D81</f>
        <v/>
      </c>
      <c r="O83" s="43" t="n"/>
      <c r="P83" s="43">
        <f>AVERAGE(C83:N83)</f>
        <v/>
      </c>
    </row>
    <row r="84">
      <c r="B84" s="160" t="n">
        <v>42825</v>
      </c>
      <c r="C84" s="42">
        <f>AIRBUS!D82</f>
        <v/>
      </c>
      <c r="D84" s="42">
        <f>BNP!D82</f>
        <v/>
      </c>
      <c r="E84" s="42">
        <f>CAPGEMINI!D82</f>
        <v/>
      </c>
      <c r="F84" s="42">
        <f>DANONE!D82</f>
        <v/>
      </c>
      <c r="G84" s="42">
        <f>ENGIE!D82</f>
        <v/>
      </c>
      <c r="H84" s="42">
        <f>'HERMES INTL'!D82</f>
        <v/>
      </c>
      <c r="I84" s="42">
        <f>'PERNOD RICARD'!D82</f>
        <v/>
      </c>
      <c r="J84" s="42">
        <f>RENAULT!D82</f>
        <v/>
      </c>
      <c r="K84" s="42">
        <f>SANOFI!D82</f>
        <v/>
      </c>
      <c r="L84" s="42">
        <f>'SCHNEIDER ELECTRIC'!D82</f>
        <v/>
      </c>
      <c r="M84" s="42">
        <f>'TOTAL ENERGIES'!D82</f>
        <v/>
      </c>
      <c r="N84" s="42">
        <f>VINCI!D82</f>
        <v/>
      </c>
      <c r="O84" s="43" t="n"/>
      <c r="P84" s="43">
        <f>AVERAGE(C84:N84)</f>
        <v/>
      </c>
    </row>
    <row r="85">
      <c r="B85" s="160" t="n">
        <v>42855</v>
      </c>
      <c r="C85" s="42">
        <f>AIRBUS!D83</f>
        <v/>
      </c>
      <c r="D85" s="42">
        <f>BNP!D83</f>
        <v/>
      </c>
      <c r="E85" s="42">
        <f>CAPGEMINI!D83</f>
        <v/>
      </c>
      <c r="F85" s="42">
        <f>DANONE!D83</f>
        <v/>
      </c>
      <c r="G85" s="42">
        <f>ENGIE!D83</f>
        <v/>
      </c>
      <c r="H85" s="42">
        <f>'HERMES INTL'!D83</f>
        <v/>
      </c>
      <c r="I85" s="42">
        <f>'PERNOD RICARD'!D83</f>
        <v/>
      </c>
      <c r="J85" s="42">
        <f>RENAULT!D83</f>
        <v/>
      </c>
      <c r="K85" s="42">
        <f>SANOFI!D83</f>
        <v/>
      </c>
      <c r="L85" s="42">
        <f>'SCHNEIDER ELECTRIC'!D83</f>
        <v/>
      </c>
      <c r="M85" s="42">
        <f>'TOTAL ENERGIES'!D83</f>
        <v/>
      </c>
      <c r="N85" s="42">
        <f>VINCI!D83</f>
        <v/>
      </c>
      <c r="O85" s="43" t="n"/>
      <c r="P85" s="43">
        <f>AVERAGE(C85:N85)</f>
        <v/>
      </c>
    </row>
    <row r="86">
      <c r="B86" s="160" t="n">
        <v>42886</v>
      </c>
      <c r="C86" s="42">
        <f>AIRBUS!D84</f>
        <v/>
      </c>
      <c r="D86" s="42">
        <f>BNP!D84</f>
        <v/>
      </c>
      <c r="E86" s="42">
        <f>CAPGEMINI!D84</f>
        <v/>
      </c>
      <c r="F86" s="42">
        <f>DANONE!D84</f>
        <v/>
      </c>
      <c r="G86" s="42">
        <f>ENGIE!D84</f>
        <v/>
      </c>
      <c r="H86" s="42">
        <f>'HERMES INTL'!D84</f>
        <v/>
      </c>
      <c r="I86" s="42">
        <f>'PERNOD RICARD'!D84</f>
        <v/>
      </c>
      <c r="J86" s="42">
        <f>RENAULT!D84</f>
        <v/>
      </c>
      <c r="K86" s="42">
        <f>SANOFI!D84</f>
        <v/>
      </c>
      <c r="L86" s="42">
        <f>'SCHNEIDER ELECTRIC'!D84</f>
        <v/>
      </c>
      <c r="M86" s="42">
        <f>'TOTAL ENERGIES'!D84</f>
        <v/>
      </c>
      <c r="N86" s="42">
        <f>VINCI!D84</f>
        <v/>
      </c>
      <c r="O86" s="43" t="n"/>
      <c r="P86" s="43">
        <f>AVERAGE(C86:N86)</f>
        <v/>
      </c>
    </row>
    <row r="87">
      <c r="B87" s="160" t="n">
        <v>42916</v>
      </c>
      <c r="C87" s="42">
        <f>AIRBUS!D85</f>
        <v/>
      </c>
      <c r="D87" s="42">
        <f>BNP!D85</f>
        <v/>
      </c>
      <c r="E87" s="42">
        <f>CAPGEMINI!D85</f>
        <v/>
      </c>
      <c r="F87" s="42">
        <f>DANONE!D85</f>
        <v/>
      </c>
      <c r="G87" s="42">
        <f>ENGIE!D85</f>
        <v/>
      </c>
      <c r="H87" s="42">
        <f>'HERMES INTL'!D85</f>
        <v/>
      </c>
      <c r="I87" s="42">
        <f>'PERNOD RICARD'!D85</f>
        <v/>
      </c>
      <c r="J87" s="42">
        <f>RENAULT!D85</f>
        <v/>
      </c>
      <c r="K87" s="42">
        <f>SANOFI!D85</f>
        <v/>
      </c>
      <c r="L87" s="42">
        <f>'SCHNEIDER ELECTRIC'!D85</f>
        <v/>
      </c>
      <c r="M87" s="42">
        <f>'TOTAL ENERGIES'!D85</f>
        <v/>
      </c>
      <c r="N87" s="42">
        <f>VINCI!D85</f>
        <v/>
      </c>
      <c r="O87" s="43" t="n"/>
      <c r="P87" s="43">
        <f>AVERAGE(C87:N87)</f>
        <v/>
      </c>
    </row>
    <row r="88">
      <c r="B88" s="160" t="n">
        <v>42947</v>
      </c>
      <c r="C88" s="42">
        <f>AIRBUS!D86</f>
        <v/>
      </c>
      <c r="D88" s="42">
        <f>BNP!D86</f>
        <v/>
      </c>
      <c r="E88" s="42">
        <f>CAPGEMINI!D86</f>
        <v/>
      </c>
      <c r="F88" s="42">
        <f>DANONE!D86</f>
        <v/>
      </c>
      <c r="G88" s="42">
        <f>ENGIE!D86</f>
        <v/>
      </c>
      <c r="H88" s="42">
        <f>'HERMES INTL'!D86</f>
        <v/>
      </c>
      <c r="I88" s="42">
        <f>'PERNOD RICARD'!D86</f>
        <v/>
      </c>
      <c r="J88" s="42">
        <f>RENAULT!D86</f>
        <v/>
      </c>
      <c r="K88" s="42">
        <f>SANOFI!D86</f>
        <v/>
      </c>
      <c r="L88" s="42">
        <f>'SCHNEIDER ELECTRIC'!D86</f>
        <v/>
      </c>
      <c r="M88" s="42">
        <f>'TOTAL ENERGIES'!D86</f>
        <v/>
      </c>
      <c r="N88" s="42">
        <f>VINCI!D86</f>
        <v/>
      </c>
      <c r="O88" s="43" t="n"/>
      <c r="P88" s="43">
        <f>AVERAGE(C88:N88)</f>
        <v/>
      </c>
    </row>
    <row r="89">
      <c r="B89" s="160" t="n">
        <v>42978</v>
      </c>
      <c r="C89" s="42">
        <f>AIRBUS!D87</f>
        <v/>
      </c>
      <c r="D89" s="42">
        <f>BNP!D87</f>
        <v/>
      </c>
      <c r="E89" s="42">
        <f>CAPGEMINI!D87</f>
        <v/>
      </c>
      <c r="F89" s="42">
        <f>DANONE!D87</f>
        <v/>
      </c>
      <c r="G89" s="42">
        <f>ENGIE!D87</f>
        <v/>
      </c>
      <c r="H89" s="42">
        <f>'HERMES INTL'!D87</f>
        <v/>
      </c>
      <c r="I89" s="42">
        <f>'PERNOD RICARD'!D87</f>
        <v/>
      </c>
      <c r="J89" s="42">
        <f>RENAULT!D87</f>
        <v/>
      </c>
      <c r="K89" s="42">
        <f>SANOFI!D87</f>
        <v/>
      </c>
      <c r="L89" s="42">
        <f>'SCHNEIDER ELECTRIC'!D87</f>
        <v/>
      </c>
      <c r="M89" s="42">
        <f>'TOTAL ENERGIES'!D87</f>
        <v/>
      </c>
      <c r="N89" s="42">
        <f>VINCI!D87</f>
        <v/>
      </c>
      <c r="O89" s="43" t="n"/>
      <c r="P89" s="43">
        <f>AVERAGE(C89:N89)</f>
        <v/>
      </c>
    </row>
    <row r="90">
      <c r="B90" s="160" t="n">
        <v>43008</v>
      </c>
      <c r="C90" s="42">
        <f>AIRBUS!D88</f>
        <v/>
      </c>
      <c r="D90" s="42">
        <f>BNP!D88</f>
        <v/>
      </c>
      <c r="E90" s="42">
        <f>CAPGEMINI!D88</f>
        <v/>
      </c>
      <c r="F90" s="42">
        <f>DANONE!D88</f>
        <v/>
      </c>
      <c r="G90" s="42">
        <f>ENGIE!D88</f>
        <v/>
      </c>
      <c r="H90" s="42">
        <f>'HERMES INTL'!D88</f>
        <v/>
      </c>
      <c r="I90" s="42">
        <f>'PERNOD RICARD'!D88</f>
        <v/>
      </c>
      <c r="J90" s="42">
        <f>RENAULT!D88</f>
        <v/>
      </c>
      <c r="K90" s="42">
        <f>SANOFI!D88</f>
        <v/>
      </c>
      <c r="L90" s="42">
        <f>'SCHNEIDER ELECTRIC'!D88</f>
        <v/>
      </c>
      <c r="M90" s="42">
        <f>'TOTAL ENERGIES'!D88</f>
        <v/>
      </c>
      <c r="N90" s="42">
        <f>VINCI!D88</f>
        <v/>
      </c>
      <c r="O90" s="43" t="n"/>
      <c r="P90" s="43">
        <f>AVERAGE(C90:N90)</f>
        <v/>
      </c>
    </row>
    <row r="91">
      <c r="B91" s="160" t="n">
        <v>43039</v>
      </c>
      <c r="C91" s="42">
        <f>AIRBUS!D89</f>
        <v/>
      </c>
      <c r="D91" s="42">
        <f>BNP!D89</f>
        <v/>
      </c>
      <c r="E91" s="42">
        <f>CAPGEMINI!D89</f>
        <v/>
      </c>
      <c r="F91" s="42">
        <f>DANONE!D89</f>
        <v/>
      </c>
      <c r="G91" s="42">
        <f>ENGIE!D89</f>
        <v/>
      </c>
      <c r="H91" s="42">
        <f>'HERMES INTL'!D89</f>
        <v/>
      </c>
      <c r="I91" s="42">
        <f>'PERNOD RICARD'!D89</f>
        <v/>
      </c>
      <c r="J91" s="42">
        <f>RENAULT!D89</f>
        <v/>
      </c>
      <c r="K91" s="42">
        <f>SANOFI!D89</f>
        <v/>
      </c>
      <c r="L91" s="42">
        <f>'SCHNEIDER ELECTRIC'!D89</f>
        <v/>
      </c>
      <c r="M91" s="42">
        <f>'TOTAL ENERGIES'!D89</f>
        <v/>
      </c>
      <c r="N91" s="42">
        <f>VINCI!D89</f>
        <v/>
      </c>
      <c r="O91" s="43" t="n"/>
      <c r="P91" s="43">
        <f>AVERAGE(C91:N91)</f>
        <v/>
      </c>
    </row>
    <row r="92">
      <c r="B92" s="160" t="n">
        <v>43069</v>
      </c>
      <c r="C92" s="42">
        <f>AIRBUS!D90</f>
        <v/>
      </c>
      <c r="D92" s="42">
        <f>BNP!D90</f>
        <v/>
      </c>
      <c r="E92" s="42">
        <f>CAPGEMINI!D90</f>
        <v/>
      </c>
      <c r="F92" s="42">
        <f>DANONE!D90</f>
        <v/>
      </c>
      <c r="G92" s="42">
        <f>ENGIE!D90</f>
        <v/>
      </c>
      <c r="H92" s="42">
        <f>'HERMES INTL'!D90</f>
        <v/>
      </c>
      <c r="I92" s="42">
        <f>'PERNOD RICARD'!D90</f>
        <v/>
      </c>
      <c r="J92" s="42">
        <f>RENAULT!D90</f>
        <v/>
      </c>
      <c r="K92" s="42">
        <f>SANOFI!D90</f>
        <v/>
      </c>
      <c r="L92" s="42">
        <f>'SCHNEIDER ELECTRIC'!D90</f>
        <v/>
      </c>
      <c r="M92" s="42">
        <f>'TOTAL ENERGIES'!D90</f>
        <v/>
      </c>
      <c r="N92" s="42">
        <f>VINCI!D90</f>
        <v/>
      </c>
      <c r="O92" s="43" t="n"/>
      <c r="P92" s="43">
        <f>AVERAGE(C92:N92)</f>
        <v/>
      </c>
    </row>
    <row r="93">
      <c r="B93" s="160" t="n">
        <v>43100</v>
      </c>
      <c r="C93" s="42">
        <f>AIRBUS!D91</f>
        <v/>
      </c>
      <c r="D93" s="42">
        <f>BNP!D91</f>
        <v/>
      </c>
      <c r="E93" s="42">
        <f>CAPGEMINI!D91</f>
        <v/>
      </c>
      <c r="F93" s="42">
        <f>DANONE!D91</f>
        <v/>
      </c>
      <c r="G93" s="42">
        <f>ENGIE!D91</f>
        <v/>
      </c>
      <c r="H93" s="42">
        <f>'HERMES INTL'!D91</f>
        <v/>
      </c>
      <c r="I93" s="42">
        <f>'PERNOD RICARD'!D91</f>
        <v/>
      </c>
      <c r="J93" s="42">
        <f>RENAULT!D91</f>
        <v/>
      </c>
      <c r="K93" s="42">
        <f>SANOFI!D91</f>
        <v/>
      </c>
      <c r="L93" s="42">
        <f>'SCHNEIDER ELECTRIC'!D91</f>
        <v/>
      </c>
      <c r="M93" s="42">
        <f>'TOTAL ENERGIES'!D91</f>
        <v/>
      </c>
      <c r="N93" s="42">
        <f>VINCI!D91</f>
        <v/>
      </c>
      <c r="O93" s="43" t="n"/>
      <c r="P93" s="43">
        <f>AVERAGE(C93:N93)</f>
        <v/>
      </c>
    </row>
    <row r="94">
      <c r="B94" s="160" t="n">
        <v>43131</v>
      </c>
      <c r="C94" s="42">
        <f>AIRBUS!D92</f>
        <v/>
      </c>
      <c r="D94" s="42">
        <f>BNP!D92</f>
        <v/>
      </c>
      <c r="E94" s="42">
        <f>CAPGEMINI!D92</f>
        <v/>
      </c>
      <c r="F94" s="42">
        <f>DANONE!D92</f>
        <v/>
      </c>
      <c r="G94" s="42">
        <f>ENGIE!D92</f>
        <v/>
      </c>
      <c r="H94" s="42">
        <f>'HERMES INTL'!D92</f>
        <v/>
      </c>
      <c r="I94" s="42">
        <f>'PERNOD RICARD'!D92</f>
        <v/>
      </c>
      <c r="J94" s="42">
        <f>RENAULT!D92</f>
        <v/>
      </c>
      <c r="K94" s="42">
        <f>SANOFI!D92</f>
        <v/>
      </c>
      <c r="L94" s="42">
        <f>'SCHNEIDER ELECTRIC'!D92</f>
        <v/>
      </c>
      <c r="M94" s="42">
        <f>'TOTAL ENERGIES'!D92</f>
        <v/>
      </c>
      <c r="N94" s="42">
        <f>VINCI!D92</f>
        <v/>
      </c>
      <c r="O94" s="43" t="n"/>
      <c r="P94" s="43">
        <f>AVERAGE(C94:N94)</f>
        <v/>
      </c>
    </row>
    <row r="95">
      <c r="B95" s="160" t="n">
        <v>43159</v>
      </c>
      <c r="C95" s="42">
        <f>AIRBUS!D93</f>
        <v/>
      </c>
      <c r="D95" s="42">
        <f>BNP!D93</f>
        <v/>
      </c>
      <c r="E95" s="42">
        <f>CAPGEMINI!D93</f>
        <v/>
      </c>
      <c r="F95" s="42">
        <f>DANONE!D93</f>
        <v/>
      </c>
      <c r="G95" s="42">
        <f>ENGIE!D93</f>
        <v/>
      </c>
      <c r="H95" s="42">
        <f>'HERMES INTL'!D93</f>
        <v/>
      </c>
      <c r="I95" s="42">
        <f>'PERNOD RICARD'!D93</f>
        <v/>
      </c>
      <c r="J95" s="42">
        <f>RENAULT!D93</f>
        <v/>
      </c>
      <c r="K95" s="42">
        <f>SANOFI!D93</f>
        <v/>
      </c>
      <c r="L95" s="42">
        <f>'SCHNEIDER ELECTRIC'!D93</f>
        <v/>
      </c>
      <c r="M95" s="42">
        <f>'TOTAL ENERGIES'!D93</f>
        <v/>
      </c>
      <c r="N95" s="42">
        <f>VINCI!D93</f>
        <v/>
      </c>
      <c r="O95" s="43" t="n"/>
      <c r="P95" s="43">
        <f>AVERAGE(C95:N95)</f>
        <v/>
      </c>
    </row>
    <row r="96">
      <c r="B96" s="160" t="n">
        <v>43190</v>
      </c>
      <c r="C96" s="42">
        <f>AIRBUS!D94</f>
        <v/>
      </c>
      <c r="D96" s="42">
        <f>BNP!D94</f>
        <v/>
      </c>
      <c r="E96" s="42">
        <f>CAPGEMINI!D94</f>
        <v/>
      </c>
      <c r="F96" s="42">
        <f>DANONE!D94</f>
        <v/>
      </c>
      <c r="G96" s="42">
        <f>ENGIE!D94</f>
        <v/>
      </c>
      <c r="H96" s="42">
        <f>'HERMES INTL'!D94</f>
        <v/>
      </c>
      <c r="I96" s="42">
        <f>'PERNOD RICARD'!D94</f>
        <v/>
      </c>
      <c r="J96" s="42">
        <f>RENAULT!D94</f>
        <v/>
      </c>
      <c r="K96" s="42">
        <f>SANOFI!D94</f>
        <v/>
      </c>
      <c r="L96" s="42">
        <f>'SCHNEIDER ELECTRIC'!D94</f>
        <v/>
      </c>
      <c r="M96" s="42">
        <f>'TOTAL ENERGIES'!D94</f>
        <v/>
      </c>
      <c r="N96" s="42">
        <f>VINCI!D94</f>
        <v/>
      </c>
      <c r="O96" s="43" t="n"/>
      <c r="P96" s="43">
        <f>AVERAGE(C96:N96)</f>
        <v/>
      </c>
    </row>
    <row r="97">
      <c r="B97" s="160" t="n">
        <v>43220</v>
      </c>
      <c r="C97" s="42">
        <f>AIRBUS!D95</f>
        <v/>
      </c>
      <c r="D97" s="42">
        <f>BNP!D95</f>
        <v/>
      </c>
      <c r="E97" s="42">
        <f>CAPGEMINI!D95</f>
        <v/>
      </c>
      <c r="F97" s="42">
        <f>DANONE!D95</f>
        <v/>
      </c>
      <c r="G97" s="42">
        <f>ENGIE!D95</f>
        <v/>
      </c>
      <c r="H97" s="42">
        <f>'HERMES INTL'!D95</f>
        <v/>
      </c>
      <c r="I97" s="42">
        <f>'PERNOD RICARD'!D95</f>
        <v/>
      </c>
      <c r="J97" s="42">
        <f>RENAULT!D95</f>
        <v/>
      </c>
      <c r="K97" s="42">
        <f>SANOFI!D95</f>
        <v/>
      </c>
      <c r="L97" s="42">
        <f>'SCHNEIDER ELECTRIC'!D95</f>
        <v/>
      </c>
      <c r="M97" s="42">
        <f>'TOTAL ENERGIES'!D95</f>
        <v/>
      </c>
      <c r="N97" s="42">
        <f>VINCI!D95</f>
        <v/>
      </c>
      <c r="O97" s="43" t="n"/>
      <c r="P97" s="43">
        <f>AVERAGE(C97:N97)</f>
        <v/>
      </c>
    </row>
    <row r="98">
      <c r="B98" s="160" t="n">
        <v>43251</v>
      </c>
      <c r="C98" s="42">
        <f>AIRBUS!D96</f>
        <v/>
      </c>
      <c r="D98" s="42">
        <f>BNP!D96</f>
        <v/>
      </c>
      <c r="E98" s="42">
        <f>CAPGEMINI!D96</f>
        <v/>
      </c>
      <c r="F98" s="42">
        <f>DANONE!D96</f>
        <v/>
      </c>
      <c r="G98" s="42">
        <f>ENGIE!D96</f>
        <v/>
      </c>
      <c r="H98" s="42">
        <f>'HERMES INTL'!D96</f>
        <v/>
      </c>
      <c r="I98" s="42">
        <f>'PERNOD RICARD'!D96</f>
        <v/>
      </c>
      <c r="J98" s="42">
        <f>RENAULT!D96</f>
        <v/>
      </c>
      <c r="K98" s="42">
        <f>SANOFI!D96</f>
        <v/>
      </c>
      <c r="L98" s="42">
        <f>'SCHNEIDER ELECTRIC'!D96</f>
        <v/>
      </c>
      <c r="M98" s="42">
        <f>'TOTAL ENERGIES'!D96</f>
        <v/>
      </c>
      <c r="N98" s="42">
        <f>VINCI!D96</f>
        <v/>
      </c>
      <c r="O98" s="43" t="n"/>
      <c r="P98" s="43">
        <f>AVERAGE(C98:N98)</f>
        <v/>
      </c>
    </row>
    <row r="99">
      <c r="B99" s="160" t="n">
        <v>43281</v>
      </c>
      <c r="C99" s="42">
        <f>AIRBUS!D97</f>
        <v/>
      </c>
      <c r="D99" s="42">
        <f>BNP!D97</f>
        <v/>
      </c>
      <c r="E99" s="42">
        <f>CAPGEMINI!D97</f>
        <v/>
      </c>
      <c r="F99" s="42">
        <f>DANONE!D97</f>
        <v/>
      </c>
      <c r="G99" s="42">
        <f>ENGIE!D97</f>
        <v/>
      </c>
      <c r="H99" s="42">
        <f>'HERMES INTL'!D97</f>
        <v/>
      </c>
      <c r="I99" s="42">
        <f>'PERNOD RICARD'!D97</f>
        <v/>
      </c>
      <c r="J99" s="42">
        <f>RENAULT!D97</f>
        <v/>
      </c>
      <c r="K99" s="42">
        <f>SANOFI!D97</f>
        <v/>
      </c>
      <c r="L99" s="42">
        <f>'SCHNEIDER ELECTRIC'!D97</f>
        <v/>
      </c>
      <c r="M99" s="42">
        <f>'TOTAL ENERGIES'!D97</f>
        <v/>
      </c>
      <c r="N99" s="42">
        <f>VINCI!D97</f>
        <v/>
      </c>
      <c r="O99" s="43" t="n"/>
      <c r="P99" s="43">
        <f>AVERAGE(C99:N99)</f>
        <v/>
      </c>
    </row>
    <row r="100">
      <c r="B100" s="160" t="n">
        <v>43312</v>
      </c>
      <c r="C100" s="42">
        <f>AIRBUS!D98</f>
        <v/>
      </c>
      <c r="D100" s="42">
        <f>BNP!D98</f>
        <v/>
      </c>
      <c r="E100" s="42">
        <f>CAPGEMINI!D98</f>
        <v/>
      </c>
      <c r="F100" s="42">
        <f>DANONE!D98</f>
        <v/>
      </c>
      <c r="G100" s="42">
        <f>ENGIE!D98</f>
        <v/>
      </c>
      <c r="H100" s="42">
        <f>'HERMES INTL'!D98</f>
        <v/>
      </c>
      <c r="I100" s="42">
        <f>'PERNOD RICARD'!D98</f>
        <v/>
      </c>
      <c r="J100" s="42">
        <f>RENAULT!D98</f>
        <v/>
      </c>
      <c r="K100" s="42">
        <f>SANOFI!D98</f>
        <v/>
      </c>
      <c r="L100" s="42">
        <f>'SCHNEIDER ELECTRIC'!D98</f>
        <v/>
      </c>
      <c r="M100" s="42">
        <f>'TOTAL ENERGIES'!D98</f>
        <v/>
      </c>
      <c r="N100" s="42">
        <f>VINCI!D98</f>
        <v/>
      </c>
      <c r="O100" s="43" t="n"/>
      <c r="P100" s="43">
        <f>AVERAGE(C100:N100)</f>
        <v/>
      </c>
    </row>
    <row r="101">
      <c r="B101" s="160" t="n">
        <v>43343</v>
      </c>
      <c r="C101" s="42">
        <f>AIRBUS!D99</f>
        <v/>
      </c>
      <c r="D101" s="42">
        <f>BNP!D99</f>
        <v/>
      </c>
      <c r="E101" s="42">
        <f>CAPGEMINI!D99</f>
        <v/>
      </c>
      <c r="F101" s="42">
        <f>DANONE!D99</f>
        <v/>
      </c>
      <c r="G101" s="42">
        <f>ENGIE!D99</f>
        <v/>
      </c>
      <c r="H101" s="42">
        <f>'HERMES INTL'!D99</f>
        <v/>
      </c>
      <c r="I101" s="42">
        <f>'PERNOD RICARD'!D99</f>
        <v/>
      </c>
      <c r="J101" s="42">
        <f>RENAULT!D99</f>
        <v/>
      </c>
      <c r="K101" s="42">
        <f>SANOFI!D99</f>
        <v/>
      </c>
      <c r="L101" s="42">
        <f>'SCHNEIDER ELECTRIC'!D99</f>
        <v/>
      </c>
      <c r="M101" s="42">
        <f>'TOTAL ENERGIES'!D99</f>
        <v/>
      </c>
      <c r="N101" s="42">
        <f>VINCI!D99</f>
        <v/>
      </c>
      <c r="O101" s="43" t="n"/>
      <c r="P101" s="43">
        <f>AVERAGE(C101:N101)</f>
        <v/>
      </c>
    </row>
    <row r="102">
      <c r="B102" s="160" t="n">
        <v>43373</v>
      </c>
      <c r="C102" s="42">
        <f>AIRBUS!D100</f>
        <v/>
      </c>
      <c r="D102" s="42">
        <f>BNP!D100</f>
        <v/>
      </c>
      <c r="E102" s="42">
        <f>CAPGEMINI!D100</f>
        <v/>
      </c>
      <c r="F102" s="42">
        <f>DANONE!D100</f>
        <v/>
      </c>
      <c r="G102" s="42">
        <f>ENGIE!D100</f>
        <v/>
      </c>
      <c r="H102" s="42">
        <f>'HERMES INTL'!D100</f>
        <v/>
      </c>
      <c r="I102" s="42">
        <f>'PERNOD RICARD'!D100</f>
        <v/>
      </c>
      <c r="J102" s="42">
        <f>RENAULT!D100</f>
        <v/>
      </c>
      <c r="K102" s="42">
        <f>SANOFI!D100</f>
        <v/>
      </c>
      <c r="L102" s="42">
        <f>'SCHNEIDER ELECTRIC'!D100</f>
        <v/>
      </c>
      <c r="M102" s="42">
        <f>'TOTAL ENERGIES'!D100</f>
        <v/>
      </c>
      <c r="N102" s="42">
        <f>VINCI!D100</f>
        <v/>
      </c>
      <c r="O102" s="43" t="n"/>
      <c r="P102" s="43">
        <f>AVERAGE(C102:N102)</f>
        <v/>
      </c>
    </row>
    <row r="103">
      <c r="B103" s="160" t="n">
        <v>43404</v>
      </c>
      <c r="C103" s="42">
        <f>AIRBUS!D101</f>
        <v/>
      </c>
      <c r="D103" s="42">
        <f>BNP!D101</f>
        <v/>
      </c>
      <c r="E103" s="42">
        <f>CAPGEMINI!D101</f>
        <v/>
      </c>
      <c r="F103" s="42">
        <f>DANONE!D101</f>
        <v/>
      </c>
      <c r="G103" s="42">
        <f>ENGIE!D101</f>
        <v/>
      </c>
      <c r="H103" s="42">
        <f>'HERMES INTL'!D101</f>
        <v/>
      </c>
      <c r="I103" s="42">
        <f>'PERNOD RICARD'!D101</f>
        <v/>
      </c>
      <c r="J103" s="42">
        <f>RENAULT!D101</f>
        <v/>
      </c>
      <c r="K103" s="42">
        <f>SANOFI!D101</f>
        <v/>
      </c>
      <c r="L103" s="42">
        <f>'SCHNEIDER ELECTRIC'!D101</f>
        <v/>
      </c>
      <c r="M103" s="42">
        <f>'TOTAL ENERGIES'!D101</f>
        <v/>
      </c>
      <c r="N103" s="42">
        <f>VINCI!D101</f>
        <v/>
      </c>
      <c r="O103" s="43" t="n"/>
      <c r="P103" s="43">
        <f>AVERAGE(C103:N103)</f>
        <v/>
      </c>
    </row>
    <row r="104">
      <c r="B104" s="160" t="n">
        <v>43434</v>
      </c>
      <c r="C104" s="42">
        <f>AIRBUS!D102</f>
        <v/>
      </c>
      <c r="D104" s="42">
        <f>BNP!D102</f>
        <v/>
      </c>
      <c r="E104" s="42">
        <f>CAPGEMINI!D102</f>
        <v/>
      </c>
      <c r="F104" s="42">
        <f>DANONE!D102</f>
        <v/>
      </c>
      <c r="G104" s="42">
        <f>ENGIE!D102</f>
        <v/>
      </c>
      <c r="H104" s="42">
        <f>'HERMES INTL'!D102</f>
        <v/>
      </c>
      <c r="I104" s="42">
        <f>'PERNOD RICARD'!D102</f>
        <v/>
      </c>
      <c r="J104" s="42">
        <f>RENAULT!D102</f>
        <v/>
      </c>
      <c r="K104" s="42">
        <f>SANOFI!D102</f>
        <v/>
      </c>
      <c r="L104" s="42">
        <f>'SCHNEIDER ELECTRIC'!D102</f>
        <v/>
      </c>
      <c r="M104" s="42">
        <f>'TOTAL ENERGIES'!D102</f>
        <v/>
      </c>
      <c r="N104" s="42">
        <f>VINCI!D102</f>
        <v/>
      </c>
      <c r="O104" s="43" t="n"/>
      <c r="P104" s="43">
        <f>AVERAGE(C104:N104)</f>
        <v/>
      </c>
    </row>
    <row r="105">
      <c r="B105" s="160" t="n">
        <v>43465</v>
      </c>
      <c r="C105" s="42">
        <f>AIRBUS!D103</f>
        <v/>
      </c>
      <c r="D105" s="42">
        <f>BNP!D103</f>
        <v/>
      </c>
      <c r="E105" s="42">
        <f>CAPGEMINI!D103</f>
        <v/>
      </c>
      <c r="F105" s="42">
        <f>DANONE!D103</f>
        <v/>
      </c>
      <c r="G105" s="42">
        <f>ENGIE!D103</f>
        <v/>
      </c>
      <c r="H105" s="42">
        <f>'HERMES INTL'!D103</f>
        <v/>
      </c>
      <c r="I105" s="42">
        <f>'PERNOD RICARD'!D103</f>
        <v/>
      </c>
      <c r="J105" s="42">
        <f>RENAULT!D103</f>
        <v/>
      </c>
      <c r="K105" s="42">
        <f>SANOFI!D103</f>
        <v/>
      </c>
      <c r="L105" s="42">
        <f>'SCHNEIDER ELECTRIC'!D103</f>
        <v/>
      </c>
      <c r="M105" s="42">
        <f>'TOTAL ENERGIES'!D103</f>
        <v/>
      </c>
      <c r="N105" s="42">
        <f>VINCI!D103</f>
        <v/>
      </c>
      <c r="O105" s="43" t="n"/>
      <c r="P105" s="43">
        <f>AVERAGE(C105:N105)</f>
        <v/>
      </c>
    </row>
    <row r="106">
      <c r="B106" s="160" t="n">
        <v>43496</v>
      </c>
      <c r="C106" s="42">
        <f>AIRBUS!D104</f>
        <v/>
      </c>
      <c r="D106" s="42">
        <f>BNP!D104</f>
        <v/>
      </c>
      <c r="E106" s="42">
        <f>CAPGEMINI!D104</f>
        <v/>
      </c>
      <c r="F106" s="42">
        <f>DANONE!D104</f>
        <v/>
      </c>
      <c r="G106" s="42">
        <f>ENGIE!D104</f>
        <v/>
      </c>
      <c r="H106" s="42">
        <f>'HERMES INTL'!D104</f>
        <v/>
      </c>
      <c r="I106" s="42">
        <f>'PERNOD RICARD'!D104</f>
        <v/>
      </c>
      <c r="J106" s="42">
        <f>RENAULT!D104</f>
        <v/>
      </c>
      <c r="K106" s="42">
        <f>SANOFI!D104</f>
        <v/>
      </c>
      <c r="L106" s="42">
        <f>'SCHNEIDER ELECTRIC'!D104</f>
        <v/>
      </c>
      <c r="M106" s="42">
        <f>'TOTAL ENERGIES'!D104</f>
        <v/>
      </c>
      <c r="N106" s="42">
        <f>VINCI!D104</f>
        <v/>
      </c>
      <c r="O106" s="43" t="n"/>
      <c r="P106" s="43">
        <f>AVERAGE(C106:N106)</f>
        <v/>
      </c>
    </row>
    <row r="107">
      <c r="B107" s="160" t="n">
        <v>43524</v>
      </c>
      <c r="C107" s="42">
        <f>AIRBUS!D105</f>
        <v/>
      </c>
      <c r="D107" s="42">
        <f>BNP!D105</f>
        <v/>
      </c>
      <c r="E107" s="42">
        <f>CAPGEMINI!D105</f>
        <v/>
      </c>
      <c r="F107" s="42">
        <f>DANONE!D105</f>
        <v/>
      </c>
      <c r="G107" s="42">
        <f>ENGIE!D105</f>
        <v/>
      </c>
      <c r="H107" s="42">
        <f>'HERMES INTL'!D105</f>
        <v/>
      </c>
      <c r="I107" s="42">
        <f>'PERNOD RICARD'!D105</f>
        <v/>
      </c>
      <c r="J107" s="42">
        <f>RENAULT!D105</f>
        <v/>
      </c>
      <c r="K107" s="42">
        <f>SANOFI!D105</f>
        <v/>
      </c>
      <c r="L107" s="42">
        <f>'SCHNEIDER ELECTRIC'!D105</f>
        <v/>
      </c>
      <c r="M107" s="42">
        <f>'TOTAL ENERGIES'!D105</f>
        <v/>
      </c>
      <c r="N107" s="42">
        <f>VINCI!D105</f>
        <v/>
      </c>
      <c r="O107" s="43" t="n"/>
      <c r="P107" s="43">
        <f>AVERAGE(C107:N107)</f>
        <v/>
      </c>
    </row>
    <row r="108">
      <c r="B108" s="160" t="n">
        <v>43555</v>
      </c>
      <c r="C108" s="42">
        <f>AIRBUS!D106</f>
        <v/>
      </c>
      <c r="D108" s="42">
        <f>BNP!D106</f>
        <v/>
      </c>
      <c r="E108" s="42">
        <f>CAPGEMINI!D106</f>
        <v/>
      </c>
      <c r="F108" s="42">
        <f>DANONE!D106</f>
        <v/>
      </c>
      <c r="G108" s="42">
        <f>ENGIE!D106</f>
        <v/>
      </c>
      <c r="H108" s="42">
        <f>'HERMES INTL'!D106</f>
        <v/>
      </c>
      <c r="I108" s="42">
        <f>'PERNOD RICARD'!D106</f>
        <v/>
      </c>
      <c r="J108" s="42">
        <f>RENAULT!D106</f>
        <v/>
      </c>
      <c r="K108" s="42">
        <f>SANOFI!D106</f>
        <v/>
      </c>
      <c r="L108" s="42">
        <f>'SCHNEIDER ELECTRIC'!D106</f>
        <v/>
      </c>
      <c r="M108" s="42">
        <f>'TOTAL ENERGIES'!D106</f>
        <v/>
      </c>
      <c r="N108" s="42">
        <f>VINCI!D106</f>
        <v/>
      </c>
      <c r="O108" s="43" t="n"/>
      <c r="P108" s="43">
        <f>AVERAGE(C108:N108)</f>
        <v/>
      </c>
    </row>
    <row r="109">
      <c r="B109" s="160" t="n">
        <v>43585</v>
      </c>
      <c r="C109" s="42">
        <f>AIRBUS!D107</f>
        <v/>
      </c>
      <c r="D109" s="42">
        <f>BNP!D107</f>
        <v/>
      </c>
      <c r="E109" s="42">
        <f>CAPGEMINI!D107</f>
        <v/>
      </c>
      <c r="F109" s="42">
        <f>DANONE!D107</f>
        <v/>
      </c>
      <c r="G109" s="42">
        <f>ENGIE!D107</f>
        <v/>
      </c>
      <c r="H109" s="42">
        <f>'HERMES INTL'!D107</f>
        <v/>
      </c>
      <c r="I109" s="42">
        <f>'PERNOD RICARD'!D107</f>
        <v/>
      </c>
      <c r="J109" s="42">
        <f>RENAULT!D107</f>
        <v/>
      </c>
      <c r="K109" s="42">
        <f>SANOFI!D107</f>
        <v/>
      </c>
      <c r="L109" s="42">
        <f>'SCHNEIDER ELECTRIC'!D107</f>
        <v/>
      </c>
      <c r="M109" s="42">
        <f>'TOTAL ENERGIES'!D107</f>
        <v/>
      </c>
      <c r="N109" s="42">
        <f>VINCI!D107</f>
        <v/>
      </c>
      <c r="O109" s="43" t="n"/>
      <c r="P109" s="43">
        <f>AVERAGE(C109:N109)</f>
        <v/>
      </c>
    </row>
    <row r="110">
      <c r="B110" s="160" t="n">
        <v>43616</v>
      </c>
      <c r="C110" s="42">
        <f>AIRBUS!D108</f>
        <v/>
      </c>
      <c r="D110" s="42">
        <f>BNP!D108</f>
        <v/>
      </c>
      <c r="E110" s="42">
        <f>CAPGEMINI!D108</f>
        <v/>
      </c>
      <c r="F110" s="42">
        <f>DANONE!D108</f>
        <v/>
      </c>
      <c r="G110" s="42">
        <f>ENGIE!D108</f>
        <v/>
      </c>
      <c r="H110" s="42">
        <f>'HERMES INTL'!D108</f>
        <v/>
      </c>
      <c r="I110" s="42">
        <f>'PERNOD RICARD'!D108</f>
        <v/>
      </c>
      <c r="J110" s="42">
        <f>RENAULT!D108</f>
        <v/>
      </c>
      <c r="K110" s="42">
        <f>SANOFI!D108</f>
        <v/>
      </c>
      <c r="L110" s="42">
        <f>'SCHNEIDER ELECTRIC'!D108</f>
        <v/>
      </c>
      <c r="M110" s="42">
        <f>'TOTAL ENERGIES'!D108</f>
        <v/>
      </c>
      <c r="N110" s="42">
        <f>VINCI!D108</f>
        <v/>
      </c>
      <c r="O110" s="43" t="n"/>
      <c r="P110" s="43">
        <f>AVERAGE(C110:N110)</f>
        <v/>
      </c>
    </row>
    <row r="111">
      <c r="B111" s="160" t="n">
        <v>43646</v>
      </c>
      <c r="C111" s="42">
        <f>AIRBUS!D109</f>
        <v/>
      </c>
      <c r="D111" s="42">
        <f>BNP!D109</f>
        <v/>
      </c>
      <c r="E111" s="42">
        <f>CAPGEMINI!D109</f>
        <v/>
      </c>
      <c r="F111" s="42">
        <f>DANONE!D109</f>
        <v/>
      </c>
      <c r="G111" s="42">
        <f>ENGIE!D109</f>
        <v/>
      </c>
      <c r="H111" s="42">
        <f>'HERMES INTL'!D109</f>
        <v/>
      </c>
      <c r="I111" s="42">
        <f>'PERNOD RICARD'!D109</f>
        <v/>
      </c>
      <c r="J111" s="42">
        <f>RENAULT!D109</f>
        <v/>
      </c>
      <c r="K111" s="42">
        <f>SANOFI!D109</f>
        <v/>
      </c>
      <c r="L111" s="42">
        <f>'SCHNEIDER ELECTRIC'!D109</f>
        <v/>
      </c>
      <c r="M111" s="42">
        <f>'TOTAL ENERGIES'!D109</f>
        <v/>
      </c>
      <c r="N111" s="42">
        <f>VINCI!D109</f>
        <v/>
      </c>
      <c r="O111" s="43" t="n"/>
      <c r="P111" s="43">
        <f>AVERAGE(C111:N111)</f>
        <v/>
      </c>
    </row>
    <row r="112">
      <c r="B112" s="160" t="n">
        <v>43677</v>
      </c>
      <c r="C112" s="42">
        <f>AIRBUS!D110</f>
        <v/>
      </c>
      <c r="D112" s="42">
        <f>BNP!D110</f>
        <v/>
      </c>
      <c r="E112" s="42">
        <f>CAPGEMINI!D110</f>
        <v/>
      </c>
      <c r="F112" s="42">
        <f>DANONE!D110</f>
        <v/>
      </c>
      <c r="G112" s="42">
        <f>ENGIE!D110</f>
        <v/>
      </c>
      <c r="H112" s="42">
        <f>'HERMES INTL'!D110</f>
        <v/>
      </c>
      <c r="I112" s="42">
        <f>'PERNOD RICARD'!D110</f>
        <v/>
      </c>
      <c r="J112" s="42">
        <f>RENAULT!D110</f>
        <v/>
      </c>
      <c r="K112" s="42">
        <f>SANOFI!D110</f>
        <v/>
      </c>
      <c r="L112" s="42">
        <f>'SCHNEIDER ELECTRIC'!D110</f>
        <v/>
      </c>
      <c r="M112" s="42">
        <f>'TOTAL ENERGIES'!D110</f>
        <v/>
      </c>
      <c r="N112" s="42">
        <f>VINCI!D110</f>
        <v/>
      </c>
      <c r="O112" s="43" t="n"/>
      <c r="P112" s="43">
        <f>AVERAGE(C112:N112)</f>
        <v/>
      </c>
    </row>
    <row r="113">
      <c r="B113" s="160" t="n">
        <v>43708</v>
      </c>
      <c r="C113" s="42">
        <f>AIRBUS!D111</f>
        <v/>
      </c>
      <c r="D113" s="42">
        <f>BNP!D111</f>
        <v/>
      </c>
      <c r="E113" s="42">
        <f>CAPGEMINI!D111</f>
        <v/>
      </c>
      <c r="F113" s="42">
        <f>DANONE!D111</f>
        <v/>
      </c>
      <c r="G113" s="42">
        <f>ENGIE!D111</f>
        <v/>
      </c>
      <c r="H113" s="42">
        <f>'HERMES INTL'!D111</f>
        <v/>
      </c>
      <c r="I113" s="42">
        <f>'PERNOD RICARD'!D111</f>
        <v/>
      </c>
      <c r="J113" s="42">
        <f>RENAULT!D111</f>
        <v/>
      </c>
      <c r="K113" s="42">
        <f>SANOFI!D111</f>
        <v/>
      </c>
      <c r="L113" s="42">
        <f>'SCHNEIDER ELECTRIC'!D111</f>
        <v/>
      </c>
      <c r="M113" s="42">
        <f>'TOTAL ENERGIES'!D111</f>
        <v/>
      </c>
      <c r="N113" s="42">
        <f>VINCI!D111</f>
        <v/>
      </c>
      <c r="O113" s="43" t="n"/>
      <c r="P113" s="43">
        <f>AVERAGE(C113:N113)</f>
        <v/>
      </c>
    </row>
    <row r="114">
      <c r="B114" s="160" t="n">
        <v>43738</v>
      </c>
      <c r="C114" s="42">
        <f>AIRBUS!D112</f>
        <v/>
      </c>
      <c r="D114" s="42">
        <f>BNP!D112</f>
        <v/>
      </c>
      <c r="E114" s="42">
        <f>CAPGEMINI!D112</f>
        <v/>
      </c>
      <c r="F114" s="42">
        <f>DANONE!D112</f>
        <v/>
      </c>
      <c r="G114" s="42">
        <f>ENGIE!D112</f>
        <v/>
      </c>
      <c r="H114" s="42">
        <f>'HERMES INTL'!D112</f>
        <v/>
      </c>
      <c r="I114" s="42">
        <f>'PERNOD RICARD'!D112</f>
        <v/>
      </c>
      <c r="J114" s="42">
        <f>RENAULT!D112</f>
        <v/>
      </c>
      <c r="K114" s="42">
        <f>SANOFI!D112</f>
        <v/>
      </c>
      <c r="L114" s="42">
        <f>'SCHNEIDER ELECTRIC'!D112</f>
        <v/>
      </c>
      <c r="M114" s="42">
        <f>'TOTAL ENERGIES'!D112</f>
        <v/>
      </c>
      <c r="N114" s="42">
        <f>VINCI!D112</f>
        <v/>
      </c>
      <c r="O114" s="43" t="n"/>
      <c r="P114" s="43">
        <f>AVERAGE(C114:N114)</f>
        <v/>
      </c>
    </row>
    <row r="115">
      <c r="B115" s="160" t="n">
        <v>43769</v>
      </c>
      <c r="C115" s="42">
        <f>AIRBUS!D113</f>
        <v/>
      </c>
      <c r="D115" s="42">
        <f>BNP!D113</f>
        <v/>
      </c>
      <c r="E115" s="42">
        <f>CAPGEMINI!D113</f>
        <v/>
      </c>
      <c r="F115" s="42">
        <f>DANONE!D113</f>
        <v/>
      </c>
      <c r="G115" s="42">
        <f>ENGIE!D113</f>
        <v/>
      </c>
      <c r="H115" s="42">
        <f>'HERMES INTL'!D113</f>
        <v/>
      </c>
      <c r="I115" s="42">
        <f>'PERNOD RICARD'!D113</f>
        <v/>
      </c>
      <c r="J115" s="42">
        <f>RENAULT!D113</f>
        <v/>
      </c>
      <c r="K115" s="42">
        <f>SANOFI!D113</f>
        <v/>
      </c>
      <c r="L115" s="42">
        <f>'SCHNEIDER ELECTRIC'!D113</f>
        <v/>
      </c>
      <c r="M115" s="42">
        <f>'TOTAL ENERGIES'!D113</f>
        <v/>
      </c>
      <c r="N115" s="42">
        <f>VINCI!D113</f>
        <v/>
      </c>
      <c r="O115" s="43" t="n"/>
      <c r="P115" s="43">
        <f>AVERAGE(C115:N115)</f>
        <v/>
      </c>
    </row>
    <row r="116">
      <c r="B116" s="160" t="n">
        <v>43799</v>
      </c>
      <c r="C116" s="42">
        <f>AIRBUS!D114</f>
        <v/>
      </c>
      <c r="D116" s="42">
        <f>BNP!D114</f>
        <v/>
      </c>
      <c r="E116" s="42">
        <f>CAPGEMINI!D114</f>
        <v/>
      </c>
      <c r="F116" s="42">
        <f>DANONE!D114</f>
        <v/>
      </c>
      <c r="G116" s="42">
        <f>ENGIE!D114</f>
        <v/>
      </c>
      <c r="H116" s="42">
        <f>'HERMES INTL'!D114</f>
        <v/>
      </c>
      <c r="I116" s="42">
        <f>'PERNOD RICARD'!D114</f>
        <v/>
      </c>
      <c r="J116" s="42">
        <f>RENAULT!D114</f>
        <v/>
      </c>
      <c r="K116" s="42">
        <f>SANOFI!D114</f>
        <v/>
      </c>
      <c r="L116" s="42">
        <f>'SCHNEIDER ELECTRIC'!D114</f>
        <v/>
      </c>
      <c r="M116" s="42">
        <f>'TOTAL ENERGIES'!D114</f>
        <v/>
      </c>
      <c r="N116" s="42">
        <f>VINCI!D114</f>
        <v/>
      </c>
      <c r="O116" s="43" t="n"/>
      <c r="P116" s="43">
        <f>AVERAGE(C116:N116)</f>
        <v/>
      </c>
    </row>
    <row r="117">
      <c r="B117" s="160" t="n">
        <v>43830</v>
      </c>
      <c r="C117" s="42">
        <f>AIRBUS!D115</f>
        <v/>
      </c>
      <c r="D117" s="42">
        <f>BNP!D115</f>
        <v/>
      </c>
      <c r="E117" s="42">
        <f>CAPGEMINI!D115</f>
        <v/>
      </c>
      <c r="F117" s="42">
        <f>DANONE!D115</f>
        <v/>
      </c>
      <c r="G117" s="42">
        <f>ENGIE!D115</f>
        <v/>
      </c>
      <c r="H117" s="42">
        <f>'HERMES INTL'!D115</f>
        <v/>
      </c>
      <c r="I117" s="42">
        <f>'PERNOD RICARD'!D115</f>
        <v/>
      </c>
      <c r="J117" s="42">
        <f>RENAULT!D115</f>
        <v/>
      </c>
      <c r="K117" s="42">
        <f>SANOFI!D115</f>
        <v/>
      </c>
      <c r="L117" s="42">
        <f>'SCHNEIDER ELECTRIC'!D115</f>
        <v/>
      </c>
      <c r="M117" s="42">
        <f>'TOTAL ENERGIES'!D115</f>
        <v/>
      </c>
      <c r="N117" s="42">
        <f>VINCI!D115</f>
        <v/>
      </c>
      <c r="O117" s="43" t="n"/>
      <c r="P117" s="43">
        <f>AVERAGE(C117:N117)</f>
        <v/>
      </c>
    </row>
    <row r="118">
      <c r="B118" s="160" t="n">
        <v>43861</v>
      </c>
      <c r="C118" s="42">
        <f>AIRBUS!D116</f>
        <v/>
      </c>
      <c r="D118" s="42">
        <f>BNP!D116</f>
        <v/>
      </c>
      <c r="E118" s="42">
        <f>CAPGEMINI!D116</f>
        <v/>
      </c>
      <c r="F118" s="42">
        <f>DANONE!D116</f>
        <v/>
      </c>
      <c r="G118" s="42">
        <f>ENGIE!D116</f>
        <v/>
      </c>
      <c r="H118" s="42">
        <f>'HERMES INTL'!D116</f>
        <v/>
      </c>
      <c r="I118" s="42">
        <f>'PERNOD RICARD'!D116</f>
        <v/>
      </c>
      <c r="J118" s="42">
        <f>RENAULT!D116</f>
        <v/>
      </c>
      <c r="K118" s="42">
        <f>SANOFI!D116</f>
        <v/>
      </c>
      <c r="L118" s="42">
        <f>'SCHNEIDER ELECTRIC'!D116</f>
        <v/>
      </c>
      <c r="M118" s="42">
        <f>'TOTAL ENERGIES'!D116</f>
        <v/>
      </c>
      <c r="N118" s="42">
        <f>VINCI!D116</f>
        <v/>
      </c>
      <c r="O118" s="43" t="n"/>
      <c r="P118" s="43">
        <f>AVERAGE(C118:N118)</f>
        <v/>
      </c>
    </row>
    <row r="119">
      <c r="B119" s="160" t="n">
        <v>43890</v>
      </c>
      <c r="C119" s="42">
        <f>AIRBUS!D117</f>
        <v/>
      </c>
      <c r="D119" s="42">
        <f>BNP!D117</f>
        <v/>
      </c>
      <c r="E119" s="42">
        <f>CAPGEMINI!D117</f>
        <v/>
      </c>
      <c r="F119" s="42">
        <f>DANONE!D117</f>
        <v/>
      </c>
      <c r="G119" s="42">
        <f>ENGIE!D117</f>
        <v/>
      </c>
      <c r="H119" s="42">
        <f>'HERMES INTL'!D117</f>
        <v/>
      </c>
      <c r="I119" s="42">
        <f>'PERNOD RICARD'!D117</f>
        <v/>
      </c>
      <c r="J119" s="42">
        <f>RENAULT!D117</f>
        <v/>
      </c>
      <c r="K119" s="42">
        <f>SANOFI!D117</f>
        <v/>
      </c>
      <c r="L119" s="42">
        <f>'SCHNEIDER ELECTRIC'!D117</f>
        <v/>
      </c>
      <c r="M119" s="42">
        <f>'TOTAL ENERGIES'!D117</f>
        <v/>
      </c>
      <c r="N119" s="42">
        <f>VINCI!D117</f>
        <v/>
      </c>
      <c r="O119" s="43" t="n"/>
      <c r="P119" s="43">
        <f>AVERAGE(C119:N119)</f>
        <v/>
      </c>
    </row>
    <row r="120">
      <c r="B120" s="160" t="n">
        <v>43921</v>
      </c>
      <c r="C120" s="42">
        <f>AIRBUS!D118</f>
        <v/>
      </c>
      <c r="D120" s="42">
        <f>BNP!D118</f>
        <v/>
      </c>
      <c r="E120" s="42">
        <f>CAPGEMINI!D118</f>
        <v/>
      </c>
      <c r="F120" s="42">
        <f>DANONE!D118</f>
        <v/>
      </c>
      <c r="G120" s="42">
        <f>ENGIE!D118</f>
        <v/>
      </c>
      <c r="H120" s="42">
        <f>'HERMES INTL'!D118</f>
        <v/>
      </c>
      <c r="I120" s="42">
        <f>'PERNOD RICARD'!D118</f>
        <v/>
      </c>
      <c r="J120" s="42">
        <f>RENAULT!D118</f>
        <v/>
      </c>
      <c r="K120" s="42">
        <f>SANOFI!D118</f>
        <v/>
      </c>
      <c r="L120" s="42">
        <f>'SCHNEIDER ELECTRIC'!D118</f>
        <v/>
      </c>
      <c r="M120" s="42">
        <f>'TOTAL ENERGIES'!D118</f>
        <v/>
      </c>
      <c r="N120" s="42">
        <f>VINCI!D118</f>
        <v/>
      </c>
      <c r="O120" s="43" t="n"/>
      <c r="P120" s="43">
        <f>AVERAGE(C120:N120)</f>
        <v/>
      </c>
    </row>
    <row r="121">
      <c r="B121" s="160" t="n">
        <v>43951</v>
      </c>
      <c r="C121" s="42">
        <f>AIRBUS!D119</f>
        <v/>
      </c>
      <c r="D121" s="42">
        <f>BNP!D119</f>
        <v/>
      </c>
      <c r="E121" s="42">
        <f>CAPGEMINI!D119</f>
        <v/>
      </c>
      <c r="F121" s="42">
        <f>DANONE!D119</f>
        <v/>
      </c>
      <c r="G121" s="42">
        <f>ENGIE!D119</f>
        <v/>
      </c>
      <c r="H121" s="42">
        <f>'HERMES INTL'!D119</f>
        <v/>
      </c>
      <c r="I121" s="42">
        <f>'PERNOD RICARD'!D119</f>
        <v/>
      </c>
      <c r="J121" s="42">
        <f>RENAULT!D119</f>
        <v/>
      </c>
      <c r="K121" s="42">
        <f>SANOFI!D119</f>
        <v/>
      </c>
      <c r="L121" s="42">
        <f>'SCHNEIDER ELECTRIC'!D119</f>
        <v/>
      </c>
      <c r="M121" s="42">
        <f>'TOTAL ENERGIES'!D119</f>
        <v/>
      </c>
      <c r="N121" s="42">
        <f>VINCI!D119</f>
        <v/>
      </c>
      <c r="O121" s="43" t="n"/>
      <c r="P121" s="43">
        <f>AVERAGE(C121:N121)</f>
        <v/>
      </c>
    </row>
    <row r="122">
      <c r="B122" s="160" t="n">
        <v>43982</v>
      </c>
      <c r="C122" s="42">
        <f>AIRBUS!D120</f>
        <v/>
      </c>
      <c r="D122" s="42">
        <f>BNP!D120</f>
        <v/>
      </c>
      <c r="E122" s="42">
        <f>CAPGEMINI!D120</f>
        <v/>
      </c>
      <c r="F122" s="42">
        <f>DANONE!D120</f>
        <v/>
      </c>
      <c r="G122" s="42">
        <f>ENGIE!D120</f>
        <v/>
      </c>
      <c r="H122" s="42">
        <f>'HERMES INTL'!D120</f>
        <v/>
      </c>
      <c r="I122" s="42">
        <f>'PERNOD RICARD'!D120</f>
        <v/>
      </c>
      <c r="J122" s="42">
        <f>RENAULT!D120</f>
        <v/>
      </c>
      <c r="K122" s="42">
        <f>SANOFI!D120</f>
        <v/>
      </c>
      <c r="L122" s="42">
        <f>'SCHNEIDER ELECTRIC'!D120</f>
        <v/>
      </c>
      <c r="M122" s="42">
        <f>'TOTAL ENERGIES'!D120</f>
        <v/>
      </c>
      <c r="N122" s="42">
        <f>VINCI!D120</f>
        <v/>
      </c>
      <c r="O122" s="43" t="n"/>
      <c r="P122" s="43">
        <f>AVERAGE(C122:N122)</f>
        <v/>
      </c>
    </row>
    <row r="123">
      <c r="B123" s="160" t="n">
        <v>44012</v>
      </c>
      <c r="C123" s="42">
        <f>AIRBUS!D121</f>
        <v/>
      </c>
      <c r="D123" s="42">
        <f>BNP!D121</f>
        <v/>
      </c>
      <c r="E123" s="42">
        <f>CAPGEMINI!D121</f>
        <v/>
      </c>
      <c r="F123" s="42">
        <f>DANONE!D121</f>
        <v/>
      </c>
      <c r="G123" s="42">
        <f>ENGIE!D121</f>
        <v/>
      </c>
      <c r="H123" s="42">
        <f>'HERMES INTL'!D121</f>
        <v/>
      </c>
      <c r="I123" s="42">
        <f>'PERNOD RICARD'!D121</f>
        <v/>
      </c>
      <c r="J123" s="42">
        <f>RENAULT!D121</f>
        <v/>
      </c>
      <c r="K123" s="42">
        <f>SANOFI!D121</f>
        <v/>
      </c>
      <c r="L123" s="42">
        <f>'SCHNEIDER ELECTRIC'!D121</f>
        <v/>
      </c>
      <c r="M123" s="42">
        <f>'TOTAL ENERGIES'!D121</f>
        <v/>
      </c>
      <c r="N123" s="42">
        <f>VINCI!D121</f>
        <v/>
      </c>
      <c r="O123" s="43" t="n"/>
      <c r="P123" s="43">
        <f>AVERAGE(C123:N123)</f>
        <v/>
      </c>
    </row>
    <row r="124">
      <c r="B124" s="160" t="n">
        <v>44043</v>
      </c>
      <c r="C124" s="42">
        <f>AIRBUS!D122</f>
        <v/>
      </c>
      <c r="D124" s="42">
        <f>BNP!D122</f>
        <v/>
      </c>
      <c r="E124" s="42">
        <f>CAPGEMINI!D122</f>
        <v/>
      </c>
      <c r="F124" s="42">
        <f>DANONE!D122</f>
        <v/>
      </c>
      <c r="G124" s="42">
        <f>ENGIE!D122</f>
        <v/>
      </c>
      <c r="H124" s="42">
        <f>'HERMES INTL'!D122</f>
        <v/>
      </c>
      <c r="I124" s="42">
        <f>'PERNOD RICARD'!D122</f>
        <v/>
      </c>
      <c r="J124" s="42">
        <f>RENAULT!D122</f>
        <v/>
      </c>
      <c r="K124" s="42">
        <f>SANOFI!D122</f>
        <v/>
      </c>
      <c r="L124" s="42">
        <f>'SCHNEIDER ELECTRIC'!D122</f>
        <v/>
      </c>
      <c r="M124" s="42">
        <f>'TOTAL ENERGIES'!D122</f>
        <v/>
      </c>
      <c r="N124" s="42">
        <f>VINCI!D122</f>
        <v/>
      </c>
      <c r="O124" s="43" t="n"/>
      <c r="P124" s="43">
        <f>AVERAGE(C124:N124)</f>
        <v/>
      </c>
    </row>
    <row r="125">
      <c r="B125" s="160" t="n">
        <v>44074</v>
      </c>
      <c r="C125" s="42">
        <f>AIRBUS!D123</f>
        <v/>
      </c>
      <c r="D125" s="42">
        <f>BNP!D123</f>
        <v/>
      </c>
      <c r="E125" s="42">
        <f>CAPGEMINI!D123</f>
        <v/>
      </c>
      <c r="F125" s="42">
        <f>DANONE!D123</f>
        <v/>
      </c>
      <c r="G125" s="42">
        <f>ENGIE!D123</f>
        <v/>
      </c>
      <c r="H125" s="42">
        <f>'HERMES INTL'!D123</f>
        <v/>
      </c>
      <c r="I125" s="42">
        <f>'PERNOD RICARD'!D123</f>
        <v/>
      </c>
      <c r="J125" s="42">
        <f>RENAULT!D123</f>
        <v/>
      </c>
      <c r="K125" s="42">
        <f>SANOFI!D123</f>
        <v/>
      </c>
      <c r="L125" s="42">
        <f>'SCHNEIDER ELECTRIC'!D123</f>
        <v/>
      </c>
      <c r="M125" s="42">
        <f>'TOTAL ENERGIES'!D123</f>
        <v/>
      </c>
      <c r="N125" s="42">
        <f>VINCI!D123</f>
        <v/>
      </c>
      <c r="O125" s="43" t="n"/>
      <c r="P125" s="43">
        <f>AVERAGE(C125:N125)</f>
        <v/>
      </c>
    </row>
    <row r="126">
      <c r="B126" s="160" t="n">
        <v>44104</v>
      </c>
      <c r="C126" s="42">
        <f>AIRBUS!D124</f>
        <v/>
      </c>
      <c r="D126" s="42">
        <f>BNP!D124</f>
        <v/>
      </c>
      <c r="E126" s="42">
        <f>CAPGEMINI!D124</f>
        <v/>
      </c>
      <c r="F126" s="42">
        <f>DANONE!D124</f>
        <v/>
      </c>
      <c r="G126" s="42">
        <f>ENGIE!D124</f>
        <v/>
      </c>
      <c r="H126" s="42">
        <f>'HERMES INTL'!D124</f>
        <v/>
      </c>
      <c r="I126" s="42">
        <f>'PERNOD RICARD'!D124</f>
        <v/>
      </c>
      <c r="J126" s="42">
        <f>RENAULT!D124</f>
        <v/>
      </c>
      <c r="K126" s="42">
        <f>SANOFI!D124</f>
        <v/>
      </c>
      <c r="L126" s="42">
        <f>'SCHNEIDER ELECTRIC'!D124</f>
        <v/>
      </c>
      <c r="M126" s="42">
        <f>'TOTAL ENERGIES'!D124</f>
        <v/>
      </c>
      <c r="N126" s="42">
        <f>VINCI!D124</f>
        <v/>
      </c>
      <c r="O126" s="43" t="n"/>
      <c r="P126" s="43">
        <f>AVERAGE(C126:N126)</f>
        <v/>
      </c>
    </row>
    <row r="127">
      <c r="B127" s="160" t="n">
        <v>44135</v>
      </c>
      <c r="C127" s="42">
        <f>AIRBUS!D125</f>
        <v/>
      </c>
      <c r="D127" s="42">
        <f>BNP!D125</f>
        <v/>
      </c>
      <c r="E127" s="42">
        <f>CAPGEMINI!D125</f>
        <v/>
      </c>
      <c r="F127" s="42">
        <f>DANONE!D125</f>
        <v/>
      </c>
      <c r="G127" s="42">
        <f>ENGIE!D125</f>
        <v/>
      </c>
      <c r="H127" s="42">
        <f>'HERMES INTL'!D125</f>
        <v/>
      </c>
      <c r="I127" s="42">
        <f>'PERNOD RICARD'!D125</f>
        <v/>
      </c>
      <c r="J127" s="42">
        <f>RENAULT!D125</f>
        <v/>
      </c>
      <c r="K127" s="42">
        <f>SANOFI!D125</f>
        <v/>
      </c>
      <c r="L127" s="42">
        <f>'SCHNEIDER ELECTRIC'!D125</f>
        <v/>
      </c>
      <c r="M127" s="42">
        <f>'TOTAL ENERGIES'!D125</f>
        <v/>
      </c>
      <c r="N127" s="42">
        <f>VINCI!D125</f>
        <v/>
      </c>
      <c r="O127" s="43" t="n"/>
      <c r="P127" s="43">
        <f>AVERAGE(C127:N127)</f>
        <v/>
      </c>
    </row>
    <row r="128">
      <c r="B128" s="160" t="n">
        <v>44165</v>
      </c>
      <c r="C128" s="42">
        <f>AIRBUS!D126</f>
        <v/>
      </c>
      <c r="D128" s="42">
        <f>BNP!D126</f>
        <v/>
      </c>
      <c r="E128" s="42">
        <f>CAPGEMINI!D126</f>
        <v/>
      </c>
      <c r="F128" s="42">
        <f>DANONE!D126</f>
        <v/>
      </c>
      <c r="G128" s="42">
        <f>ENGIE!D126</f>
        <v/>
      </c>
      <c r="H128" s="42">
        <f>'HERMES INTL'!D126</f>
        <v/>
      </c>
      <c r="I128" s="42">
        <f>'PERNOD RICARD'!D126</f>
        <v/>
      </c>
      <c r="J128" s="42">
        <f>RENAULT!D126</f>
        <v/>
      </c>
      <c r="K128" s="42">
        <f>SANOFI!D126</f>
        <v/>
      </c>
      <c r="L128" s="42">
        <f>'SCHNEIDER ELECTRIC'!D126</f>
        <v/>
      </c>
      <c r="M128" s="42">
        <f>'TOTAL ENERGIES'!D126</f>
        <v/>
      </c>
      <c r="N128" s="42">
        <f>VINCI!D126</f>
        <v/>
      </c>
      <c r="O128" s="43" t="n"/>
      <c r="P128" s="43">
        <f>AVERAGE(C128:N128)</f>
        <v/>
      </c>
    </row>
    <row r="129">
      <c r="B129" s="160" t="n">
        <v>44196</v>
      </c>
      <c r="C129" s="42">
        <f>AIRBUS!D127</f>
        <v/>
      </c>
      <c r="D129" s="42">
        <f>BNP!D127</f>
        <v/>
      </c>
      <c r="E129" s="42">
        <f>CAPGEMINI!D127</f>
        <v/>
      </c>
      <c r="F129" s="42">
        <f>DANONE!D127</f>
        <v/>
      </c>
      <c r="G129" s="42">
        <f>ENGIE!D127</f>
        <v/>
      </c>
      <c r="H129" s="42">
        <f>'HERMES INTL'!D127</f>
        <v/>
      </c>
      <c r="I129" s="42">
        <f>'PERNOD RICARD'!D127</f>
        <v/>
      </c>
      <c r="J129" s="42">
        <f>RENAULT!D127</f>
        <v/>
      </c>
      <c r="K129" s="42">
        <f>SANOFI!D127</f>
        <v/>
      </c>
      <c r="L129" s="42">
        <f>'SCHNEIDER ELECTRIC'!D127</f>
        <v/>
      </c>
      <c r="M129" s="42">
        <f>'TOTAL ENERGIES'!D127</f>
        <v/>
      </c>
      <c r="N129" s="42">
        <f>VINCI!D127</f>
        <v/>
      </c>
      <c r="O129" s="43" t="n"/>
      <c r="P129" s="43">
        <f>AVERAGE(C129:N129)</f>
        <v/>
      </c>
    </row>
    <row r="130">
      <c r="B130" s="160" t="n">
        <v>44227</v>
      </c>
      <c r="C130" s="42">
        <f>AIRBUS!D128</f>
        <v/>
      </c>
      <c r="D130" s="42">
        <f>BNP!D128</f>
        <v/>
      </c>
      <c r="E130" s="42">
        <f>CAPGEMINI!D128</f>
        <v/>
      </c>
      <c r="F130" s="42">
        <f>DANONE!D128</f>
        <v/>
      </c>
      <c r="G130" s="42">
        <f>ENGIE!D128</f>
        <v/>
      </c>
      <c r="H130" s="42">
        <f>'HERMES INTL'!D128</f>
        <v/>
      </c>
      <c r="I130" s="42">
        <f>'PERNOD RICARD'!D128</f>
        <v/>
      </c>
      <c r="J130" s="42">
        <f>RENAULT!D128</f>
        <v/>
      </c>
      <c r="K130" s="42">
        <f>SANOFI!D128</f>
        <v/>
      </c>
      <c r="L130" s="42">
        <f>'SCHNEIDER ELECTRIC'!D128</f>
        <v/>
      </c>
      <c r="M130" s="42">
        <f>'TOTAL ENERGIES'!D128</f>
        <v/>
      </c>
      <c r="N130" s="42">
        <f>VINCI!D128</f>
        <v/>
      </c>
      <c r="O130" s="43" t="n"/>
      <c r="P130" s="43">
        <f>AVERAGE(C130:N130)</f>
        <v/>
      </c>
    </row>
    <row r="131">
      <c r="B131" s="160" t="n">
        <v>44255</v>
      </c>
      <c r="C131" s="42">
        <f>AIRBUS!D129</f>
        <v/>
      </c>
      <c r="D131" s="42">
        <f>BNP!D129</f>
        <v/>
      </c>
      <c r="E131" s="42">
        <f>CAPGEMINI!D129</f>
        <v/>
      </c>
      <c r="F131" s="42">
        <f>DANONE!D129</f>
        <v/>
      </c>
      <c r="G131" s="42">
        <f>ENGIE!D129</f>
        <v/>
      </c>
      <c r="H131" s="42">
        <f>'HERMES INTL'!D129</f>
        <v/>
      </c>
      <c r="I131" s="42">
        <f>'PERNOD RICARD'!D129</f>
        <v/>
      </c>
      <c r="J131" s="42">
        <f>RENAULT!D129</f>
        <v/>
      </c>
      <c r="K131" s="42">
        <f>SANOFI!D129</f>
        <v/>
      </c>
      <c r="L131" s="42">
        <f>'SCHNEIDER ELECTRIC'!D129</f>
        <v/>
      </c>
      <c r="M131" s="42">
        <f>'TOTAL ENERGIES'!D129</f>
        <v/>
      </c>
      <c r="N131" s="42">
        <f>VINCI!D129</f>
        <v/>
      </c>
      <c r="O131" s="43" t="n"/>
      <c r="P131" s="43">
        <f>AVERAGE(C131:N131)</f>
        <v/>
      </c>
    </row>
    <row r="132">
      <c r="B132" s="160" t="n">
        <v>44286</v>
      </c>
      <c r="C132" s="42">
        <f>AIRBUS!D130</f>
        <v/>
      </c>
      <c r="D132" s="42">
        <f>BNP!D130</f>
        <v/>
      </c>
      <c r="E132" s="42">
        <f>CAPGEMINI!D130</f>
        <v/>
      </c>
      <c r="F132" s="42">
        <f>DANONE!D130</f>
        <v/>
      </c>
      <c r="G132" s="42">
        <f>ENGIE!D130</f>
        <v/>
      </c>
      <c r="H132" s="42">
        <f>'HERMES INTL'!D130</f>
        <v/>
      </c>
      <c r="I132" s="42">
        <f>'PERNOD RICARD'!D130</f>
        <v/>
      </c>
      <c r="J132" s="42">
        <f>RENAULT!D130</f>
        <v/>
      </c>
      <c r="K132" s="42">
        <f>SANOFI!D130</f>
        <v/>
      </c>
      <c r="L132" s="42">
        <f>'SCHNEIDER ELECTRIC'!D130</f>
        <v/>
      </c>
      <c r="M132" s="42">
        <f>'TOTAL ENERGIES'!D130</f>
        <v/>
      </c>
      <c r="N132" s="42">
        <f>VINCI!D130</f>
        <v/>
      </c>
      <c r="O132" s="43" t="n"/>
      <c r="P132" s="43">
        <f>AVERAGE(C132:N132)</f>
        <v/>
      </c>
    </row>
    <row r="133">
      <c r="B133" s="160" t="n">
        <v>44316</v>
      </c>
      <c r="C133" s="42">
        <f>AIRBUS!D131</f>
        <v/>
      </c>
      <c r="D133" s="42">
        <f>BNP!D131</f>
        <v/>
      </c>
      <c r="E133" s="42">
        <f>CAPGEMINI!D131</f>
        <v/>
      </c>
      <c r="F133" s="42">
        <f>DANONE!D131</f>
        <v/>
      </c>
      <c r="G133" s="42">
        <f>ENGIE!D131</f>
        <v/>
      </c>
      <c r="H133" s="42">
        <f>'HERMES INTL'!D131</f>
        <v/>
      </c>
      <c r="I133" s="42">
        <f>'PERNOD RICARD'!D131</f>
        <v/>
      </c>
      <c r="J133" s="42">
        <f>RENAULT!D131</f>
        <v/>
      </c>
      <c r="K133" s="42">
        <f>SANOFI!D131</f>
        <v/>
      </c>
      <c r="L133" s="42">
        <f>'SCHNEIDER ELECTRIC'!D131</f>
        <v/>
      </c>
      <c r="M133" s="42">
        <f>'TOTAL ENERGIES'!D131</f>
        <v/>
      </c>
      <c r="N133" s="42">
        <f>VINCI!D131</f>
        <v/>
      </c>
      <c r="O133" s="43" t="n"/>
      <c r="P133" s="43">
        <f>AVERAGE(C133:N133)</f>
        <v/>
      </c>
    </row>
    <row r="134">
      <c r="B134" s="160" t="n">
        <v>44347</v>
      </c>
      <c r="C134" s="42">
        <f>AIRBUS!D132</f>
        <v/>
      </c>
      <c r="D134" s="42">
        <f>BNP!D132</f>
        <v/>
      </c>
      <c r="E134" s="42">
        <f>CAPGEMINI!D132</f>
        <v/>
      </c>
      <c r="F134" s="42">
        <f>DANONE!D132</f>
        <v/>
      </c>
      <c r="G134" s="42">
        <f>ENGIE!D132</f>
        <v/>
      </c>
      <c r="H134" s="42">
        <f>'HERMES INTL'!D132</f>
        <v/>
      </c>
      <c r="I134" s="42">
        <f>'PERNOD RICARD'!D132</f>
        <v/>
      </c>
      <c r="J134" s="42">
        <f>RENAULT!D132</f>
        <v/>
      </c>
      <c r="K134" s="42">
        <f>SANOFI!D132</f>
        <v/>
      </c>
      <c r="L134" s="42">
        <f>'SCHNEIDER ELECTRIC'!D132</f>
        <v/>
      </c>
      <c r="M134" s="42">
        <f>'TOTAL ENERGIES'!D132</f>
        <v/>
      </c>
      <c r="N134" s="42">
        <f>VINCI!D132</f>
        <v/>
      </c>
      <c r="O134" s="43" t="n"/>
      <c r="P134" s="43">
        <f>AVERAGE(C134:N134)</f>
        <v/>
      </c>
    </row>
    <row r="135">
      <c r="B135" s="160" t="n">
        <v>44377</v>
      </c>
      <c r="C135" s="42">
        <f>AIRBUS!D133</f>
        <v/>
      </c>
      <c r="D135" s="42">
        <f>BNP!D133</f>
        <v/>
      </c>
      <c r="E135" s="42">
        <f>CAPGEMINI!D133</f>
        <v/>
      </c>
      <c r="F135" s="42">
        <f>DANONE!D133</f>
        <v/>
      </c>
      <c r="G135" s="42">
        <f>ENGIE!D133</f>
        <v/>
      </c>
      <c r="H135" s="42">
        <f>'HERMES INTL'!D133</f>
        <v/>
      </c>
      <c r="I135" s="42">
        <f>'PERNOD RICARD'!D133</f>
        <v/>
      </c>
      <c r="J135" s="42">
        <f>RENAULT!D133</f>
        <v/>
      </c>
      <c r="K135" s="42">
        <f>SANOFI!D133</f>
        <v/>
      </c>
      <c r="L135" s="42">
        <f>'SCHNEIDER ELECTRIC'!D133</f>
        <v/>
      </c>
      <c r="M135" s="42">
        <f>'TOTAL ENERGIES'!D133</f>
        <v/>
      </c>
      <c r="N135" s="42">
        <f>VINCI!D133</f>
        <v/>
      </c>
      <c r="O135" s="43" t="n"/>
      <c r="P135" s="43">
        <f>AVERAGE(C135:N135)</f>
        <v/>
      </c>
    </row>
    <row r="136">
      <c r="B136" s="160" t="n">
        <v>44408</v>
      </c>
      <c r="C136" s="42">
        <f>AIRBUS!D134</f>
        <v/>
      </c>
      <c r="D136" s="42">
        <f>BNP!D134</f>
        <v/>
      </c>
      <c r="E136" s="42">
        <f>CAPGEMINI!D134</f>
        <v/>
      </c>
      <c r="F136" s="42">
        <f>DANONE!D134</f>
        <v/>
      </c>
      <c r="G136" s="42">
        <f>ENGIE!D134</f>
        <v/>
      </c>
      <c r="H136" s="42">
        <f>'HERMES INTL'!D134</f>
        <v/>
      </c>
      <c r="I136" s="42">
        <f>'PERNOD RICARD'!D134</f>
        <v/>
      </c>
      <c r="J136" s="42">
        <f>RENAULT!D134</f>
        <v/>
      </c>
      <c r="K136" s="42">
        <f>SANOFI!D134</f>
        <v/>
      </c>
      <c r="L136" s="42">
        <f>'SCHNEIDER ELECTRIC'!D134</f>
        <v/>
      </c>
      <c r="M136" s="42">
        <f>'TOTAL ENERGIES'!D134</f>
        <v/>
      </c>
      <c r="N136" s="42">
        <f>VINCI!D134</f>
        <v/>
      </c>
      <c r="O136" s="43" t="n"/>
      <c r="P136" s="43">
        <f>AVERAGE(C136:N136)</f>
        <v/>
      </c>
    </row>
    <row r="137">
      <c r="B137" s="160" t="n">
        <v>44439</v>
      </c>
      <c r="C137" s="42">
        <f>AIRBUS!D135</f>
        <v/>
      </c>
      <c r="D137" s="42">
        <f>BNP!D135</f>
        <v/>
      </c>
      <c r="E137" s="42">
        <f>CAPGEMINI!D135</f>
        <v/>
      </c>
      <c r="F137" s="42">
        <f>DANONE!D135</f>
        <v/>
      </c>
      <c r="G137" s="42">
        <f>ENGIE!D135</f>
        <v/>
      </c>
      <c r="H137" s="42">
        <f>'HERMES INTL'!D135</f>
        <v/>
      </c>
      <c r="I137" s="42">
        <f>'PERNOD RICARD'!D135</f>
        <v/>
      </c>
      <c r="J137" s="42">
        <f>RENAULT!D135</f>
        <v/>
      </c>
      <c r="K137" s="42">
        <f>SANOFI!D135</f>
        <v/>
      </c>
      <c r="L137" s="42">
        <f>'SCHNEIDER ELECTRIC'!D135</f>
        <v/>
      </c>
      <c r="M137" s="42">
        <f>'TOTAL ENERGIES'!D135</f>
        <v/>
      </c>
      <c r="N137" s="42">
        <f>VINCI!D135</f>
        <v/>
      </c>
      <c r="O137" s="43" t="n"/>
      <c r="P137" s="43">
        <f>AVERAGE(C137:N137)</f>
        <v/>
      </c>
    </row>
    <row r="138">
      <c r="B138" s="160" t="n">
        <v>44469</v>
      </c>
      <c r="C138" s="42">
        <f>AIRBUS!D136</f>
        <v/>
      </c>
      <c r="D138" s="42">
        <f>BNP!D136</f>
        <v/>
      </c>
      <c r="E138" s="42">
        <f>CAPGEMINI!D136</f>
        <v/>
      </c>
      <c r="F138" s="42">
        <f>DANONE!D136</f>
        <v/>
      </c>
      <c r="G138" s="42">
        <f>ENGIE!D136</f>
        <v/>
      </c>
      <c r="H138" s="42">
        <f>'HERMES INTL'!D136</f>
        <v/>
      </c>
      <c r="I138" s="42">
        <f>'PERNOD RICARD'!D136</f>
        <v/>
      </c>
      <c r="J138" s="42">
        <f>RENAULT!D136</f>
        <v/>
      </c>
      <c r="K138" s="42">
        <f>SANOFI!D136</f>
        <v/>
      </c>
      <c r="L138" s="42">
        <f>'SCHNEIDER ELECTRIC'!D136</f>
        <v/>
      </c>
      <c r="M138" s="42">
        <f>'TOTAL ENERGIES'!D136</f>
        <v/>
      </c>
      <c r="N138" s="42">
        <f>VINCI!D136</f>
        <v/>
      </c>
      <c r="O138" s="43" t="n"/>
      <c r="P138" s="43">
        <f>AVERAGE(C138:N138)</f>
        <v/>
      </c>
    </row>
    <row r="139">
      <c r="B139" s="160" t="n">
        <v>44500</v>
      </c>
      <c r="C139" s="42">
        <f>AIRBUS!D137</f>
        <v/>
      </c>
      <c r="D139" s="42">
        <f>BNP!D137</f>
        <v/>
      </c>
      <c r="E139" s="42">
        <f>CAPGEMINI!D137</f>
        <v/>
      </c>
      <c r="F139" s="42">
        <f>DANONE!D137</f>
        <v/>
      </c>
      <c r="G139" s="42">
        <f>ENGIE!D137</f>
        <v/>
      </c>
      <c r="H139" s="42">
        <f>'HERMES INTL'!D137</f>
        <v/>
      </c>
      <c r="I139" s="42">
        <f>'PERNOD RICARD'!D137</f>
        <v/>
      </c>
      <c r="J139" s="42">
        <f>RENAULT!D137</f>
        <v/>
      </c>
      <c r="K139" s="42">
        <f>SANOFI!D137</f>
        <v/>
      </c>
      <c r="L139" s="42">
        <f>'SCHNEIDER ELECTRIC'!D137</f>
        <v/>
      </c>
      <c r="M139" s="42">
        <f>'TOTAL ENERGIES'!D137</f>
        <v/>
      </c>
      <c r="N139" s="42">
        <f>VINCI!D137</f>
        <v/>
      </c>
      <c r="O139" s="43" t="n"/>
      <c r="P139" s="43">
        <f>AVERAGE(C139:N139)</f>
        <v/>
      </c>
    </row>
    <row r="140">
      <c r="B140" s="160" t="n">
        <v>44530</v>
      </c>
      <c r="C140" s="42">
        <f>AIRBUS!D138</f>
        <v/>
      </c>
      <c r="D140" s="42">
        <f>BNP!D138</f>
        <v/>
      </c>
      <c r="E140" s="42">
        <f>CAPGEMINI!D138</f>
        <v/>
      </c>
      <c r="F140" s="42">
        <f>DANONE!D138</f>
        <v/>
      </c>
      <c r="G140" s="42">
        <f>ENGIE!D138</f>
        <v/>
      </c>
      <c r="H140" s="42">
        <f>'HERMES INTL'!D138</f>
        <v/>
      </c>
      <c r="I140" s="42">
        <f>'PERNOD RICARD'!D138</f>
        <v/>
      </c>
      <c r="J140" s="42">
        <f>RENAULT!D138</f>
        <v/>
      </c>
      <c r="K140" s="42">
        <f>SANOFI!D138</f>
        <v/>
      </c>
      <c r="L140" s="42">
        <f>'SCHNEIDER ELECTRIC'!D138</f>
        <v/>
      </c>
      <c r="M140" s="42">
        <f>'TOTAL ENERGIES'!D138</f>
        <v/>
      </c>
      <c r="N140" s="42">
        <f>VINCI!D138</f>
        <v/>
      </c>
      <c r="O140" s="43" t="n"/>
      <c r="P140" s="43">
        <f>AVERAGE(C140:N140)</f>
        <v/>
      </c>
    </row>
    <row r="141">
      <c r="B141" s="160" t="n">
        <v>44561</v>
      </c>
      <c r="C141" s="42">
        <f>AIRBUS!D139</f>
        <v/>
      </c>
      <c r="D141" s="42">
        <f>BNP!D139</f>
        <v/>
      </c>
      <c r="E141" s="42">
        <f>CAPGEMINI!D139</f>
        <v/>
      </c>
      <c r="F141" s="42">
        <f>DANONE!D139</f>
        <v/>
      </c>
      <c r="G141" s="42">
        <f>ENGIE!D139</f>
        <v/>
      </c>
      <c r="H141" s="42">
        <f>'HERMES INTL'!D139</f>
        <v/>
      </c>
      <c r="I141" s="42">
        <f>'PERNOD RICARD'!D139</f>
        <v/>
      </c>
      <c r="J141" s="42">
        <f>RENAULT!D139</f>
        <v/>
      </c>
      <c r="K141" s="42">
        <f>SANOFI!D139</f>
        <v/>
      </c>
      <c r="L141" s="42">
        <f>'SCHNEIDER ELECTRIC'!D139</f>
        <v/>
      </c>
      <c r="M141" s="42">
        <f>'TOTAL ENERGIES'!D139</f>
        <v/>
      </c>
      <c r="N141" s="42">
        <f>VINCI!D139</f>
        <v/>
      </c>
      <c r="O141" s="43" t="n"/>
      <c r="P141" s="43">
        <f>AVERAGE(C141:N141)</f>
        <v/>
      </c>
    </row>
    <row r="142">
      <c r="B142" s="160" t="n">
        <v>44592</v>
      </c>
      <c r="C142" s="42">
        <f>AIRBUS!D140</f>
        <v/>
      </c>
      <c r="D142" s="42">
        <f>BNP!D140</f>
        <v/>
      </c>
      <c r="E142" s="42">
        <f>CAPGEMINI!D140</f>
        <v/>
      </c>
      <c r="F142" s="42">
        <f>DANONE!D140</f>
        <v/>
      </c>
      <c r="G142" s="42">
        <f>ENGIE!D140</f>
        <v/>
      </c>
      <c r="H142" s="42">
        <f>'HERMES INTL'!D140</f>
        <v/>
      </c>
      <c r="I142" s="42">
        <f>'PERNOD RICARD'!D140</f>
        <v/>
      </c>
      <c r="J142" s="42">
        <f>RENAULT!D140</f>
        <v/>
      </c>
      <c r="K142" s="42">
        <f>SANOFI!D140</f>
        <v/>
      </c>
      <c r="L142" s="42">
        <f>'SCHNEIDER ELECTRIC'!D140</f>
        <v/>
      </c>
      <c r="M142" s="42">
        <f>'TOTAL ENERGIES'!D140</f>
        <v/>
      </c>
      <c r="N142" s="42">
        <f>VINCI!D140</f>
        <v/>
      </c>
      <c r="O142" s="43" t="n"/>
      <c r="P142" s="43">
        <f>AVERAGE(C142:N142)</f>
        <v/>
      </c>
    </row>
    <row r="143">
      <c r="B143" s="160" t="n">
        <v>44620</v>
      </c>
      <c r="C143" s="42">
        <f>AIRBUS!D141</f>
        <v/>
      </c>
      <c r="D143" s="42">
        <f>BNP!D141</f>
        <v/>
      </c>
      <c r="E143" s="42">
        <f>CAPGEMINI!D141</f>
        <v/>
      </c>
      <c r="F143" s="42">
        <f>DANONE!D141</f>
        <v/>
      </c>
      <c r="G143" s="42">
        <f>ENGIE!D141</f>
        <v/>
      </c>
      <c r="H143" s="42">
        <f>'HERMES INTL'!D141</f>
        <v/>
      </c>
      <c r="I143" s="42">
        <f>'PERNOD RICARD'!D141</f>
        <v/>
      </c>
      <c r="J143" s="42">
        <f>RENAULT!D141</f>
        <v/>
      </c>
      <c r="K143" s="42">
        <f>SANOFI!D141</f>
        <v/>
      </c>
      <c r="L143" s="42">
        <f>'SCHNEIDER ELECTRIC'!D141</f>
        <v/>
      </c>
      <c r="M143" s="42">
        <f>'TOTAL ENERGIES'!D141</f>
        <v/>
      </c>
      <c r="N143" s="42">
        <f>VINCI!D141</f>
        <v/>
      </c>
      <c r="O143" s="43" t="n"/>
      <c r="P143" s="43">
        <f>AVERAGE(C143:N143)</f>
        <v/>
      </c>
    </row>
    <row r="144">
      <c r="B144" s="160" t="n">
        <v>44651</v>
      </c>
      <c r="C144" s="42">
        <f>AIRBUS!D142</f>
        <v/>
      </c>
      <c r="D144" s="42">
        <f>BNP!D142</f>
        <v/>
      </c>
      <c r="E144" s="42">
        <f>CAPGEMINI!D142</f>
        <v/>
      </c>
      <c r="F144" s="42">
        <f>DANONE!D142</f>
        <v/>
      </c>
      <c r="G144" s="42">
        <f>ENGIE!D142</f>
        <v/>
      </c>
      <c r="H144" s="42">
        <f>'HERMES INTL'!D142</f>
        <v/>
      </c>
      <c r="I144" s="42">
        <f>'PERNOD RICARD'!D142</f>
        <v/>
      </c>
      <c r="J144" s="42">
        <f>RENAULT!D142</f>
        <v/>
      </c>
      <c r="K144" s="42">
        <f>SANOFI!D142</f>
        <v/>
      </c>
      <c r="L144" s="42">
        <f>'SCHNEIDER ELECTRIC'!D142</f>
        <v/>
      </c>
      <c r="M144" s="42">
        <f>'TOTAL ENERGIES'!D142</f>
        <v/>
      </c>
      <c r="N144" s="42">
        <f>VINCI!D142</f>
        <v/>
      </c>
      <c r="O144" s="43" t="n"/>
      <c r="P144" s="43">
        <f>AVERAGE(C144:N144)</f>
        <v/>
      </c>
    </row>
    <row r="145">
      <c r="B145" s="160" t="n">
        <v>44681</v>
      </c>
      <c r="C145" s="42">
        <f>AIRBUS!D143</f>
        <v/>
      </c>
      <c r="D145" s="42">
        <f>BNP!D143</f>
        <v/>
      </c>
      <c r="E145" s="42">
        <f>CAPGEMINI!D143</f>
        <v/>
      </c>
      <c r="F145" s="42">
        <f>DANONE!D143</f>
        <v/>
      </c>
      <c r="G145" s="42">
        <f>ENGIE!D143</f>
        <v/>
      </c>
      <c r="H145" s="42">
        <f>'HERMES INTL'!D143</f>
        <v/>
      </c>
      <c r="I145" s="42">
        <f>'PERNOD RICARD'!D143</f>
        <v/>
      </c>
      <c r="J145" s="42">
        <f>RENAULT!D143</f>
        <v/>
      </c>
      <c r="K145" s="42">
        <f>SANOFI!D143</f>
        <v/>
      </c>
      <c r="L145" s="42">
        <f>'SCHNEIDER ELECTRIC'!D143</f>
        <v/>
      </c>
      <c r="M145" s="42">
        <f>'TOTAL ENERGIES'!D143</f>
        <v/>
      </c>
      <c r="N145" s="42">
        <f>VINCI!D143</f>
        <v/>
      </c>
      <c r="O145" s="43" t="n"/>
      <c r="P145" s="43">
        <f>AVERAGE(C145:N145)</f>
        <v/>
      </c>
    </row>
    <row r="146">
      <c r="B146" s="160" t="n">
        <v>44712</v>
      </c>
      <c r="C146" s="42">
        <f>AIRBUS!D144</f>
        <v/>
      </c>
      <c r="D146" s="42">
        <f>BNP!D144</f>
        <v/>
      </c>
      <c r="E146" s="42">
        <f>CAPGEMINI!D144</f>
        <v/>
      </c>
      <c r="F146" s="42">
        <f>DANONE!D144</f>
        <v/>
      </c>
      <c r="G146" s="42">
        <f>ENGIE!D144</f>
        <v/>
      </c>
      <c r="H146" s="42">
        <f>'HERMES INTL'!D144</f>
        <v/>
      </c>
      <c r="I146" s="42">
        <f>'PERNOD RICARD'!D144</f>
        <v/>
      </c>
      <c r="J146" s="42">
        <f>RENAULT!D144</f>
        <v/>
      </c>
      <c r="K146" s="42">
        <f>SANOFI!D144</f>
        <v/>
      </c>
      <c r="L146" s="42">
        <f>'SCHNEIDER ELECTRIC'!D144</f>
        <v/>
      </c>
      <c r="M146" s="42">
        <f>'TOTAL ENERGIES'!D144</f>
        <v/>
      </c>
      <c r="N146" s="42">
        <f>VINCI!D144</f>
        <v/>
      </c>
      <c r="O146" s="43" t="n"/>
      <c r="P146" s="43">
        <f>AVERAGE(C146:N146)</f>
        <v/>
      </c>
    </row>
    <row r="147">
      <c r="B147" s="160" t="n">
        <v>44742</v>
      </c>
      <c r="C147" s="42">
        <f>AIRBUS!D145</f>
        <v/>
      </c>
      <c r="D147" s="42">
        <f>BNP!D145</f>
        <v/>
      </c>
      <c r="E147" s="42">
        <f>CAPGEMINI!D145</f>
        <v/>
      </c>
      <c r="F147" s="42">
        <f>DANONE!D145</f>
        <v/>
      </c>
      <c r="G147" s="42">
        <f>ENGIE!D145</f>
        <v/>
      </c>
      <c r="H147" s="42">
        <f>'HERMES INTL'!D145</f>
        <v/>
      </c>
      <c r="I147" s="42">
        <f>'PERNOD RICARD'!D145</f>
        <v/>
      </c>
      <c r="J147" s="42">
        <f>RENAULT!D145</f>
        <v/>
      </c>
      <c r="K147" s="42">
        <f>SANOFI!D145</f>
        <v/>
      </c>
      <c r="L147" s="42">
        <f>'SCHNEIDER ELECTRIC'!D145</f>
        <v/>
      </c>
      <c r="M147" s="42">
        <f>'TOTAL ENERGIES'!D145</f>
        <v/>
      </c>
      <c r="N147" s="42">
        <f>VINCI!D145</f>
        <v/>
      </c>
      <c r="O147" s="43" t="n"/>
      <c r="P147" s="43">
        <f>AVERAGE(C147:N147)</f>
        <v/>
      </c>
    </row>
    <row r="148">
      <c r="B148" s="160" t="n">
        <v>44773</v>
      </c>
      <c r="C148" s="42">
        <f>AIRBUS!D146</f>
        <v/>
      </c>
      <c r="D148" s="42">
        <f>BNP!D146</f>
        <v/>
      </c>
      <c r="E148" s="42">
        <f>CAPGEMINI!D146</f>
        <v/>
      </c>
      <c r="F148" s="42">
        <f>DANONE!D146</f>
        <v/>
      </c>
      <c r="G148" s="42">
        <f>ENGIE!D146</f>
        <v/>
      </c>
      <c r="H148" s="42">
        <f>'HERMES INTL'!D146</f>
        <v/>
      </c>
      <c r="I148" s="42">
        <f>'PERNOD RICARD'!D146</f>
        <v/>
      </c>
      <c r="J148" s="42">
        <f>RENAULT!D146</f>
        <v/>
      </c>
      <c r="K148" s="42">
        <f>SANOFI!D146</f>
        <v/>
      </c>
      <c r="L148" s="42">
        <f>'SCHNEIDER ELECTRIC'!D146</f>
        <v/>
      </c>
      <c r="M148" s="42">
        <f>'TOTAL ENERGIES'!D146</f>
        <v/>
      </c>
      <c r="N148" s="42">
        <f>VINCI!D146</f>
        <v/>
      </c>
      <c r="O148" s="43" t="n"/>
      <c r="P148" s="43">
        <f>AVERAGE(C148:N148)</f>
        <v/>
      </c>
    </row>
    <row r="149">
      <c r="B149" s="160" t="n">
        <v>44804</v>
      </c>
      <c r="C149" s="42">
        <f>AIRBUS!D147</f>
        <v/>
      </c>
      <c r="D149" s="42">
        <f>BNP!D147</f>
        <v/>
      </c>
      <c r="E149" s="42">
        <f>CAPGEMINI!D147</f>
        <v/>
      </c>
      <c r="F149" s="42">
        <f>DANONE!D147</f>
        <v/>
      </c>
      <c r="G149" s="42">
        <f>ENGIE!D147</f>
        <v/>
      </c>
      <c r="H149" s="42">
        <f>'HERMES INTL'!D147</f>
        <v/>
      </c>
      <c r="I149" s="42">
        <f>'PERNOD RICARD'!D147</f>
        <v/>
      </c>
      <c r="J149" s="42">
        <f>RENAULT!D147</f>
        <v/>
      </c>
      <c r="K149" s="42">
        <f>SANOFI!D147</f>
        <v/>
      </c>
      <c r="L149" s="42">
        <f>'SCHNEIDER ELECTRIC'!D147</f>
        <v/>
      </c>
      <c r="M149" s="42">
        <f>'TOTAL ENERGIES'!D147</f>
        <v/>
      </c>
      <c r="N149" s="42">
        <f>VINCI!D147</f>
        <v/>
      </c>
      <c r="O149" s="43" t="n"/>
      <c r="P149" s="43">
        <f>AVERAGE(C149:N149)</f>
        <v/>
      </c>
    </row>
    <row r="150">
      <c r="B150" s="160" t="n">
        <v>44834</v>
      </c>
      <c r="C150" s="42">
        <f>AIRBUS!D148</f>
        <v/>
      </c>
      <c r="D150" s="42">
        <f>BNP!D148</f>
        <v/>
      </c>
      <c r="E150" s="42">
        <f>CAPGEMINI!D148</f>
        <v/>
      </c>
      <c r="F150" s="42">
        <f>DANONE!D148</f>
        <v/>
      </c>
      <c r="G150" s="42">
        <f>ENGIE!D148</f>
        <v/>
      </c>
      <c r="H150" s="42">
        <f>'HERMES INTL'!D148</f>
        <v/>
      </c>
      <c r="I150" s="42">
        <f>'PERNOD RICARD'!D148</f>
        <v/>
      </c>
      <c r="J150" s="42">
        <f>RENAULT!D148</f>
        <v/>
      </c>
      <c r="K150" s="42">
        <f>SANOFI!D148</f>
        <v/>
      </c>
      <c r="L150" s="42">
        <f>'SCHNEIDER ELECTRIC'!D148</f>
        <v/>
      </c>
      <c r="M150" s="42">
        <f>'TOTAL ENERGIES'!D148</f>
        <v/>
      </c>
      <c r="N150" s="42">
        <f>VINCI!D148</f>
        <v/>
      </c>
      <c r="O150" s="43" t="n"/>
      <c r="P150" s="43">
        <f>AVERAGE(C150:N150)</f>
        <v/>
      </c>
    </row>
    <row r="151">
      <c r="B151" s="160" t="n">
        <v>44865</v>
      </c>
      <c r="C151" s="42">
        <f>AIRBUS!D149</f>
        <v/>
      </c>
      <c r="D151" s="42">
        <f>BNP!D149</f>
        <v/>
      </c>
      <c r="E151" s="42">
        <f>CAPGEMINI!D149</f>
        <v/>
      </c>
      <c r="F151" s="42">
        <f>DANONE!D149</f>
        <v/>
      </c>
      <c r="G151" s="42">
        <f>ENGIE!D149</f>
        <v/>
      </c>
      <c r="H151" s="42">
        <f>'HERMES INTL'!D149</f>
        <v/>
      </c>
      <c r="I151" s="42">
        <f>'PERNOD RICARD'!D149</f>
        <v/>
      </c>
      <c r="J151" s="42">
        <f>RENAULT!D149</f>
        <v/>
      </c>
      <c r="K151" s="42">
        <f>SANOFI!D149</f>
        <v/>
      </c>
      <c r="L151" s="42">
        <f>'SCHNEIDER ELECTRIC'!D149</f>
        <v/>
      </c>
      <c r="M151" s="42">
        <f>'TOTAL ENERGIES'!D149</f>
        <v/>
      </c>
      <c r="N151" s="42">
        <f>VINCI!D149</f>
        <v/>
      </c>
      <c r="O151" s="43" t="n"/>
      <c r="P151" s="43">
        <f>AVERAGE(C151:N151)</f>
        <v/>
      </c>
    </row>
    <row r="152">
      <c r="B152" s="160" t="n">
        <v>44895</v>
      </c>
      <c r="C152" s="42">
        <f>AIRBUS!D150</f>
        <v/>
      </c>
      <c r="D152" s="42">
        <f>BNP!D150</f>
        <v/>
      </c>
      <c r="E152" s="42">
        <f>CAPGEMINI!D150</f>
        <v/>
      </c>
      <c r="F152" s="42">
        <f>DANONE!D150</f>
        <v/>
      </c>
      <c r="G152" s="42">
        <f>ENGIE!D150</f>
        <v/>
      </c>
      <c r="H152" s="42">
        <f>'HERMES INTL'!D150</f>
        <v/>
      </c>
      <c r="I152" s="42">
        <f>'PERNOD RICARD'!D150</f>
        <v/>
      </c>
      <c r="J152" s="42">
        <f>RENAULT!D150</f>
        <v/>
      </c>
      <c r="K152" s="42">
        <f>SANOFI!D150</f>
        <v/>
      </c>
      <c r="L152" s="42">
        <f>'SCHNEIDER ELECTRIC'!D150</f>
        <v/>
      </c>
      <c r="M152" s="42">
        <f>'TOTAL ENERGIES'!D150</f>
        <v/>
      </c>
      <c r="N152" s="42">
        <f>VINCI!D150</f>
        <v/>
      </c>
      <c r="O152" s="43" t="n"/>
      <c r="P152" s="43">
        <f>AVERAGE(C152:N152)</f>
        <v/>
      </c>
    </row>
    <row r="153">
      <c r="B153" s="160" t="n">
        <v>44926</v>
      </c>
      <c r="C153" s="42">
        <f>AIRBUS!D151</f>
        <v/>
      </c>
      <c r="D153" s="42">
        <f>BNP!D151</f>
        <v/>
      </c>
      <c r="E153" s="42">
        <f>CAPGEMINI!D151</f>
        <v/>
      </c>
      <c r="F153" s="42">
        <f>DANONE!D151</f>
        <v/>
      </c>
      <c r="G153" s="42">
        <f>ENGIE!D151</f>
        <v/>
      </c>
      <c r="H153" s="42">
        <f>'HERMES INTL'!D151</f>
        <v/>
      </c>
      <c r="I153" s="42">
        <f>'PERNOD RICARD'!D151</f>
        <v/>
      </c>
      <c r="J153" s="42">
        <f>RENAULT!D151</f>
        <v/>
      </c>
      <c r="K153" s="42">
        <f>SANOFI!D151</f>
        <v/>
      </c>
      <c r="L153" s="42">
        <f>'SCHNEIDER ELECTRIC'!D151</f>
        <v/>
      </c>
      <c r="M153" s="42">
        <f>'TOTAL ENERGIES'!D151</f>
        <v/>
      </c>
      <c r="N153" s="42">
        <f>VINCI!D151</f>
        <v/>
      </c>
      <c r="O153" s="43" t="n"/>
      <c r="P153" s="43">
        <f>AVERAGE(C153:N153)</f>
        <v/>
      </c>
    </row>
    <row r="154">
      <c r="B154" s="160" t="n">
        <v>44957</v>
      </c>
      <c r="C154" s="42">
        <f>AIRBUS!D152</f>
        <v/>
      </c>
      <c r="D154" s="42">
        <f>BNP!D152</f>
        <v/>
      </c>
      <c r="E154" s="42">
        <f>CAPGEMINI!D152</f>
        <v/>
      </c>
      <c r="F154" s="42">
        <f>DANONE!D152</f>
        <v/>
      </c>
      <c r="G154" s="42">
        <f>ENGIE!D152</f>
        <v/>
      </c>
      <c r="H154" s="42">
        <f>'HERMES INTL'!D152</f>
        <v/>
      </c>
      <c r="I154" s="42">
        <f>'PERNOD RICARD'!D152</f>
        <v/>
      </c>
      <c r="J154" s="42">
        <f>RENAULT!D152</f>
        <v/>
      </c>
      <c r="K154" s="42">
        <f>SANOFI!D152</f>
        <v/>
      </c>
      <c r="L154" s="42">
        <f>'SCHNEIDER ELECTRIC'!D152</f>
        <v/>
      </c>
      <c r="M154" s="42">
        <f>'TOTAL ENERGIES'!D152</f>
        <v/>
      </c>
      <c r="N154" s="42">
        <f>VINCI!D152</f>
        <v/>
      </c>
      <c r="O154" s="43" t="n"/>
      <c r="P154" s="43">
        <f>AVERAGE(C154:N154)</f>
        <v/>
      </c>
    </row>
    <row r="155">
      <c r="B155" s="160" t="n">
        <v>44985</v>
      </c>
      <c r="C155" s="42">
        <f>AIRBUS!D153</f>
        <v/>
      </c>
      <c r="D155" s="42">
        <f>BNP!D153</f>
        <v/>
      </c>
      <c r="E155" s="42">
        <f>CAPGEMINI!D153</f>
        <v/>
      </c>
      <c r="F155" s="42">
        <f>DANONE!D153</f>
        <v/>
      </c>
      <c r="G155" s="42">
        <f>ENGIE!D153</f>
        <v/>
      </c>
      <c r="H155" s="42">
        <f>'HERMES INTL'!D153</f>
        <v/>
      </c>
      <c r="I155" s="42">
        <f>'PERNOD RICARD'!D153</f>
        <v/>
      </c>
      <c r="J155" s="42">
        <f>RENAULT!D153</f>
        <v/>
      </c>
      <c r="K155" s="42">
        <f>SANOFI!D153</f>
        <v/>
      </c>
      <c r="L155" s="42">
        <f>'SCHNEIDER ELECTRIC'!D153</f>
        <v/>
      </c>
      <c r="M155" s="42">
        <f>'TOTAL ENERGIES'!D153</f>
        <v/>
      </c>
      <c r="N155" s="42">
        <f>VINCI!D153</f>
        <v/>
      </c>
      <c r="O155" s="43" t="n"/>
      <c r="P155" s="43">
        <f>AVERAGE(C155:N155)</f>
        <v/>
      </c>
    </row>
    <row r="156">
      <c r="B156" s="160" t="n">
        <v>45016</v>
      </c>
      <c r="C156" s="42">
        <f>AIRBUS!D154</f>
        <v/>
      </c>
      <c r="D156" s="42">
        <f>BNP!D154</f>
        <v/>
      </c>
      <c r="E156" s="42">
        <f>CAPGEMINI!D154</f>
        <v/>
      </c>
      <c r="F156" s="42">
        <f>DANONE!D154</f>
        <v/>
      </c>
      <c r="G156" s="42">
        <f>ENGIE!D154</f>
        <v/>
      </c>
      <c r="H156" s="42">
        <f>'HERMES INTL'!D154</f>
        <v/>
      </c>
      <c r="I156" s="42">
        <f>'PERNOD RICARD'!D154</f>
        <v/>
      </c>
      <c r="J156" s="42">
        <f>RENAULT!D154</f>
        <v/>
      </c>
      <c r="K156" s="42">
        <f>SANOFI!D154</f>
        <v/>
      </c>
      <c r="L156" s="42">
        <f>'SCHNEIDER ELECTRIC'!D154</f>
        <v/>
      </c>
      <c r="M156" s="42">
        <f>'TOTAL ENERGIES'!D154</f>
        <v/>
      </c>
      <c r="N156" s="42">
        <f>VINCI!D154</f>
        <v/>
      </c>
      <c r="O156" s="43" t="n"/>
      <c r="P156" s="43">
        <f>AVERAGE(C156:N156)</f>
        <v/>
      </c>
    </row>
    <row r="157">
      <c r="B157" s="160" t="n">
        <v>45046</v>
      </c>
      <c r="C157" s="42">
        <f>AIRBUS!D155</f>
        <v/>
      </c>
      <c r="D157" s="42">
        <f>BNP!D155</f>
        <v/>
      </c>
      <c r="E157" s="42">
        <f>CAPGEMINI!D155</f>
        <v/>
      </c>
      <c r="F157" s="42">
        <f>DANONE!D155</f>
        <v/>
      </c>
      <c r="G157" s="42">
        <f>ENGIE!D155</f>
        <v/>
      </c>
      <c r="H157" s="42">
        <f>'HERMES INTL'!D155</f>
        <v/>
      </c>
      <c r="I157" s="42">
        <f>'PERNOD RICARD'!D155</f>
        <v/>
      </c>
      <c r="J157" s="42">
        <f>RENAULT!D155</f>
        <v/>
      </c>
      <c r="K157" s="42">
        <f>SANOFI!D155</f>
        <v/>
      </c>
      <c r="L157" s="42">
        <f>'SCHNEIDER ELECTRIC'!D155</f>
        <v/>
      </c>
      <c r="M157" s="42">
        <f>'TOTAL ENERGIES'!D155</f>
        <v/>
      </c>
      <c r="N157" s="42">
        <f>VINCI!D155</f>
        <v/>
      </c>
      <c r="O157" s="43" t="n"/>
      <c r="P157" s="43">
        <f>AVERAGE(C157:N157)</f>
        <v/>
      </c>
    </row>
    <row r="158">
      <c r="B158" s="160" t="n">
        <v>45077</v>
      </c>
      <c r="C158" s="42">
        <f>AIRBUS!D156</f>
        <v/>
      </c>
      <c r="D158" s="42">
        <f>BNP!D156</f>
        <v/>
      </c>
      <c r="E158" s="42">
        <f>CAPGEMINI!D156</f>
        <v/>
      </c>
      <c r="F158" s="42">
        <f>DANONE!D156</f>
        <v/>
      </c>
      <c r="G158" s="42">
        <f>ENGIE!D156</f>
        <v/>
      </c>
      <c r="H158" s="42">
        <f>'HERMES INTL'!D156</f>
        <v/>
      </c>
      <c r="I158" s="42">
        <f>'PERNOD RICARD'!D156</f>
        <v/>
      </c>
      <c r="J158" s="42">
        <f>RENAULT!D156</f>
        <v/>
      </c>
      <c r="K158" s="42">
        <f>SANOFI!D156</f>
        <v/>
      </c>
      <c r="L158" s="42">
        <f>'SCHNEIDER ELECTRIC'!D156</f>
        <v/>
      </c>
      <c r="M158" s="42">
        <f>'TOTAL ENERGIES'!D156</f>
        <v/>
      </c>
      <c r="N158" s="42">
        <f>VINCI!D156</f>
        <v/>
      </c>
      <c r="O158" s="43" t="n"/>
      <c r="P158" s="43">
        <f>AVERAGE(C158:N158)</f>
        <v/>
      </c>
    </row>
    <row r="159">
      <c r="B159" s="160" t="n">
        <v>45107</v>
      </c>
      <c r="C159" s="42">
        <f>AIRBUS!D157</f>
        <v/>
      </c>
      <c r="D159" s="42">
        <f>BNP!D157</f>
        <v/>
      </c>
      <c r="E159" s="42">
        <f>CAPGEMINI!D157</f>
        <v/>
      </c>
      <c r="F159" s="42">
        <f>DANONE!D157</f>
        <v/>
      </c>
      <c r="G159" s="42">
        <f>ENGIE!D157</f>
        <v/>
      </c>
      <c r="H159" s="42">
        <f>'HERMES INTL'!D157</f>
        <v/>
      </c>
      <c r="I159" s="42">
        <f>'PERNOD RICARD'!D157</f>
        <v/>
      </c>
      <c r="J159" s="42">
        <f>RENAULT!D157</f>
        <v/>
      </c>
      <c r="K159" s="42">
        <f>SANOFI!D157</f>
        <v/>
      </c>
      <c r="L159" s="42">
        <f>'SCHNEIDER ELECTRIC'!D157</f>
        <v/>
      </c>
      <c r="M159" s="42">
        <f>'TOTAL ENERGIES'!D157</f>
        <v/>
      </c>
      <c r="N159" s="42">
        <f>VINCI!D157</f>
        <v/>
      </c>
      <c r="O159" s="43" t="n"/>
      <c r="P159" s="43">
        <f>AVERAGE(C159:N159)</f>
        <v/>
      </c>
    </row>
    <row r="160">
      <c r="B160" s="160" t="n">
        <v>45138</v>
      </c>
      <c r="C160" s="42">
        <f>AIRBUS!D158</f>
        <v/>
      </c>
      <c r="D160" s="42">
        <f>BNP!D158</f>
        <v/>
      </c>
      <c r="E160" s="42">
        <f>CAPGEMINI!D158</f>
        <v/>
      </c>
      <c r="F160" s="42">
        <f>DANONE!D158</f>
        <v/>
      </c>
      <c r="G160" s="42">
        <f>ENGIE!D158</f>
        <v/>
      </c>
      <c r="H160" s="42">
        <f>'HERMES INTL'!D158</f>
        <v/>
      </c>
      <c r="I160" s="42">
        <f>'PERNOD RICARD'!D158</f>
        <v/>
      </c>
      <c r="J160" s="42">
        <f>RENAULT!D158</f>
        <v/>
      </c>
      <c r="K160" s="42">
        <f>SANOFI!D158</f>
        <v/>
      </c>
      <c r="L160" s="42">
        <f>'SCHNEIDER ELECTRIC'!D158</f>
        <v/>
      </c>
      <c r="M160" s="42">
        <f>'TOTAL ENERGIES'!D158</f>
        <v/>
      </c>
      <c r="N160" s="42">
        <f>VINCI!D158</f>
        <v/>
      </c>
      <c r="O160" s="43" t="n"/>
      <c r="P160" s="43">
        <f>AVERAGE(C160:N160)</f>
        <v/>
      </c>
    </row>
    <row r="161">
      <c r="B161" s="160" t="n">
        <v>45169</v>
      </c>
      <c r="C161" s="42">
        <f>AIRBUS!D159</f>
        <v/>
      </c>
      <c r="D161" s="42">
        <f>BNP!D159</f>
        <v/>
      </c>
      <c r="E161" s="42">
        <f>CAPGEMINI!D159</f>
        <v/>
      </c>
      <c r="F161" s="42">
        <f>DANONE!D159</f>
        <v/>
      </c>
      <c r="G161" s="42">
        <f>ENGIE!D159</f>
        <v/>
      </c>
      <c r="H161" s="42">
        <f>'HERMES INTL'!D159</f>
        <v/>
      </c>
      <c r="I161" s="42">
        <f>'PERNOD RICARD'!D159</f>
        <v/>
      </c>
      <c r="J161" s="42">
        <f>RENAULT!D159</f>
        <v/>
      </c>
      <c r="K161" s="42">
        <f>SANOFI!D159</f>
        <v/>
      </c>
      <c r="L161" s="42">
        <f>'SCHNEIDER ELECTRIC'!D159</f>
        <v/>
      </c>
      <c r="M161" s="42">
        <f>'TOTAL ENERGIES'!D159</f>
        <v/>
      </c>
      <c r="N161" s="42">
        <f>VINCI!D159</f>
        <v/>
      </c>
      <c r="O161" s="43" t="n"/>
      <c r="P161" s="43">
        <f>AVERAGE(C161:N161)</f>
        <v/>
      </c>
    </row>
    <row r="162">
      <c r="B162" s="160" t="n">
        <v>45199</v>
      </c>
      <c r="C162" s="42">
        <f>AIRBUS!D160</f>
        <v/>
      </c>
      <c r="D162" s="42">
        <f>BNP!D160</f>
        <v/>
      </c>
      <c r="E162" s="42">
        <f>CAPGEMINI!D160</f>
        <v/>
      </c>
      <c r="F162" s="42">
        <f>DANONE!D160</f>
        <v/>
      </c>
      <c r="G162" s="42">
        <f>ENGIE!D160</f>
        <v/>
      </c>
      <c r="H162" s="42">
        <f>'HERMES INTL'!D160</f>
        <v/>
      </c>
      <c r="I162" s="42">
        <f>'PERNOD RICARD'!D160</f>
        <v/>
      </c>
      <c r="J162" s="42">
        <f>RENAULT!D160</f>
        <v/>
      </c>
      <c r="K162" s="42">
        <f>SANOFI!D160</f>
        <v/>
      </c>
      <c r="L162" s="42">
        <f>'SCHNEIDER ELECTRIC'!D160</f>
        <v/>
      </c>
      <c r="M162" s="42">
        <f>'TOTAL ENERGIES'!D160</f>
        <v/>
      </c>
      <c r="N162" s="42">
        <f>VINCI!D160</f>
        <v/>
      </c>
      <c r="O162" s="43" t="n"/>
      <c r="P162" s="43">
        <f>AVERAGE(C162:N162)</f>
        <v/>
      </c>
    </row>
    <row r="163">
      <c r="B163" s="160" t="n">
        <v>45230</v>
      </c>
      <c r="C163" s="42">
        <f>AIRBUS!D161</f>
        <v/>
      </c>
      <c r="D163" s="42">
        <f>BNP!D161</f>
        <v/>
      </c>
      <c r="E163" s="42">
        <f>CAPGEMINI!D161</f>
        <v/>
      </c>
      <c r="F163" s="42">
        <f>DANONE!D161</f>
        <v/>
      </c>
      <c r="G163" s="42">
        <f>ENGIE!D161</f>
        <v/>
      </c>
      <c r="H163" s="42">
        <f>'HERMES INTL'!D161</f>
        <v/>
      </c>
      <c r="I163" s="42">
        <f>'PERNOD RICARD'!D161</f>
        <v/>
      </c>
      <c r="J163" s="42">
        <f>RENAULT!D161</f>
        <v/>
      </c>
      <c r="K163" s="42">
        <f>SANOFI!D161</f>
        <v/>
      </c>
      <c r="L163" s="42">
        <f>'SCHNEIDER ELECTRIC'!D161</f>
        <v/>
      </c>
      <c r="M163" s="42">
        <f>'TOTAL ENERGIES'!D161</f>
        <v/>
      </c>
      <c r="N163" s="42">
        <f>VINCI!D161</f>
        <v/>
      </c>
      <c r="O163" s="43" t="n"/>
      <c r="P163" s="43">
        <f>AVERAGE(C163:N163)</f>
        <v/>
      </c>
    </row>
    <row r="164">
      <c r="B164" s="160" t="n">
        <v>45260</v>
      </c>
      <c r="C164" s="42">
        <f>AIRBUS!D162</f>
        <v/>
      </c>
      <c r="D164" s="42">
        <f>BNP!D162</f>
        <v/>
      </c>
      <c r="E164" s="42">
        <f>CAPGEMINI!D162</f>
        <v/>
      </c>
      <c r="F164" s="42">
        <f>DANONE!D162</f>
        <v/>
      </c>
      <c r="G164" s="42">
        <f>ENGIE!D162</f>
        <v/>
      </c>
      <c r="H164" s="42">
        <f>'HERMES INTL'!D162</f>
        <v/>
      </c>
      <c r="I164" s="42">
        <f>'PERNOD RICARD'!D162</f>
        <v/>
      </c>
      <c r="J164" s="42">
        <f>RENAULT!D162</f>
        <v/>
      </c>
      <c r="K164" s="42">
        <f>SANOFI!D162</f>
        <v/>
      </c>
      <c r="L164" s="42">
        <f>'SCHNEIDER ELECTRIC'!D162</f>
        <v/>
      </c>
      <c r="M164" s="42">
        <f>'TOTAL ENERGIES'!D162</f>
        <v/>
      </c>
      <c r="N164" s="42">
        <f>VINCI!D162</f>
        <v/>
      </c>
      <c r="O164" s="43" t="n"/>
      <c r="P164" s="43">
        <f>AVERAGE(C164:N164)</f>
        <v/>
      </c>
    </row>
    <row r="165">
      <c r="B165" s="160" t="n">
        <v>45291</v>
      </c>
      <c r="C165" s="42">
        <f>AIRBUS!D163</f>
        <v/>
      </c>
      <c r="D165" s="42">
        <f>BNP!D163</f>
        <v/>
      </c>
      <c r="E165" s="42">
        <f>CAPGEMINI!D163</f>
        <v/>
      </c>
      <c r="F165" s="42">
        <f>DANONE!D163</f>
        <v/>
      </c>
      <c r="G165" s="42">
        <f>ENGIE!D163</f>
        <v/>
      </c>
      <c r="H165" s="42">
        <f>'HERMES INTL'!D163</f>
        <v/>
      </c>
      <c r="I165" s="42">
        <f>'PERNOD RICARD'!D163</f>
        <v/>
      </c>
      <c r="J165" s="42">
        <f>RENAULT!D163</f>
        <v/>
      </c>
      <c r="K165" s="42">
        <f>SANOFI!D163</f>
        <v/>
      </c>
      <c r="L165" s="42">
        <f>'SCHNEIDER ELECTRIC'!D163</f>
        <v/>
      </c>
      <c r="M165" s="42">
        <f>'TOTAL ENERGIES'!D163</f>
        <v/>
      </c>
      <c r="N165" s="42">
        <f>VINCI!D163</f>
        <v/>
      </c>
      <c r="O165" s="43" t="n"/>
      <c r="P165" s="43">
        <f>AVERAGE(C165:N165)</f>
        <v/>
      </c>
    </row>
    <row r="166">
      <c r="B166" s="160" t="n">
        <v>45322</v>
      </c>
      <c r="C166" s="42">
        <f>AIRBUS!D164</f>
        <v/>
      </c>
      <c r="D166" s="42">
        <f>BNP!D164</f>
        <v/>
      </c>
      <c r="E166" s="42">
        <f>CAPGEMINI!D164</f>
        <v/>
      </c>
      <c r="F166" s="42">
        <f>DANONE!D164</f>
        <v/>
      </c>
      <c r="G166" s="42">
        <f>ENGIE!D164</f>
        <v/>
      </c>
      <c r="H166" s="42">
        <f>'HERMES INTL'!D164</f>
        <v/>
      </c>
      <c r="I166" s="42">
        <f>'PERNOD RICARD'!D164</f>
        <v/>
      </c>
      <c r="J166" s="42">
        <f>RENAULT!D164</f>
        <v/>
      </c>
      <c r="K166" s="42">
        <f>SANOFI!D164</f>
        <v/>
      </c>
      <c r="L166" s="42">
        <f>'SCHNEIDER ELECTRIC'!D164</f>
        <v/>
      </c>
      <c r="M166" s="42">
        <f>'TOTAL ENERGIES'!D164</f>
        <v/>
      </c>
      <c r="N166" s="42">
        <f>VINCI!D164</f>
        <v/>
      </c>
      <c r="O166" s="43" t="n"/>
      <c r="P166" s="43">
        <f>AVERAGE(C166:N166)</f>
        <v/>
      </c>
    </row>
    <row r="167">
      <c r="B167" s="160" t="n">
        <v>45351</v>
      </c>
      <c r="C167" s="42">
        <f>AIRBUS!D165</f>
        <v/>
      </c>
      <c r="D167" s="42">
        <f>BNP!D165</f>
        <v/>
      </c>
      <c r="E167" s="42">
        <f>CAPGEMINI!D165</f>
        <v/>
      </c>
      <c r="F167" s="42">
        <f>DANONE!D165</f>
        <v/>
      </c>
      <c r="G167" s="42">
        <f>ENGIE!D165</f>
        <v/>
      </c>
      <c r="H167" s="42">
        <f>'HERMES INTL'!D165</f>
        <v/>
      </c>
      <c r="I167" s="42">
        <f>'PERNOD RICARD'!D165</f>
        <v/>
      </c>
      <c r="J167" s="42">
        <f>RENAULT!D165</f>
        <v/>
      </c>
      <c r="K167" s="42">
        <f>SANOFI!D165</f>
        <v/>
      </c>
      <c r="L167" s="42">
        <f>'SCHNEIDER ELECTRIC'!D165</f>
        <v/>
      </c>
      <c r="M167" s="42">
        <f>'TOTAL ENERGIES'!D165</f>
        <v/>
      </c>
      <c r="N167" s="42">
        <f>VINCI!D165</f>
        <v/>
      </c>
      <c r="O167" s="43" t="n"/>
      <c r="P167" s="43">
        <f>AVERAGE(C167:N167)</f>
        <v/>
      </c>
    </row>
    <row r="168">
      <c r="B168" s="160" t="n">
        <v>45382</v>
      </c>
      <c r="C168" s="42">
        <f>AIRBUS!D166</f>
        <v/>
      </c>
      <c r="D168" s="42">
        <f>BNP!D166</f>
        <v/>
      </c>
      <c r="E168" s="42">
        <f>CAPGEMINI!D166</f>
        <v/>
      </c>
      <c r="F168" s="42">
        <f>DANONE!D166</f>
        <v/>
      </c>
      <c r="G168" s="42">
        <f>ENGIE!D166</f>
        <v/>
      </c>
      <c r="H168" s="42">
        <f>'HERMES INTL'!D166</f>
        <v/>
      </c>
      <c r="I168" s="42">
        <f>'PERNOD RICARD'!D166</f>
        <v/>
      </c>
      <c r="J168" s="42">
        <f>RENAULT!D166</f>
        <v/>
      </c>
      <c r="K168" s="42">
        <f>SANOFI!D166</f>
        <v/>
      </c>
      <c r="L168" s="42">
        <f>'SCHNEIDER ELECTRIC'!D166</f>
        <v/>
      </c>
      <c r="M168" s="42">
        <f>'TOTAL ENERGIES'!D166</f>
        <v/>
      </c>
      <c r="N168" s="42">
        <f>VINCI!D166</f>
        <v/>
      </c>
      <c r="O168" s="43" t="n"/>
      <c r="P168" s="43">
        <f>AVERAGE(C168:N168)</f>
        <v/>
      </c>
    </row>
    <row r="169">
      <c r="B169" s="160" t="n">
        <v>45412</v>
      </c>
      <c r="C169" s="42">
        <f>AIRBUS!D167</f>
        <v/>
      </c>
      <c r="D169" s="42">
        <f>BNP!D167</f>
        <v/>
      </c>
      <c r="E169" s="42">
        <f>CAPGEMINI!D167</f>
        <v/>
      </c>
      <c r="F169" s="42">
        <f>DANONE!D167</f>
        <v/>
      </c>
      <c r="G169" s="42">
        <f>ENGIE!D167</f>
        <v/>
      </c>
      <c r="H169" s="42">
        <f>'HERMES INTL'!D167</f>
        <v/>
      </c>
      <c r="I169" s="42">
        <f>'PERNOD RICARD'!D167</f>
        <v/>
      </c>
      <c r="J169" s="42">
        <f>RENAULT!D167</f>
        <v/>
      </c>
      <c r="K169" s="42">
        <f>SANOFI!D167</f>
        <v/>
      </c>
      <c r="L169" s="42">
        <f>'SCHNEIDER ELECTRIC'!D167</f>
        <v/>
      </c>
      <c r="M169" s="42">
        <f>'TOTAL ENERGIES'!D167</f>
        <v/>
      </c>
      <c r="N169" s="42">
        <f>VINCI!D167</f>
        <v/>
      </c>
      <c r="O169" s="43" t="n"/>
      <c r="P169" s="43">
        <f>AVERAGE(C169:N169)</f>
        <v/>
      </c>
    </row>
    <row r="170">
      <c r="B170" s="160" t="n">
        <v>45443</v>
      </c>
      <c r="C170" s="42">
        <f>AIRBUS!D168</f>
        <v/>
      </c>
      <c r="D170" s="42">
        <f>BNP!D168</f>
        <v/>
      </c>
      <c r="E170" s="42">
        <f>CAPGEMINI!D168</f>
        <v/>
      </c>
      <c r="F170" s="42">
        <f>DANONE!D168</f>
        <v/>
      </c>
      <c r="G170" s="42">
        <f>ENGIE!D168</f>
        <v/>
      </c>
      <c r="H170" s="42">
        <f>'HERMES INTL'!D168</f>
        <v/>
      </c>
      <c r="I170" s="42">
        <f>'PERNOD RICARD'!D168</f>
        <v/>
      </c>
      <c r="J170" s="42">
        <f>RENAULT!D168</f>
        <v/>
      </c>
      <c r="K170" s="42">
        <f>SANOFI!D168</f>
        <v/>
      </c>
      <c r="L170" s="42">
        <f>'SCHNEIDER ELECTRIC'!D168</f>
        <v/>
      </c>
      <c r="M170" s="42">
        <f>'TOTAL ENERGIES'!D168</f>
        <v/>
      </c>
      <c r="N170" s="42">
        <f>VINCI!D168</f>
        <v/>
      </c>
      <c r="O170" s="43" t="n"/>
      <c r="P170" s="43">
        <f>AVERAGE(C170:N170)</f>
        <v/>
      </c>
    </row>
    <row r="171">
      <c r="B171" s="160" t="n">
        <v>45473</v>
      </c>
      <c r="C171" s="42">
        <f>AIRBUS!D169</f>
        <v/>
      </c>
      <c r="D171" s="42">
        <f>BNP!D169</f>
        <v/>
      </c>
      <c r="E171" s="42">
        <f>CAPGEMINI!D169</f>
        <v/>
      </c>
      <c r="F171" s="42">
        <f>DANONE!D169</f>
        <v/>
      </c>
      <c r="G171" s="42">
        <f>ENGIE!D169</f>
        <v/>
      </c>
      <c r="H171" s="42">
        <f>'HERMES INTL'!D169</f>
        <v/>
      </c>
      <c r="I171" s="42">
        <f>'PERNOD RICARD'!D169</f>
        <v/>
      </c>
      <c r="J171" s="42">
        <f>RENAULT!D169</f>
        <v/>
      </c>
      <c r="K171" s="42">
        <f>SANOFI!D169</f>
        <v/>
      </c>
      <c r="L171" s="42">
        <f>'SCHNEIDER ELECTRIC'!D169</f>
        <v/>
      </c>
      <c r="M171" s="42">
        <f>'TOTAL ENERGIES'!D169</f>
        <v/>
      </c>
      <c r="N171" s="42">
        <f>VINCI!D169</f>
        <v/>
      </c>
      <c r="O171" s="43" t="n"/>
      <c r="P171" s="43">
        <f>AVERAGE(C171:N171)</f>
        <v/>
      </c>
    </row>
    <row r="172">
      <c r="B172" s="160" t="n">
        <v>45504</v>
      </c>
      <c r="C172" s="42">
        <f>AIRBUS!D170</f>
        <v/>
      </c>
      <c r="D172" s="42">
        <f>BNP!D170</f>
        <v/>
      </c>
      <c r="E172" s="42">
        <f>CAPGEMINI!D170</f>
        <v/>
      </c>
      <c r="F172" s="42">
        <f>DANONE!D170</f>
        <v/>
      </c>
      <c r="G172" s="42">
        <f>ENGIE!D170</f>
        <v/>
      </c>
      <c r="H172" s="42">
        <f>'HERMES INTL'!D170</f>
        <v/>
      </c>
      <c r="I172" s="42">
        <f>'PERNOD RICARD'!D170</f>
        <v/>
      </c>
      <c r="J172" s="42">
        <f>RENAULT!D170</f>
        <v/>
      </c>
      <c r="K172" s="42">
        <f>SANOFI!D170</f>
        <v/>
      </c>
      <c r="L172" s="42">
        <f>'SCHNEIDER ELECTRIC'!D170</f>
        <v/>
      </c>
      <c r="M172" s="42">
        <f>'TOTAL ENERGIES'!D170</f>
        <v/>
      </c>
      <c r="N172" s="42">
        <f>VINCI!D170</f>
        <v/>
      </c>
      <c r="O172" s="43" t="n"/>
      <c r="P172" s="43">
        <f>AVERAGE(C172:N172)</f>
        <v/>
      </c>
    </row>
    <row r="173">
      <c r="B173" s="160" t="n">
        <v>45535</v>
      </c>
      <c r="C173" s="42">
        <f>AIRBUS!D171</f>
        <v/>
      </c>
      <c r="D173" s="42">
        <f>BNP!D171</f>
        <v/>
      </c>
      <c r="E173" s="42">
        <f>CAPGEMINI!D171</f>
        <v/>
      </c>
      <c r="F173" s="42">
        <f>DANONE!D171</f>
        <v/>
      </c>
      <c r="G173" s="42">
        <f>ENGIE!D171</f>
        <v/>
      </c>
      <c r="H173" s="42">
        <f>'HERMES INTL'!D171</f>
        <v/>
      </c>
      <c r="I173" s="42">
        <f>'PERNOD RICARD'!D171</f>
        <v/>
      </c>
      <c r="J173" s="42">
        <f>RENAULT!D171</f>
        <v/>
      </c>
      <c r="K173" s="42">
        <f>SANOFI!D171</f>
        <v/>
      </c>
      <c r="L173" s="42">
        <f>'SCHNEIDER ELECTRIC'!D171</f>
        <v/>
      </c>
      <c r="M173" s="42">
        <f>'TOTAL ENERGIES'!D171</f>
        <v/>
      </c>
      <c r="N173" s="42">
        <f>VINCI!D171</f>
        <v/>
      </c>
      <c r="O173" s="43" t="n"/>
      <c r="P173" s="43">
        <f>AVERAGE(C173:N173)</f>
        <v/>
      </c>
    </row>
    <row r="174">
      <c r="B174" s="160" t="n">
        <v>45565</v>
      </c>
      <c r="C174" s="42">
        <f>AIRBUS!D172</f>
        <v/>
      </c>
      <c r="D174" s="42">
        <f>BNP!D172</f>
        <v/>
      </c>
      <c r="E174" s="42">
        <f>CAPGEMINI!D172</f>
        <v/>
      </c>
      <c r="F174" s="42">
        <f>DANONE!D172</f>
        <v/>
      </c>
      <c r="G174" s="42">
        <f>ENGIE!D172</f>
        <v/>
      </c>
      <c r="H174" s="42">
        <f>'HERMES INTL'!D172</f>
        <v/>
      </c>
      <c r="I174" s="42">
        <f>'PERNOD RICARD'!D172</f>
        <v/>
      </c>
      <c r="J174" s="42">
        <f>RENAULT!D172</f>
        <v/>
      </c>
      <c r="K174" s="42">
        <f>SANOFI!D172</f>
        <v/>
      </c>
      <c r="L174" s="42">
        <f>'SCHNEIDER ELECTRIC'!D172</f>
        <v/>
      </c>
      <c r="M174" s="42">
        <f>'TOTAL ENERGIES'!D172</f>
        <v/>
      </c>
      <c r="N174" s="42">
        <f>VINCI!D172</f>
        <v/>
      </c>
      <c r="O174" s="43" t="n"/>
      <c r="P174" s="43">
        <f>AVERAGE(C174:N174)</f>
        <v/>
      </c>
    </row>
    <row r="175">
      <c r="B175" s="160" t="n">
        <v>45596</v>
      </c>
      <c r="C175" s="42">
        <f>AIRBUS!D173</f>
        <v/>
      </c>
      <c r="D175" s="42">
        <f>BNP!D173</f>
        <v/>
      </c>
      <c r="E175" s="42">
        <f>CAPGEMINI!D173</f>
        <v/>
      </c>
      <c r="F175" s="42">
        <f>DANONE!D173</f>
        <v/>
      </c>
      <c r="G175" s="42">
        <f>ENGIE!D173</f>
        <v/>
      </c>
      <c r="H175" s="42">
        <f>'HERMES INTL'!D173</f>
        <v/>
      </c>
      <c r="I175" s="42">
        <f>'PERNOD RICARD'!D173</f>
        <v/>
      </c>
      <c r="J175" s="42">
        <f>RENAULT!D173</f>
        <v/>
      </c>
      <c r="K175" s="42">
        <f>SANOFI!D173</f>
        <v/>
      </c>
      <c r="L175" s="42">
        <f>'SCHNEIDER ELECTRIC'!D173</f>
        <v/>
      </c>
      <c r="M175" s="42">
        <f>'TOTAL ENERGIES'!D173</f>
        <v/>
      </c>
      <c r="N175" s="42">
        <f>VINCI!D173</f>
        <v/>
      </c>
      <c r="O175" s="43" t="n"/>
      <c r="P175" s="43">
        <f>AVERAGE(C175:N175)</f>
        <v/>
      </c>
    </row>
    <row r="176">
      <c r="B176" s="160" t="n">
        <v>45626</v>
      </c>
      <c r="C176" s="42">
        <f>AIRBUS!D174</f>
        <v/>
      </c>
      <c r="D176" s="42">
        <f>BNP!D174</f>
        <v/>
      </c>
      <c r="E176" s="42">
        <f>CAPGEMINI!D174</f>
        <v/>
      </c>
      <c r="F176" s="42">
        <f>DANONE!D174</f>
        <v/>
      </c>
      <c r="G176" s="42">
        <f>ENGIE!D174</f>
        <v/>
      </c>
      <c r="H176" s="42">
        <f>'HERMES INTL'!D174</f>
        <v/>
      </c>
      <c r="I176" s="42">
        <f>'PERNOD RICARD'!D174</f>
        <v/>
      </c>
      <c r="J176" s="42">
        <f>RENAULT!D174</f>
        <v/>
      </c>
      <c r="K176" s="42">
        <f>SANOFI!D174</f>
        <v/>
      </c>
      <c r="L176" s="42">
        <f>'SCHNEIDER ELECTRIC'!D174</f>
        <v/>
      </c>
      <c r="M176" s="42">
        <f>'TOTAL ENERGIES'!D174</f>
        <v/>
      </c>
      <c r="N176" s="42">
        <f>VINCI!D174</f>
        <v/>
      </c>
      <c r="O176" s="43" t="n"/>
      <c r="P176" s="43">
        <f>AVERAGE(C176:N176)</f>
        <v/>
      </c>
    </row>
    <row r="177">
      <c r="B177" s="160" t="n">
        <v>45657</v>
      </c>
      <c r="C177" s="42">
        <f>AIRBUS!D175</f>
        <v/>
      </c>
      <c r="D177" s="42">
        <f>BNP!D175</f>
        <v/>
      </c>
      <c r="E177" s="42">
        <f>CAPGEMINI!D175</f>
        <v/>
      </c>
      <c r="F177" s="42">
        <f>DANONE!D175</f>
        <v/>
      </c>
      <c r="G177" s="42">
        <f>ENGIE!D175</f>
        <v/>
      </c>
      <c r="H177" s="42">
        <f>'HERMES INTL'!D175</f>
        <v/>
      </c>
      <c r="I177" s="42">
        <f>'PERNOD RICARD'!D175</f>
        <v/>
      </c>
      <c r="J177" s="42">
        <f>RENAULT!D175</f>
        <v/>
      </c>
      <c r="K177" s="42">
        <f>SANOFI!D175</f>
        <v/>
      </c>
      <c r="L177" s="42">
        <f>'SCHNEIDER ELECTRIC'!D175</f>
        <v/>
      </c>
      <c r="M177" s="42">
        <f>'TOTAL ENERGIES'!D175</f>
        <v/>
      </c>
      <c r="N177" s="42">
        <f>VINCI!D175</f>
        <v/>
      </c>
      <c r="O177" s="43" t="n"/>
      <c r="P177" s="43">
        <f>AVERAGE(C177:N177)</f>
        <v/>
      </c>
    </row>
    <row r="178">
      <c r="B178" s="160" t="n">
        <v>45688</v>
      </c>
      <c r="C178" s="42">
        <f>AIRBUS!D176</f>
        <v/>
      </c>
      <c r="D178" s="42">
        <f>BNP!D176</f>
        <v/>
      </c>
      <c r="E178" s="42">
        <f>CAPGEMINI!D176</f>
        <v/>
      </c>
      <c r="F178" s="42">
        <f>DANONE!D176</f>
        <v/>
      </c>
      <c r="G178" s="42">
        <f>ENGIE!D176</f>
        <v/>
      </c>
      <c r="H178" s="42">
        <f>'HERMES INTL'!D176</f>
        <v/>
      </c>
      <c r="I178" s="42">
        <f>'PERNOD RICARD'!D176</f>
        <v/>
      </c>
      <c r="J178" s="42">
        <f>RENAULT!D176</f>
        <v/>
      </c>
      <c r="K178" s="42">
        <f>SANOFI!D176</f>
        <v/>
      </c>
      <c r="L178" s="42">
        <f>'SCHNEIDER ELECTRIC'!D176</f>
        <v/>
      </c>
      <c r="M178" s="42">
        <f>'TOTAL ENERGIES'!D176</f>
        <v/>
      </c>
      <c r="N178" s="42">
        <f>VINCI!D176</f>
        <v/>
      </c>
      <c r="O178" s="43" t="n"/>
      <c r="P178" s="43">
        <f>AVERAGE(C178:N178)</f>
        <v/>
      </c>
    </row>
    <row r="179">
      <c r="B179" s="160" t="n">
        <v>45716</v>
      </c>
      <c r="C179" s="42">
        <f>AIRBUS!D177</f>
        <v/>
      </c>
      <c r="D179" s="42">
        <f>BNP!D177</f>
        <v/>
      </c>
      <c r="E179" s="42">
        <f>CAPGEMINI!D177</f>
        <v/>
      </c>
      <c r="F179" s="42">
        <f>DANONE!D177</f>
        <v/>
      </c>
      <c r="G179" s="42">
        <f>ENGIE!D177</f>
        <v/>
      </c>
      <c r="H179" s="42">
        <f>'HERMES INTL'!D177</f>
        <v/>
      </c>
      <c r="I179" s="42">
        <f>'PERNOD RICARD'!D177</f>
        <v/>
      </c>
      <c r="J179" s="42">
        <f>RENAULT!D177</f>
        <v/>
      </c>
      <c r="K179" s="42">
        <f>SANOFI!D177</f>
        <v/>
      </c>
      <c r="L179" s="42">
        <f>'SCHNEIDER ELECTRIC'!D177</f>
        <v/>
      </c>
      <c r="M179" s="42">
        <f>'TOTAL ENERGIES'!D177</f>
        <v/>
      </c>
      <c r="N179" s="42">
        <f>VINCI!D177</f>
        <v/>
      </c>
      <c r="O179" s="43" t="n"/>
      <c r="P179" s="43">
        <f>AVERAGE(C179:N179)</f>
        <v/>
      </c>
    </row>
    <row r="180">
      <c r="B180" s="160" t="n">
        <v>45747</v>
      </c>
      <c r="C180" s="42">
        <f>AIRBUS!D178</f>
        <v/>
      </c>
      <c r="D180" s="42">
        <f>BNP!D178</f>
        <v/>
      </c>
      <c r="E180" s="42">
        <f>CAPGEMINI!D178</f>
        <v/>
      </c>
      <c r="F180" s="42">
        <f>DANONE!D178</f>
        <v/>
      </c>
      <c r="G180" s="42">
        <f>ENGIE!D178</f>
        <v/>
      </c>
      <c r="H180" s="42">
        <f>'HERMES INTL'!D178</f>
        <v/>
      </c>
      <c r="I180" s="42">
        <f>'PERNOD RICARD'!D178</f>
        <v/>
      </c>
      <c r="J180" s="42">
        <f>RENAULT!D178</f>
        <v/>
      </c>
      <c r="K180" s="42">
        <f>SANOFI!D178</f>
        <v/>
      </c>
      <c r="L180" s="42">
        <f>'SCHNEIDER ELECTRIC'!D178</f>
        <v/>
      </c>
      <c r="M180" s="42">
        <f>'TOTAL ENERGIES'!D178</f>
        <v/>
      </c>
      <c r="N180" s="42">
        <f>VINCI!D178</f>
        <v/>
      </c>
      <c r="O180" s="43" t="n"/>
      <c r="P180" s="43">
        <f>AVERAGE(C180:N180)</f>
        <v/>
      </c>
    </row>
    <row r="181">
      <c r="B181" s="160" t="n">
        <v>45777</v>
      </c>
      <c r="C181" s="42">
        <f>AIRBUS!D179</f>
        <v/>
      </c>
      <c r="D181" s="42">
        <f>BNP!D179</f>
        <v/>
      </c>
      <c r="E181" s="42">
        <f>CAPGEMINI!D179</f>
        <v/>
      </c>
      <c r="F181" s="42">
        <f>DANONE!D179</f>
        <v/>
      </c>
      <c r="G181" s="42">
        <f>ENGIE!D179</f>
        <v/>
      </c>
      <c r="H181" s="42">
        <f>'HERMES INTL'!D179</f>
        <v/>
      </c>
      <c r="I181" s="42">
        <f>'PERNOD RICARD'!D179</f>
        <v/>
      </c>
      <c r="J181" s="42">
        <f>RENAULT!D179</f>
        <v/>
      </c>
      <c r="K181" s="42">
        <f>SANOFI!D179</f>
        <v/>
      </c>
      <c r="L181" s="42">
        <f>'SCHNEIDER ELECTRIC'!D179</f>
        <v/>
      </c>
      <c r="M181" s="42">
        <f>'TOTAL ENERGIES'!D179</f>
        <v/>
      </c>
      <c r="N181" s="42">
        <f>VINCI!D179</f>
        <v/>
      </c>
      <c r="O181" s="43" t="n"/>
      <c r="P181" s="43">
        <f>AVERAGE(C181:N181)</f>
        <v/>
      </c>
    </row>
    <row r="182">
      <c r="B182" s="160" t="n">
        <v>45808</v>
      </c>
      <c r="C182" s="42">
        <f>AIRBUS!D180</f>
        <v/>
      </c>
      <c r="D182" s="42">
        <f>BNP!D180</f>
        <v/>
      </c>
      <c r="E182" s="42">
        <f>CAPGEMINI!D180</f>
        <v/>
      </c>
      <c r="F182" s="42">
        <f>DANONE!D180</f>
        <v/>
      </c>
      <c r="G182" s="42">
        <f>ENGIE!D180</f>
        <v/>
      </c>
      <c r="H182" s="42">
        <f>'HERMES INTL'!D180</f>
        <v/>
      </c>
      <c r="I182" s="42">
        <f>'PERNOD RICARD'!D180</f>
        <v/>
      </c>
      <c r="J182" s="42">
        <f>RENAULT!D180</f>
        <v/>
      </c>
      <c r="K182" s="42">
        <f>SANOFI!D180</f>
        <v/>
      </c>
      <c r="L182" s="42">
        <f>'SCHNEIDER ELECTRIC'!D180</f>
        <v/>
      </c>
      <c r="M182" s="42">
        <f>'TOTAL ENERGIES'!D180</f>
        <v/>
      </c>
      <c r="N182" s="42">
        <f>VINCI!D180</f>
        <v/>
      </c>
      <c r="O182" s="43" t="n"/>
      <c r="P182" s="43">
        <f>AVERAGE(C182:N182)</f>
        <v/>
      </c>
    </row>
    <row r="183">
      <c r="B183" s="160" t="n">
        <v>45838</v>
      </c>
      <c r="C183" s="42">
        <f>AIRBUS!D181</f>
        <v/>
      </c>
      <c r="D183" s="42">
        <f>BNP!D181</f>
        <v/>
      </c>
      <c r="E183" s="42">
        <f>CAPGEMINI!D181</f>
        <v/>
      </c>
      <c r="F183" s="42">
        <f>DANONE!D181</f>
        <v/>
      </c>
      <c r="G183" s="42">
        <f>ENGIE!D181</f>
        <v/>
      </c>
      <c r="H183" s="42">
        <f>'HERMES INTL'!D181</f>
        <v/>
      </c>
      <c r="I183" s="42">
        <f>'PERNOD RICARD'!D181</f>
        <v/>
      </c>
      <c r="J183" s="42">
        <f>RENAULT!D181</f>
        <v/>
      </c>
      <c r="K183" s="42">
        <f>SANOFI!D181</f>
        <v/>
      </c>
      <c r="L183" s="42">
        <f>'SCHNEIDER ELECTRIC'!D181</f>
        <v/>
      </c>
      <c r="M183" s="42">
        <f>'TOTAL ENERGIES'!D181</f>
        <v/>
      </c>
      <c r="N183" s="42">
        <f>VINCI!D181</f>
        <v/>
      </c>
      <c r="O183" s="43" t="n"/>
      <c r="P183" s="43">
        <f>AVERAGE(C183:N183)</f>
        <v/>
      </c>
    </row>
    <row r="184">
      <c r="B184" s="160" t="n">
        <v>45869</v>
      </c>
      <c r="C184" s="42">
        <f>AIRBUS!D182</f>
        <v/>
      </c>
      <c r="D184" s="42">
        <f>BNP!D182</f>
        <v/>
      </c>
      <c r="E184" s="42">
        <f>CAPGEMINI!D182</f>
        <v/>
      </c>
      <c r="F184" s="42">
        <f>DANONE!D182</f>
        <v/>
      </c>
      <c r="G184" s="42">
        <f>ENGIE!D182</f>
        <v/>
      </c>
      <c r="H184" s="42">
        <f>'HERMES INTL'!D182</f>
        <v/>
      </c>
      <c r="I184" s="42">
        <f>'PERNOD RICARD'!D182</f>
        <v/>
      </c>
      <c r="J184" s="42">
        <f>RENAULT!D182</f>
        <v/>
      </c>
      <c r="K184" s="42">
        <f>SANOFI!D182</f>
        <v/>
      </c>
      <c r="L184" s="42">
        <f>'SCHNEIDER ELECTRIC'!D182</f>
        <v/>
      </c>
      <c r="M184" s="42">
        <f>'TOTAL ENERGIES'!D182</f>
        <v/>
      </c>
      <c r="N184" s="42">
        <f>VINCI!D182</f>
        <v/>
      </c>
      <c r="O184" s="43" t="n"/>
      <c r="P184" s="43">
        <f>AVERAGE(C184:N184)</f>
        <v/>
      </c>
    </row>
    <row r="185">
      <c r="B185" s="160" t="n">
        <v>45900</v>
      </c>
      <c r="C185" s="42">
        <f>AIRBUS!D183</f>
        <v/>
      </c>
      <c r="D185" s="42">
        <f>BNP!D183</f>
        <v/>
      </c>
      <c r="E185" s="42">
        <f>CAPGEMINI!D183</f>
        <v/>
      </c>
      <c r="F185" s="42">
        <f>DANONE!D183</f>
        <v/>
      </c>
      <c r="G185" s="42">
        <f>ENGIE!D183</f>
        <v/>
      </c>
      <c r="H185" s="42">
        <f>'HERMES INTL'!D183</f>
        <v/>
      </c>
      <c r="I185" s="42">
        <f>'PERNOD RICARD'!D183</f>
        <v/>
      </c>
      <c r="J185" s="42">
        <f>RENAULT!D183</f>
        <v/>
      </c>
      <c r="K185" s="42">
        <f>SANOFI!D183</f>
        <v/>
      </c>
      <c r="L185" s="42">
        <f>'SCHNEIDER ELECTRIC'!D183</f>
        <v/>
      </c>
      <c r="M185" s="42">
        <f>'TOTAL ENERGIES'!D183</f>
        <v/>
      </c>
      <c r="N185" s="42">
        <f>VINCI!D183</f>
        <v/>
      </c>
      <c r="O185" s="43" t="n"/>
      <c r="P185" s="43">
        <f>AVERAGE(C185:N185)</f>
        <v/>
      </c>
    </row>
    <row r="186">
      <c r="B186" s="160" t="n"/>
      <c r="C186" s="167" t="n"/>
      <c r="D186" s="167" t="n"/>
      <c r="E186" s="167" t="n"/>
      <c r="F186" s="167" t="n"/>
      <c r="G186" s="167" t="n"/>
      <c r="H186" s="167" t="n"/>
      <c r="I186" s="167" t="n"/>
      <c r="J186" s="167" t="n"/>
      <c r="K186" s="167" t="n"/>
      <c r="L186" s="167" t="n"/>
      <c r="M186" s="167" t="n"/>
      <c r="N186" s="167" t="n"/>
    </row>
    <row r="187">
      <c r="D187" s="37" t="n"/>
    </row>
    <row r="188">
      <c r="B188" s="131" t="inlineStr">
        <is>
          <t>A1</t>
        </is>
      </c>
      <c r="C188" s="168" t="n"/>
      <c r="D188" s="168" t="n"/>
      <c r="E188" s="168" t="n"/>
      <c r="F188" s="168" t="n"/>
      <c r="G188" s="168" t="n"/>
      <c r="H188" s="168" t="n"/>
      <c r="I188" s="168" t="n"/>
      <c r="J188" s="168" t="n"/>
      <c r="K188" s="168" t="n"/>
      <c r="L188" s="168" t="n"/>
      <c r="M188" s="168" t="n"/>
      <c r="N188" s="169" t="n"/>
    </row>
    <row r="189">
      <c r="B189" s="170" t="n"/>
      <c r="C189" s="16" t="n"/>
      <c r="D189" s="16" t="n"/>
      <c r="E189" s="16" t="n"/>
      <c r="F189" s="16" t="n"/>
      <c r="G189" s="16" t="n"/>
      <c r="H189" s="16" t="n"/>
      <c r="I189" s="16" t="n"/>
      <c r="J189" s="16" t="n"/>
      <c r="K189" s="16" t="n"/>
      <c r="L189" s="16" t="n"/>
      <c r="M189" s="16" t="n"/>
      <c r="N189" s="171" t="n"/>
    </row>
    <row r="190">
      <c r="B190" s="38" t="n"/>
      <c r="C190" s="38" t="n"/>
      <c r="D190" s="38" t="n"/>
      <c r="E190" s="38" t="n"/>
      <c r="F190" s="38" t="n"/>
      <c r="G190" s="38" t="n"/>
      <c r="H190" s="38" t="n"/>
      <c r="I190" s="38" t="n"/>
      <c r="J190" s="38" t="n"/>
      <c r="K190" s="38" t="n"/>
      <c r="L190" s="38" t="n"/>
      <c r="M190" s="38" t="n"/>
      <c r="N190" s="38" t="n"/>
    </row>
    <row r="191">
      <c r="B191" s="51" t="inlineStr">
        <is>
          <t>Company Name →</t>
        </is>
      </c>
      <c r="C191" s="58" t="inlineStr">
        <is>
          <t>AIRBUS</t>
        </is>
      </c>
      <c r="D191" s="133" t="inlineStr">
        <is>
          <t>BNP PARIBAS ACT.A</t>
        </is>
      </c>
      <c r="E191" s="133" t="inlineStr">
        <is>
          <t>CAPGEMINI</t>
        </is>
      </c>
      <c r="F191" s="133" t="inlineStr">
        <is>
          <t>DANONE</t>
        </is>
      </c>
      <c r="G191" s="133" t="inlineStr">
        <is>
          <t>ENGIE</t>
        </is>
      </c>
      <c r="H191" s="133" t="inlineStr">
        <is>
          <t>HERMES INTL</t>
        </is>
      </c>
      <c r="I191" s="133" t="inlineStr">
        <is>
          <t>PERNOD RICARD</t>
        </is>
      </c>
      <c r="J191" s="133" t="inlineStr">
        <is>
          <t>RENAULT</t>
        </is>
      </c>
      <c r="K191" s="133" t="inlineStr">
        <is>
          <t>SANOFI</t>
        </is>
      </c>
      <c r="L191" s="133" t="inlineStr">
        <is>
          <t>SCHNEIDER ELECTRIC</t>
        </is>
      </c>
      <c r="M191" s="133" t="inlineStr">
        <is>
          <t>TOTALENERGIES</t>
        </is>
      </c>
      <c r="N191" s="133" t="inlineStr">
        <is>
          <t>VINCI</t>
        </is>
      </c>
    </row>
    <row r="192">
      <c r="B192" s="53" t="inlineStr">
        <is>
          <t>Yahoo Ticker →</t>
        </is>
      </c>
      <c r="C192" s="55" t="inlineStr">
        <is>
          <t>AIR.PA</t>
        </is>
      </c>
      <c r="D192" s="55" t="inlineStr">
        <is>
          <t>BNP.PA</t>
        </is>
      </c>
      <c r="E192" s="55" t="inlineStr">
        <is>
          <t>CAP.PA</t>
        </is>
      </c>
      <c r="F192" s="55" t="inlineStr">
        <is>
          <t>BN.PA</t>
        </is>
      </c>
      <c r="G192" s="55" t="inlineStr">
        <is>
          <t>ENGI.PA</t>
        </is>
      </c>
      <c r="H192" s="55" t="inlineStr">
        <is>
          <t>RMS.PA</t>
        </is>
      </c>
      <c r="I192" s="55" t="inlineStr">
        <is>
          <t>RI.PA</t>
        </is>
      </c>
      <c r="J192" s="55" t="inlineStr">
        <is>
          <t>RNO.PA</t>
        </is>
      </c>
      <c r="K192" s="55" t="inlineStr">
        <is>
          <t>SAN.PA</t>
        </is>
      </c>
      <c r="L192" s="55" t="inlineStr">
        <is>
          <t>SU.PA</t>
        </is>
      </c>
      <c r="M192" s="55" t="inlineStr">
        <is>
          <t>TTE.PA</t>
        </is>
      </c>
      <c r="N192" s="55" t="inlineStr">
        <is>
          <t>DG.PA</t>
        </is>
      </c>
      <c r="P192" s="29" t="n"/>
    </row>
    <row r="193" ht="16" customHeight="1">
      <c r="B193" s="59" t="inlineStr">
        <is>
          <t xml:space="preserve">Average monthly return </t>
        </is>
      </c>
      <c r="C193" s="35">
        <f>AVERAGE(C6:C185)</f>
        <v/>
      </c>
      <c r="D193" s="35">
        <f>AVERAGE(D6:D185)</f>
        <v/>
      </c>
      <c r="E193" s="35">
        <f>AVERAGE(E6:E185)</f>
        <v/>
      </c>
      <c r="F193" s="35">
        <f>AVERAGE(F6:F185)</f>
        <v/>
      </c>
      <c r="G193" s="35">
        <f>AVERAGE(G6:G185)</f>
        <v/>
      </c>
      <c r="H193" s="35">
        <f>AVERAGE(H6:H185)</f>
        <v/>
      </c>
      <c r="I193" s="35">
        <f>AVERAGE(I6:I185)</f>
        <v/>
      </c>
      <c r="J193" s="35">
        <f>AVERAGE(J6:J185)</f>
        <v/>
      </c>
      <c r="K193" s="35">
        <f>AVERAGE(K6:K185)</f>
        <v/>
      </c>
      <c r="L193" s="35">
        <f>AVERAGE(L6:L185)</f>
        <v/>
      </c>
      <c r="M193" s="35">
        <f>AVERAGE(M6:M185)</f>
        <v/>
      </c>
      <c r="N193" s="35">
        <f>AVERAGE(N6:N185)</f>
        <v/>
      </c>
    </row>
    <row r="194">
      <c r="B194" s="29" t="inlineStr">
        <is>
          <t>Standard deviation</t>
        </is>
      </c>
      <c r="C194" s="35">
        <f>_xlfn.STDEV.S(C6:C185)</f>
        <v/>
      </c>
      <c r="D194" s="35">
        <f>_xlfn.STDEV.S(D6:D185)</f>
        <v/>
      </c>
      <c r="E194" s="35">
        <f>_xlfn.STDEV.S(E6:E185)</f>
        <v/>
      </c>
      <c r="F194" s="35">
        <f>_xlfn.STDEV.S(F6:F185)</f>
        <v/>
      </c>
      <c r="G194" s="35">
        <f>_xlfn.STDEV.S(G6:G185)</f>
        <v/>
      </c>
      <c r="H194" s="35">
        <f>_xlfn.STDEV.S(H6:H185)</f>
        <v/>
      </c>
      <c r="I194" s="35">
        <f>_xlfn.STDEV.S(I6:I185)</f>
        <v/>
      </c>
      <c r="J194" s="35">
        <f>_xlfn.STDEV.S(J6:J185)</f>
        <v/>
      </c>
      <c r="K194" s="35">
        <f>_xlfn.STDEV.S(K6:K185)</f>
        <v/>
      </c>
      <c r="L194" s="35">
        <f>_xlfn.STDEV.S(L6:L185)</f>
        <v/>
      </c>
      <c r="M194" s="35">
        <f>_xlfn.STDEV.S(M6:M185)</f>
        <v/>
      </c>
      <c r="N194" s="35">
        <f>_xlfn.STDEV.S(N6:N185)</f>
        <v/>
      </c>
    </row>
    <row r="195">
      <c r="B195" s="36" t="inlineStr">
        <is>
          <t>Annualised Returns</t>
        </is>
      </c>
      <c r="C195" s="35">
        <f>C193*12</f>
        <v/>
      </c>
      <c r="D195" s="35">
        <f>D193*12</f>
        <v/>
      </c>
      <c r="E195" s="35">
        <f>E193*12</f>
        <v/>
      </c>
      <c r="F195" s="35">
        <f>F193*12</f>
        <v/>
      </c>
      <c r="G195" s="35">
        <f>G193*12</f>
        <v/>
      </c>
      <c r="H195" s="35">
        <f>H193*12</f>
        <v/>
      </c>
      <c r="I195" s="35">
        <f>I193*12</f>
        <v/>
      </c>
      <c r="J195" s="35">
        <f>J193*12</f>
        <v/>
      </c>
      <c r="K195" s="35">
        <f>K193*12</f>
        <v/>
      </c>
      <c r="L195" s="35">
        <f>L193*12</f>
        <v/>
      </c>
      <c r="M195" s="35">
        <f>M193*12</f>
        <v/>
      </c>
      <c r="N195" s="35">
        <f>N193*12</f>
        <v/>
      </c>
    </row>
    <row r="196">
      <c r="B196" s="29" t="inlineStr">
        <is>
          <t>Annualised SD</t>
        </is>
      </c>
      <c r="C196" s="35">
        <f>C194*SQRT(12)</f>
        <v/>
      </c>
      <c r="D196" s="35">
        <f>D194*SQRT(12)</f>
        <v/>
      </c>
      <c r="E196" s="35">
        <f>E194*SQRT(12)</f>
        <v/>
      </c>
      <c r="F196" s="35">
        <f>F194*SQRT(12)</f>
        <v/>
      </c>
      <c r="G196" s="35">
        <f>G194*SQRT(12)</f>
        <v/>
      </c>
      <c r="H196" s="35">
        <f>H194*SQRT(12)</f>
        <v/>
      </c>
      <c r="I196" s="35">
        <f>I194*SQRT(12)</f>
        <v/>
      </c>
      <c r="J196" s="35">
        <f>J194*SQRT(12)</f>
        <v/>
      </c>
      <c r="K196" s="35">
        <f>K194*SQRT(12)</f>
        <v/>
      </c>
      <c r="L196" s="35">
        <f>L194*SQRT(12)</f>
        <v/>
      </c>
      <c r="M196" s="35">
        <f>M194*SQRT(12)</f>
        <v/>
      </c>
      <c r="N196" s="35">
        <f>N194*SQRT(12)</f>
        <v/>
      </c>
    </row>
    <row r="199">
      <c r="B199" s="131" t="inlineStr">
        <is>
          <t>A2</t>
        </is>
      </c>
      <c r="C199" s="168" t="n"/>
      <c r="D199" s="168" t="n"/>
      <c r="E199" s="168" t="n"/>
      <c r="F199" s="168" t="n"/>
      <c r="G199" s="168" t="n"/>
      <c r="H199" s="168" t="n"/>
      <c r="I199" s="168" t="n"/>
      <c r="J199" s="168" t="n"/>
      <c r="K199" s="168" t="n"/>
      <c r="L199" s="168" t="n"/>
      <c r="M199" s="168" t="n"/>
      <c r="N199" s="169" t="n"/>
    </row>
    <row r="200">
      <c r="B200" s="170" t="n"/>
      <c r="C200" s="16" t="n"/>
      <c r="D200" s="16" t="n"/>
      <c r="E200" s="16" t="n"/>
      <c r="F200" s="16" t="n"/>
      <c r="G200" s="16" t="n"/>
      <c r="H200" s="16" t="n"/>
      <c r="I200" s="16" t="n"/>
      <c r="J200" s="16" t="n"/>
      <c r="K200" s="16" t="n"/>
      <c r="L200" s="16" t="n"/>
      <c r="M200" s="16" t="n"/>
      <c r="N200" s="171" t="n"/>
    </row>
    <row r="202">
      <c r="B202" s="29" t="inlineStr">
        <is>
          <t>Stock weights</t>
        </is>
      </c>
      <c r="C202" s="43">
        <f>1/12</f>
        <v/>
      </c>
      <c r="D202" s="43">
        <f>1/12</f>
        <v/>
      </c>
      <c r="E202" s="43">
        <f>1/12</f>
        <v/>
      </c>
      <c r="F202" s="43">
        <f>1/12</f>
        <v/>
      </c>
      <c r="G202" s="43">
        <f>1/12</f>
        <v/>
      </c>
      <c r="H202" s="43">
        <f>1/12</f>
        <v/>
      </c>
      <c r="I202" s="43">
        <f>1/12</f>
        <v/>
      </c>
      <c r="J202" s="43">
        <f>1/12</f>
        <v/>
      </c>
      <c r="K202" s="43">
        <f>1/12</f>
        <v/>
      </c>
      <c r="L202" s="43">
        <f>1/12</f>
        <v/>
      </c>
      <c r="M202" s="43">
        <f>1/12</f>
        <v/>
      </c>
      <c r="N202" s="43">
        <f>1/12</f>
        <v/>
      </c>
    </row>
    <row r="204">
      <c r="B204" s="135" t="inlineStr">
        <is>
          <t>Equally weighted portfolio</t>
        </is>
      </c>
    </row>
    <row r="205">
      <c r="B205" s="60" t="inlineStr">
        <is>
          <t xml:space="preserve">Average Monthly Return </t>
        </is>
      </c>
      <c r="C205" s="35">
        <f>AVERAGE($P$6:$P$185)</f>
        <v/>
      </c>
      <c r="D205" s="67" t="inlineStr">
        <is>
          <t>--&gt;mean of average monthly portfolio returns</t>
        </is>
      </c>
    </row>
    <row r="206">
      <c r="B206" s="60" t="inlineStr">
        <is>
          <t xml:space="preserve">Average Monthly Return </t>
        </is>
      </c>
      <c r="C206" s="35">
        <f>AVERAGE(C193:N193)</f>
        <v/>
      </c>
      <c r="D206" s="67" t="inlineStr">
        <is>
          <t>--&gt;mean of average monthtly stocks returns</t>
        </is>
      </c>
    </row>
    <row r="207">
      <c r="B207" s="60" t="inlineStr">
        <is>
          <t>Monthly SD</t>
        </is>
      </c>
      <c r="C207" s="35">
        <f t="array" ref="C207">SQRT(MMULT(MMULT(C202:N202,'Covariance Matrix'!C5:N16),TRANSPOSE(C202:N202)))</f>
        <v/>
      </c>
      <c r="D207" s="35">
        <f>AVERAGE(C194:N194)</f>
        <v/>
      </c>
      <c r="E207" s="67" t="inlineStr">
        <is>
          <t>--&gt; mean monthly SD individual stock</t>
        </is>
      </c>
    </row>
    <row r="208">
      <c r="B208" s="60" t="inlineStr">
        <is>
          <t>Annualised Returns</t>
        </is>
      </c>
      <c r="C208" s="35">
        <f>C205*12</f>
        <v/>
      </c>
    </row>
    <row r="209">
      <c r="B209" s="60" t="inlineStr">
        <is>
          <t>Annualised SD</t>
        </is>
      </c>
      <c r="C209" s="35">
        <f>C207*SQRT(12)</f>
        <v/>
      </c>
      <c r="D209" s="35">
        <f>SQRT(D207)</f>
        <v/>
      </c>
      <c r="E209" s="67" t="inlineStr">
        <is>
          <t>--&gt; mean annualised SD individual stock</t>
        </is>
      </c>
    </row>
    <row r="212">
      <c r="B212" s="131" t="inlineStr">
        <is>
          <t>A3</t>
        </is>
      </c>
      <c r="C212" s="168" t="n"/>
      <c r="D212" s="168" t="n"/>
      <c r="E212" s="168" t="n"/>
      <c r="F212" s="168" t="n"/>
      <c r="G212" s="168" t="n"/>
      <c r="H212" s="168" t="n"/>
      <c r="I212" s="168" t="n"/>
      <c r="J212" s="168" t="n"/>
      <c r="K212" s="168" t="n"/>
      <c r="L212" s="168" t="n"/>
      <c r="M212" s="168" t="n"/>
      <c r="N212" s="169" t="n"/>
    </row>
    <row r="213">
      <c r="B213" s="170" t="n"/>
      <c r="C213" s="16" t="n"/>
      <c r="D213" s="16" t="n"/>
      <c r="E213" s="16" t="n"/>
      <c r="F213" s="16" t="n"/>
      <c r="G213" s="16" t="n"/>
      <c r="H213" s="16" t="n"/>
      <c r="I213" s="16" t="n"/>
      <c r="J213" s="16" t="n"/>
      <c r="K213" s="16" t="n"/>
      <c r="L213" s="16" t="n"/>
      <c r="M213" s="16" t="n"/>
      <c r="N213" s="171" t="n"/>
    </row>
    <row r="215">
      <c r="B215" s="60" t="inlineStr">
        <is>
          <t>Ticker</t>
        </is>
      </c>
      <c r="C215" s="60" t="inlineStr">
        <is>
          <t>Annualised SD</t>
        </is>
      </c>
      <c r="D215" s="60" t="inlineStr">
        <is>
          <t>Annalised Returns</t>
        </is>
      </c>
    </row>
    <row r="216">
      <c r="B216" s="61" t="inlineStr">
        <is>
          <t>AIR.PA</t>
        </is>
      </c>
      <c r="C216" s="43" t="n">
        <v>0.3080770880031855</v>
      </c>
      <c r="D216" s="43" t="n">
        <v>0.2202383077723912</v>
      </c>
    </row>
    <row r="217">
      <c r="B217" s="61" t="inlineStr">
        <is>
          <t>BNP.PA</t>
        </is>
      </c>
      <c r="C217" s="43" t="n">
        <v>0.3247282801092605</v>
      </c>
      <c r="D217" s="43" t="n">
        <v>0.1296245912165382</v>
      </c>
    </row>
    <row r="218">
      <c r="B218" s="61" t="inlineStr">
        <is>
          <t>CAP.PA</t>
        </is>
      </c>
      <c r="C218" s="43" t="n">
        <v>0.2640543145714344</v>
      </c>
      <c r="D218" s="43" t="n">
        <v>0.1411803041138754</v>
      </c>
    </row>
    <row r="219">
      <c r="B219" s="61" t="inlineStr">
        <is>
          <t>BN.PA</t>
        </is>
      </c>
      <c r="C219" s="43" t="n">
        <v>0.1598620189494954</v>
      </c>
      <c r="D219" s="43" t="n">
        <v>0.07673331431304904</v>
      </c>
    </row>
    <row r="220">
      <c r="B220" s="61" t="inlineStr">
        <is>
          <t>ENGI.PA</t>
        </is>
      </c>
      <c r="C220" s="43" t="n">
        <v>0.2489243234574574</v>
      </c>
      <c r="D220" s="43" t="n">
        <v>0.07849747701991271</v>
      </c>
    </row>
    <row r="221">
      <c r="B221" s="61" t="inlineStr">
        <is>
          <t>RMS.PA</t>
        </is>
      </c>
      <c r="C221" s="43" t="n">
        <v>0.2560797606149202</v>
      </c>
      <c r="D221" s="43" t="n">
        <v>0.2233150583828437</v>
      </c>
    </row>
    <row r="222">
      <c r="B222" s="61" t="inlineStr">
        <is>
          <t>RI.PA</t>
        </is>
      </c>
      <c r="C222" s="43" t="n">
        <v>0.1890253303439366</v>
      </c>
      <c r="D222" s="43" t="n">
        <v>0.06985621056094252</v>
      </c>
    </row>
    <row r="223">
      <c r="B223" s="61" t="inlineStr">
        <is>
          <t>RNO.PA</t>
        </is>
      </c>
      <c r="C223" s="43" t="n">
        <v>0.3854562110150805</v>
      </c>
      <c r="D223" s="43" t="n">
        <v>0.1007146309718341</v>
      </c>
    </row>
    <row r="224">
      <c r="B224" s="61" t="inlineStr">
        <is>
          <t>SAN.PA</t>
        </is>
      </c>
      <c r="C224" s="43" t="n">
        <v>0.1912656649221656</v>
      </c>
      <c r="D224" s="43" t="n">
        <v>0.09953247396723175</v>
      </c>
    </row>
    <row r="225">
      <c r="B225" s="61" t="inlineStr">
        <is>
          <t>SU.PA</t>
        </is>
      </c>
      <c r="C225" s="43" t="n">
        <v>0.2237240862022127</v>
      </c>
      <c r="D225" s="43" t="n">
        <v>0.1606251796691421</v>
      </c>
    </row>
    <row r="226">
      <c r="B226" s="61" t="inlineStr">
        <is>
          <t>TTE.PA</t>
        </is>
      </c>
      <c r="C226" s="43" t="n">
        <v>0.2256015184404069</v>
      </c>
      <c r="D226" s="43" t="n">
        <v>0.1078523847643416</v>
      </c>
    </row>
    <row r="227">
      <c r="B227" s="61" t="inlineStr">
        <is>
          <t>DG.PA</t>
        </is>
      </c>
      <c r="C227" s="43" t="n">
        <v>0.2075840816215059</v>
      </c>
      <c r="D227" s="43" t="n">
        <v>0.1381372113843309</v>
      </c>
    </row>
    <row r="228">
      <c r="B228" s="61" t="inlineStr">
        <is>
          <t>Equally weighted portfolio</t>
        </is>
      </c>
      <c r="C228" s="43" t="n">
        <v>0.1652513706617217</v>
      </c>
      <c r="D228" s="43" t="n">
        <v>0.1288589286780362</v>
      </c>
    </row>
  </sheetData>
  <mergeCells count="5">
    <mergeCell ref="B199:N200"/>
    <mergeCell ref="B212:N213"/>
    <mergeCell ref="B188:N189"/>
    <mergeCell ref="B204:C204"/>
    <mergeCell ref="P4:P5"/>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rgb="FFFFC000"/>
    <outlinePr summaryBelow="1" summaryRight="1"/>
    <pageSetUpPr/>
  </sheetPr>
  <dimension ref="A3:R62"/>
  <sheetViews>
    <sheetView showGridLines="0" zoomScale="50" zoomScaleNormal="36" workbookViewId="0">
      <selection activeCell="W44" sqref="W44"/>
    </sheetView>
  </sheetViews>
  <sheetFormatPr baseColWidth="10" defaultColWidth="10.83203125" defaultRowHeight="15"/>
  <cols>
    <col width="21.5" customWidth="1" min="1" max="1"/>
    <col width="26" customWidth="1" min="2" max="2"/>
    <col width="24" customWidth="1" min="3" max="3"/>
    <col width="16.5" customWidth="1" min="4" max="4"/>
    <col width="14.6640625" customWidth="1" min="5" max="5"/>
    <col width="17.5" customWidth="1" min="6" max="6"/>
    <col width="18.83203125" customWidth="1" min="7" max="7"/>
    <col width="12.6640625" bestFit="1" customWidth="1" min="8" max="8"/>
    <col width="25" customWidth="1" min="9" max="9"/>
    <col width="23.5" customWidth="1" min="10" max="10"/>
    <col width="26.83203125" customWidth="1" min="11" max="11"/>
    <col width="16.83203125" customWidth="1" min="16" max="16"/>
    <col width="18.6640625" customWidth="1" min="17" max="17"/>
    <col width="13.1640625" bestFit="1" customWidth="1" min="18" max="21"/>
    <col width="13.6640625" bestFit="1" customWidth="1" min="22" max="22"/>
    <col width="48.1640625" customWidth="1" min="24" max="24"/>
  </cols>
  <sheetData>
    <row r="3" ht="24" customHeight="1">
      <c r="F3" s="172" t="inlineStr">
        <is>
          <t>B1</t>
        </is>
      </c>
      <c r="G3" s="173" t="n"/>
      <c r="I3" s="172" t="inlineStr">
        <is>
          <t>B2</t>
        </is>
      </c>
      <c r="J3" s="174" t="n"/>
      <c r="K3" s="174" t="n"/>
      <c r="L3" s="174" t="n"/>
      <c r="M3" s="174" t="n"/>
      <c r="N3" s="173" t="n"/>
    </row>
    <row r="4" ht="16" customHeight="1">
      <c r="B4" s="72" t="inlineStr">
        <is>
          <t>Ticker</t>
        </is>
      </c>
      <c r="C4" s="68" t="inlineStr">
        <is>
          <t>Equal Weight</t>
        </is>
      </c>
      <c r="F4" s="80" t="inlineStr">
        <is>
          <t>Ticker</t>
        </is>
      </c>
      <c r="G4" s="73" t="inlineStr">
        <is>
          <t>Minimum Variance</t>
        </is>
      </c>
      <c r="I4" s="80" t="inlineStr">
        <is>
          <t>Ticker</t>
        </is>
      </c>
      <c r="J4" s="81" t="inlineStr">
        <is>
          <t>+2,5</t>
        </is>
      </c>
      <c r="K4" s="81" t="inlineStr">
        <is>
          <t>+5</t>
        </is>
      </c>
      <c r="L4" s="81" t="inlineStr">
        <is>
          <t>+7,5</t>
        </is>
      </c>
      <c r="M4" s="81" t="inlineStr">
        <is>
          <t>+10</t>
        </is>
      </c>
      <c r="N4" s="81" t="inlineStr">
        <is>
          <t>+12,5 (FAIL)</t>
        </is>
      </c>
    </row>
    <row r="5" ht="16" customHeight="1">
      <c r="B5" s="74" t="inlineStr">
        <is>
          <t>AIR.PA</t>
        </is>
      </c>
      <c r="C5" s="175" t="n">
        <v>0.08333333333333333</v>
      </c>
      <c r="F5" s="74" t="inlineStr">
        <is>
          <t>AIR.PA</t>
        </is>
      </c>
      <c r="G5" s="176" t="n">
        <v>0</v>
      </c>
      <c r="I5" s="74" t="inlineStr">
        <is>
          <t>AIR.PA</t>
        </is>
      </c>
      <c r="J5" s="175" t="n">
        <v>0</v>
      </c>
      <c r="K5" s="175" t="n">
        <v>0.06351357832178775</v>
      </c>
      <c r="L5" s="175" t="n">
        <v>0.1638206779648434</v>
      </c>
      <c r="M5" s="175" t="n">
        <v>0.4195330565204299</v>
      </c>
      <c r="N5" s="175" t="n">
        <v>-9.999999987503129e-09</v>
      </c>
    </row>
    <row r="6" ht="16" customHeight="1">
      <c r="B6" s="74" t="inlineStr">
        <is>
          <t>BNP.PA</t>
        </is>
      </c>
      <c r="C6" s="175" t="n">
        <v>0.08333333333333333</v>
      </c>
      <c r="F6" s="74" t="inlineStr">
        <is>
          <t>BNP.PA</t>
        </is>
      </c>
      <c r="G6" s="176" t="n">
        <v>0</v>
      </c>
      <c r="I6" s="74" t="inlineStr">
        <is>
          <t>BNP.PA</t>
        </is>
      </c>
      <c r="J6" s="175" t="n">
        <v>0</v>
      </c>
      <c r="K6" s="175" t="n">
        <v>0</v>
      </c>
      <c r="L6" s="175" t="n">
        <v>0</v>
      </c>
      <c r="M6" s="175" t="n">
        <v>0</v>
      </c>
      <c r="N6" s="175" t="n">
        <v>0</v>
      </c>
    </row>
    <row r="7" ht="16" customHeight="1">
      <c r="B7" s="74" t="inlineStr">
        <is>
          <t>CAP.PA</t>
        </is>
      </c>
      <c r="C7" s="175" t="n">
        <v>0.08333333333333333</v>
      </c>
      <c r="F7" s="74" t="inlineStr">
        <is>
          <t>CAP.PA</t>
        </is>
      </c>
      <c r="G7" s="176" t="n">
        <v>0</v>
      </c>
      <c r="I7" s="74" t="inlineStr">
        <is>
          <t>CAP.PA</t>
        </is>
      </c>
      <c r="J7" s="175" t="n">
        <v>0</v>
      </c>
      <c r="K7" s="175" t="n">
        <v>0</v>
      </c>
      <c r="L7" s="175" t="n">
        <v>0</v>
      </c>
      <c r="M7" s="175" t="n">
        <v>0</v>
      </c>
      <c r="N7" s="175" t="n">
        <v>0</v>
      </c>
    </row>
    <row r="8" ht="16" customHeight="1">
      <c r="B8" s="74" t="inlineStr">
        <is>
          <t>BN.PA</t>
        </is>
      </c>
      <c r="C8" s="175" t="n">
        <v>0.08333333333333333</v>
      </c>
      <c r="F8" s="74" t="inlineStr">
        <is>
          <t>BN.PA</t>
        </is>
      </c>
      <c r="G8" s="176" t="n">
        <v>0.2977665134200589</v>
      </c>
      <c r="I8" s="74" t="inlineStr">
        <is>
          <t>BN.PA</t>
        </is>
      </c>
      <c r="J8" s="175" t="n">
        <v>0.2087055770939105</v>
      </c>
      <c r="K8" s="175" t="n">
        <v>0.1164751767072907</v>
      </c>
      <c r="L8" s="175" t="n">
        <v>0</v>
      </c>
      <c r="M8" s="175" t="n">
        <v>0</v>
      </c>
      <c r="N8" s="175" t="n">
        <v>0</v>
      </c>
    </row>
    <row r="9" ht="16" customHeight="1">
      <c r="B9" s="74" t="inlineStr">
        <is>
          <t>ENGI.PA</t>
        </is>
      </c>
      <c r="C9" s="175" t="n">
        <v>0.08333333333333333</v>
      </c>
      <c r="F9" s="74" t="inlineStr">
        <is>
          <t>ENGI.PA</t>
        </is>
      </c>
      <c r="G9" s="176" t="n">
        <v>0.07416469615337339</v>
      </c>
      <c r="I9" s="74" t="inlineStr">
        <is>
          <t>ENGI.PA</t>
        </is>
      </c>
      <c r="J9" s="175" t="n">
        <v>0.02763861919750361</v>
      </c>
      <c r="K9" s="175" t="n">
        <v>0</v>
      </c>
      <c r="L9" s="175" t="n">
        <v>0</v>
      </c>
      <c r="M9" s="175" t="n">
        <v>0</v>
      </c>
      <c r="N9" s="175" t="n">
        <v>0</v>
      </c>
    </row>
    <row r="10" ht="16" customHeight="1">
      <c r="B10" s="74" t="inlineStr">
        <is>
          <t>RMS.PA</t>
        </is>
      </c>
      <c r="C10" s="175" t="n">
        <v>0.08333333333333333</v>
      </c>
      <c r="F10" s="74" t="inlineStr">
        <is>
          <t>RMS.PA</t>
        </is>
      </c>
      <c r="G10" s="176" t="n">
        <v>0.1224014857830509</v>
      </c>
      <c r="I10" s="74" t="inlineStr">
        <is>
          <t>RMS.PA</t>
        </is>
      </c>
      <c r="J10" s="175" t="n">
        <v>0.234475985344719</v>
      </c>
      <c r="K10" s="175" t="n">
        <v>0.3293077462083966</v>
      </c>
      <c r="L10" s="175" t="n">
        <v>0.4249546622225758</v>
      </c>
      <c r="M10" s="175" t="n">
        <v>0.4276466085848404</v>
      </c>
      <c r="N10" s="175" t="n">
        <v>1.00000001</v>
      </c>
    </row>
    <row r="11" ht="16" customHeight="1">
      <c r="B11" s="74" t="inlineStr">
        <is>
          <t>RI.PA</t>
        </is>
      </c>
      <c r="C11" s="175" t="n">
        <v>0.08333333333333333</v>
      </c>
      <c r="F11" s="74" t="inlineStr">
        <is>
          <t>RI.PA</t>
        </is>
      </c>
      <c r="G11" s="176" t="n">
        <v>0.1721229013699467</v>
      </c>
      <c r="I11" s="74" t="inlineStr">
        <is>
          <t>RI.PA</t>
        </is>
      </c>
      <c r="J11" s="175" t="n">
        <v>0.06090938296050848</v>
      </c>
      <c r="K11" s="175" t="n">
        <v>0</v>
      </c>
      <c r="L11" s="175" t="n">
        <v>0</v>
      </c>
      <c r="M11" s="175" t="n">
        <v>0</v>
      </c>
      <c r="N11" s="175" t="n">
        <v>0</v>
      </c>
    </row>
    <row r="12" ht="16" customHeight="1">
      <c r="B12" s="74" t="inlineStr">
        <is>
          <t>RNO.PA</t>
        </is>
      </c>
      <c r="C12" s="175" t="n">
        <v>0.08333333333333333</v>
      </c>
      <c r="F12" s="74" t="inlineStr">
        <is>
          <t>RNO.PA</t>
        </is>
      </c>
      <c r="G12" s="176" t="n">
        <v>0</v>
      </c>
      <c r="I12" s="74" t="inlineStr">
        <is>
          <t>RNO.PA</t>
        </is>
      </c>
      <c r="J12" s="175" t="n">
        <v>0</v>
      </c>
      <c r="K12" s="175" t="n">
        <v>0</v>
      </c>
      <c r="L12" s="175" t="n">
        <v>0</v>
      </c>
      <c r="M12" s="175" t="n">
        <v>0</v>
      </c>
      <c r="N12" s="175" t="n">
        <v>0</v>
      </c>
    </row>
    <row r="13" ht="16" customHeight="1">
      <c r="B13" s="74" t="inlineStr">
        <is>
          <t>SAN.PA</t>
        </is>
      </c>
      <c r="C13" s="175" t="n">
        <v>0.08333333333333333</v>
      </c>
      <c r="F13" s="74" t="inlineStr">
        <is>
          <t>SAN.PA</t>
        </is>
      </c>
      <c r="G13" s="176" t="n">
        <v>0.1952498471688422</v>
      </c>
      <c r="I13" s="74" t="inlineStr">
        <is>
          <t>SAN.PA</t>
        </is>
      </c>
      <c r="J13" s="175" t="n">
        <v>0.2178613712036498</v>
      </c>
      <c r="K13" s="175" t="n">
        <v>0.2264530039989117</v>
      </c>
      <c r="L13" s="175" t="n">
        <v>0.209855079803479</v>
      </c>
      <c r="M13" s="175" t="n">
        <v>0.1042456070331538</v>
      </c>
      <c r="N13" s="175" t="n">
        <v>0</v>
      </c>
    </row>
    <row r="14" ht="16" customHeight="1">
      <c r="B14" s="74" t="inlineStr">
        <is>
          <t>SU.PA</t>
        </is>
      </c>
      <c r="C14" s="175" t="n">
        <v>0.08333333333333333</v>
      </c>
      <c r="F14" s="74" t="inlineStr">
        <is>
          <t>SU.PA</t>
        </is>
      </c>
      <c r="G14" s="176" t="n">
        <v>0.04046816558428695</v>
      </c>
      <c r="I14" s="74" t="inlineStr">
        <is>
          <t>SU.PA</t>
        </is>
      </c>
      <c r="J14" s="175" t="n">
        <v>0.07276149921376752</v>
      </c>
      <c r="K14" s="175" t="n">
        <v>0.07584463799413979</v>
      </c>
      <c r="L14" s="175" t="n">
        <v>0.05679156891681576</v>
      </c>
      <c r="M14" s="175" t="n">
        <v>0.004634089592315587</v>
      </c>
      <c r="N14" s="175" t="n">
        <v>0</v>
      </c>
    </row>
    <row r="15" ht="16" customHeight="1">
      <c r="B15" s="74" t="inlineStr">
        <is>
          <t>TTE.PA</t>
        </is>
      </c>
      <c r="C15" s="175" t="n">
        <v>0.08333333333333333</v>
      </c>
      <c r="F15" s="74" t="inlineStr">
        <is>
          <t>TTE.PA</t>
        </is>
      </c>
      <c r="G15" s="176" t="n">
        <v>0.07886765978250758</v>
      </c>
      <c r="I15" s="74" t="inlineStr">
        <is>
          <t>TTE.PA</t>
        </is>
      </c>
      <c r="J15" s="175" t="n">
        <v>0.08668760719730201</v>
      </c>
      <c r="K15" s="175" t="n">
        <v>0.07019004120852285</v>
      </c>
      <c r="L15" s="175" t="n">
        <v>0.0288044365854519</v>
      </c>
      <c r="M15" s="175" t="n">
        <v>0</v>
      </c>
      <c r="N15" s="175" t="n">
        <v>0</v>
      </c>
    </row>
    <row r="16" ht="16" customHeight="1">
      <c r="B16" s="74" t="inlineStr">
        <is>
          <t>DG.PA</t>
        </is>
      </c>
      <c r="C16" s="175" t="n">
        <v>0.08333333333333333</v>
      </c>
      <c r="F16" s="74" t="inlineStr">
        <is>
          <t>DG.PA</t>
        </is>
      </c>
      <c r="G16" s="176" t="n">
        <v>0.01895873073793338</v>
      </c>
      <c r="I16" s="74" t="inlineStr">
        <is>
          <t>DG.PA</t>
        </is>
      </c>
      <c r="J16" s="175" t="n">
        <v>0.09095995778863897</v>
      </c>
      <c r="K16" s="175" t="n">
        <v>0.1182158155609504</v>
      </c>
      <c r="L16" s="175" t="n">
        <v>0.1157735745068341</v>
      </c>
      <c r="M16" s="175" t="n">
        <v>0.04394063826926038</v>
      </c>
      <c r="N16" s="175" t="n">
        <v>0</v>
      </c>
    </row>
    <row r="17" ht="16" customHeight="1">
      <c r="B17" s="73" t="inlineStr">
        <is>
          <t>Total</t>
        </is>
      </c>
      <c r="C17" s="175">
        <f>SUM(C5:C16)</f>
        <v/>
      </c>
      <c r="F17" s="68" t="inlineStr">
        <is>
          <t>Total</t>
        </is>
      </c>
      <c r="G17" s="175">
        <f>SUM(G5:G16)</f>
        <v/>
      </c>
      <c r="I17" s="68" t="inlineStr">
        <is>
          <t>Total</t>
        </is>
      </c>
      <c r="J17" s="175">
        <f>SUM(J5:J16)</f>
        <v/>
      </c>
      <c r="K17" s="175">
        <f>SUM(K5:K16)</f>
        <v/>
      </c>
      <c r="L17" s="175">
        <f>SUM(L5:L16)</f>
        <v/>
      </c>
      <c r="M17" s="175">
        <f>SUM(M5:M16)</f>
        <v/>
      </c>
      <c r="N17" s="175">
        <f>SUM(N5:N16)</f>
        <v/>
      </c>
    </row>
    <row r="19" ht="16" customHeight="1">
      <c r="B19" s="68" t="inlineStr">
        <is>
          <t>Portfolio Return</t>
        </is>
      </c>
      <c r="C19" s="75">
        <f t="array" ref="C19">SUMPRODUCT(C5:C16,TRANSPOSE('Returns-VOL'!$C$195:$N$195))</f>
        <v/>
      </c>
      <c r="D19" s="35" t="n"/>
      <c r="F19" s="68" t="inlineStr">
        <is>
          <t>Portfolio Return</t>
        </is>
      </c>
      <c r="G19" s="75">
        <f t="array" ref="G19">SUMPRODUCT(G5:G16,TRANSPOSE('Returns-VOL'!$C$195:$N$195))</f>
        <v/>
      </c>
      <c r="I19" s="68" t="inlineStr">
        <is>
          <t>Portfolio Return</t>
        </is>
      </c>
      <c r="J19" s="77">
        <f t="array" ref="J19">SUMPRODUCT(J5:J16,TRANSPOSE('Returns-VOL'!$C$195:$N$195))</f>
        <v/>
      </c>
      <c r="K19" s="77">
        <f t="array" ref="K19">SUMPRODUCT(K5:K16,TRANSPOSE('Returns-VOL'!$C$195:$N$195))</f>
        <v/>
      </c>
      <c r="L19" s="77">
        <f t="array" ref="L19">SUMPRODUCT(L5:L16,TRANSPOSE('Returns-VOL'!$C$195:$N$195))</f>
        <v/>
      </c>
      <c r="M19" s="77">
        <f t="array" ref="M19">SUMPRODUCT(M5:M16,TRANSPOSE('Returns-VOL'!$C$195:$N$195))</f>
        <v/>
      </c>
      <c r="N19" s="79">
        <f t="array" ref="N19">SUMPRODUCT(N5:N16,TRANSPOSE('Returns-VOL'!$C$195:$N$195))</f>
        <v/>
      </c>
    </row>
    <row r="20" ht="16" customHeight="1">
      <c r="B20" s="68" t="inlineStr">
        <is>
          <t>Portfolio Var</t>
        </is>
      </c>
      <c r="C20" s="75">
        <f t="array" ref="C20">MMULT(TRANSPOSE(C5:C16),MMULT('Covariance Matrix'!C5:N16,C5:C16)) *12</f>
        <v/>
      </c>
      <c r="F20" s="68" t="inlineStr">
        <is>
          <t>Portfolio Var</t>
        </is>
      </c>
      <c r="G20" s="75">
        <f t="array" ref="G20">MMULT(TRANSPOSE(G5:G16),MMULT('Covariance Matrix'!C5:N16,G5:G16)) *12</f>
        <v/>
      </c>
      <c r="I20" s="68" t="inlineStr">
        <is>
          <t>Portfolio Var</t>
        </is>
      </c>
      <c r="J20" s="75">
        <f t="array" ref="J20">MMULT(TRANSPOSE(J5:J16),MMULT('Covariance Matrix'!C5:N16,J5:J16)) *12</f>
        <v/>
      </c>
      <c r="K20" s="75">
        <f t="array" ref="K20">MMULT(TRANSPOSE(K5:K16),MMULT('Covariance Matrix'!C5:N16,K5:K16)) *12</f>
        <v/>
      </c>
      <c r="L20" s="75">
        <f t="array" ref="L20">MMULT(TRANSPOSE(L5:L16),MMULT('Covariance Matrix'!C5:N16,L5:L16)) *12</f>
        <v/>
      </c>
      <c r="M20" s="75">
        <f t="array" ref="M20">MMULT(TRANSPOSE(M5:M16),MMULT('Covariance Matrix'!C5:N16,M5:M16)) *12</f>
        <v/>
      </c>
      <c r="N20" s="75">
        <f t="array" ref="N20">MMULT(TRANSPOSE(N5:N16),MMULT('Covariance Matrix'!C5:N16,N5:N16)) *12</f>
        <v/>
      </c>
    </row>
    <row r="21" ht="16" customHeight="1">
      <c r="B21" s="68" t="inlineStr">
        <is>
          <t>Portfolio SD</t>
        </is>
      </c>
      <c r="C21" s="75">
        <f>SQRT(C20)</f>
        <v/>
      </c>
      <c r="F21" s="68" t="inlineStr">
        <is>
          <t>Portfolio SD</t>
        </is>
      </c>
      <c r="G21" s="75">
        <f>SQRT(G20)</f>
        <v/>
      </c>
      <c r="I21" s="68" t="inlineStr">
        <is>
          <t>Portfolio SD</t>
        </is>
      </c>
      <c r="J21" s="75">
        <f>SQRT(J20)</f>
        <v/>
      </c>
      <c r="K21" s="75">
        <f>SQRT(K20)</f>
        <v/>
      </c>
      <c r="L21" s="75">
        <f>SQRT(L20)</f>
        <v/>
      </c>
      <c r="M21" s="75">
        <f>SQRT(M20)</f>
        <v/>
      </c>
      <c r="N21" s="75">
        <f>SQRT(N20)</f>
        <v/>
      </c>
    </row>
    <row r="22" ht="16" customHeight="1">
      <c r="I22" s="76" t="inlineStr">
        <is>
          <t>Return fixed in the solver</t>
        </is>
      </c>
      <c r="J22" s="77">
        <f>G19+2.5%</f>
        <v/>
      </c>
      <c r="K22" s="77">
        <f>J22+2.5%</f>
        <v/>
      </c>
      <c r="L22" s="77">
        <f>K22+2.5%</f>
        <v/>
      </c>
      <c r="M22" s="77">
        <f>L22+2.5%</f>
        <v/>
      </c>
      <c r="N22" s="79">
        <f>M22+2.5%</f>
        <v/>
      </c>
    </row>
    <row r="23">
      <c r="I23" s="43" t="n"/>
      <c r="J23" s="43" t="n"/>
      <c r="K23" s="43" t="n"/>
      <c r="L23" s="43" t="n"/>
      <c r="M23" s="43" t="n"/>
    </row>
    <row r="24" ht="32" customHeight="1">
      <c r="A24" s="82" t="inlineStr">
        <is>
          <t>Short Sales not allowed</t>
        </is>
      </c>
      <c r="B24" s="172" t="inlineStr">
        <is>
          <t>B3</t>
        </is>
      </c>
      <c r="C24" s="174" t="n"/>
      <c r="D24" s="174" t="n"/>
      <c r="E24" s="174" t="n"/>
      <c r="F24" s="174" t="n"/>
      <c r="G24" s="174" t="n"/>
      <c r="H24" s="174" t="n"/>
      <c r="I24" s="174" t="n"/>
      <c r="J24" s="174" t="n"/>
      <c r="K24" s="174" t="n"/>
      <c r="L24" s="174" t="n"/>
      <c r="M24" s="174" t="n"/>
      <c r="N24" s="174" t="n"/>
      <c r="O24" s="173" t="n"/>
    </row>
    <row r="25" ht="16" customHeight="1">
      <c r="B25" s="80" t="inlineStr">
        <is>
          <t>Ticker</t>
        </is>
      </c>
      <c r="C25" s="73" t="inlineStr">
        <is>
          <t>Minimum Variance</t>
        </is>
      </c>
      <c r="D25" s="73" t="inlineStr">
        <is>
          <t>+2,5</t>
        </is>
      </c>
      <c r="E25" s="73" t="inlineStr">
        <is>
          <t>+5</t>
        </is>
      </c>
      <c r="F25" s="73" t="inlineStr">
        <is>
          <t>+7,5</t>
        </is>
      </c>
      <c r="G25" s="73" t="inlineStr">
        <is>
          <t>+10</t>
        </is>
      </c>
      <c r="H25" s="73" t="inlineStr">
        <is>
          <t>+12,5 (FAIL)</t>
        </is>
      </c>
    </row>
    <row r="26" ht="16" customHeight="1">
      <c r="B26" s="74" t="inlineStr">
        <is>
          <t>AIR.PA</t>
        </is>
      </c>
      <c r="C26" s="75" t="n">
        <v>0</v>
      </c>
      <c r="D26" s="75" t="n">
        <v>0</v>
      </c>
      <c r="E26" s="75" t="n">
        <v>0.06351357832178775</v>
      </c>
      <c r="F26" s="75" t="n">
        <v>0.1638206779648434</v>
      </c>
      <c r="G26" s="75" t="n">
        <v>0.4195330565204299</v>
      </c>
      <c r="H26" s="75" t="n">
        <v>-9.999999987503129e-09</v>
      </c>
    </row>
    <row r="27" ht="16" customHeight="1">
      <c r="B27" s="74" t="inlineStr">
        <is>
          <t>BNP.PA</t>
        </is>
      </c>
      <c r="C27" s="75" t="n">
        <v>0</v>
      </c>
      <c r="D27" s="75" t="n">
        <v>0</v>
      </c>
      <c r="E27" s="75" t="n">
        <v>0</v>
      </c>
      <c r="F27" s="75" t="n">
        <v>0</v>
      </c>
      <c r="G27" s="75" t="n">
        <v>0</v>
      </c>
      <c r="H27" s="75" t="n">
        <v>0</v>
      </c>
    </row>
    <row r="28" ht="21" customHeight="1">
      <c r="B28" s="74" t="inlineStr">
        <is>
          <t>CAP.PA</t>
        </is>
      </c>
      <c r="C28" s="75" t="n">
        <v>0</v>
      </c>
      <c r="D28" s="75" t="n">
        <v>0</v>
      </c>
      <c r="E28" s="75" t="n">
        <v>0</v>
      </c>
      <c r="F28" s="75" t="n">
        <v>0</v>
      </c>
      <c r="G28" s="75" t="n">
        <v>0</v>
      </c>
      <c r="H28" s="75" t="n">
        <v>0</v>
      </c>
      <c r="O28" s="139" t="inlineStr">
        <is>
          <t>The efficient frontier with no short sales lies above the equally weighted portfolio, indicating higher returns for the same level of risk. The equally weighted portfolio is therefore inefficient, as it offers a lower risk-adjusted return compared to the optimal portfolios on the frontier. This confirms that proper diversification and optimized weighting improve performance relative to a naïve equal allocation.</t>
        </is>
      </c>
    </row>
    <row r="29" ht="16" customHeight="1">
      <c r="B29" s="74" t="inlineStr">
        <is>
          <t>BN.PA</t>
        </is>
      </c>
      <c r="C29" s="75" t="n">
        <v>0.2977665134200589</v>
      </c>
      <c r="D29" s="75" t="n">
        <v>0.2087055770939105</v>
      </c>
      <c r="E29" s="75" t="n">
        <v>0.1164751767072907</v>
      </c>
      <c r="F29" s="75" t="n">
        <v>0</v>
      </c>
      <c r="G29" s="75" t="n">
        <v>0</v>
      </c>
      <c r="H29" s="75" t="n">
        <v>0</v>
      </c>
    </row>
    <row r="30" ht="16" customHeight="1">
      <c r="B30" s="74" t="inlineStr">
        <is>
          <t>ENGI.PA</t>
        </is>
      </c>
      <c r="C30" s="75" t="n">
        <v>0.07416469615337339</v>
      </c>
      <c r="D30" s="75" t="n">
        <v>0.02763861919750361</v>
      </c>
      <c r="E30" s="75" t="n">
        <v>0</v>
      </c>
      <c r="F30" s="75" t="n">
        <v>0</v>
      </c>
      <c r="G30" s="75" t="n">
        <v>0</v>
      </c>
      <c r="H30" s="75" t="n">
        <v>0</v>
      </c>
    </row>
    <row r="31" ht="16" customHeight="1">
      <c r="B31" s="74" t="inlineStr">
        <is>
          <t>RMS.PA</t>
        </is>
      </c>
      <c r="C31" s="75" t="n">
        <v>0.1224014857830509</v>
      </c>
      <c r="D31" s="75" t="n">
        <v>0.234475985344719</v>
      </c>
      <c r="E31" s="75" t="n">
        <v>0.3293077462083966</v>
      </c>
      <c r="F31" s="75" t="n">
        <v>0.4249546622225758</v>
      </c>
      <c r="G31" s="75" t="n">
        <v>0.4276466085848404</v>
      </c>
      <c r="H31" s="75" t="n">
        <v>1.00000001</v>
      </c>
    </row>
    <row r="32" ht="16" customHeight="1">
      <c r="B32" s="74" t="inlineStr">
        <is>
          <t>RI.PA</t>
        </is>
      </c>
      <c r="C32" s="75" t="n">
        <v>0.1721229013699467</v>
      </c>
      <c r="D32" s="75" t="n">
        <v>0.06090938296050848</v>
      </c>
      <c r="E32" s="75" t="n">
        <v>0</v>
      </c>
      <c r="F32" s="75" t="n">
        <v>0</v>
      </c>
      <c r="G32" s="75" t="n">
        <v>0</v>
      </c>
      <c r="H32" s="75" t="n">
        <v>0</v>
      </c>
    </row>
    <row r="33" ht="16" customHeight="1">
      <c r="B33" s="74" t="inlineStr">
        <is>
          <t>RNO.PA</t>
        </is>
      </c>
      <c r="C33" s="75" t="n">
        <v>0</v>
      </c>
      <c r="D33" s="75" t="n">
        <v>0</v>
      </c>
      <c r="E33" s="75" t="n">
        <v>0</v>
      </c>
      <c r="F33" s="75" t="n">
        <v>0</v>
      </c>
      <c r="G33" s="75" t="n">
        <v>0</v>
      </c>
      <c r="H33" s="75" t="n">
        <v>0</v>
      </c>
    </row>
    <row r="34" ht="16" customHeight="1">
      <c r="B34" s="74" t="inlineStr">
        <is>
          <t>SAN.PA</t>
        </is>
      </c>
      <c r="C34" s="75" t="n">
        <v>0.1952498471688422</v>
      </c>
      <c r="D34" s="75" t="n">
        <v>0.2178613712036498</v>
      </c>
      <c r="E34" s="75" t="n">
        <v>0.2264530039989117</v>
      </c>
      <c r="F34" s="75" t="n">
        <v>0.209855079803479</v>
      </c>
      <c r="G34" s="75" t="n">
        <v>0.1042456070331538</v>
      </c>
      <c r="H34" s="75" t="n">
        <v>0</v>
      </c>
      <c r="O34" s="37" t="n"/>
      <c r="P34" s="37" t="n"/>
      <c r="Q34" s="37" t="n"/>
    </row>
    <row r="35" ht="16" customHeight="1">
      <c r="B35" s="74" t="inlineStr">
        <is>
          <t>SU.PA</t>
        </is>
      </c>
      <c r="C35" s="75" t="n">
        <v>0.04046816558428695</v>
      </c>
      <c r="D35" s="75" t="n">
        <v>0.07276149921376752</v>
      </c>
      <c r="E35" s="75" t="n">
        <v>0.07584463799413979</v>
      </c>
      <c r="F35" s="75" t="n">
        <v>0.05679156891681576</v>
      </c>
      <c r="G35" s="75" t="n">
        <v>0.004634089592315587</v>
      </c>
      <c r="H35" s="75" t="n">
        <v>0</v>
      </c>
      <c r="O35" s="37" t="n"/>
      <c r="P35" s="37" t="n"/>
      <c r="Q35" s="37" t="n"/>
    </row>
    <row r="36" ht="16" customHeight="1">
      <c r="B36" s="74" t="inlineStr">
        <is>
          <t>TTE.PA</t>
        </is>
      </c>
      <c r="C36" s="75" t="n">
        <v>0.07886765978250758</v>
      </c>
      <c r="D36" s="75" t="n">
        <v>0.08668760719730201</v>
      </c>
      <c r="E36" s="75" t="n">
        <v>0.07019004120852285</v>
      </c>
      <c r="F36" s="75" t="n">
        <v>0.0288044365854519</v>
      </c>
      <c r="G36" s="75" t="n">
        <v>0</v>
      </c>
      <c r="H36" s="75" t="n">
        <v>0</v>
      </c>
    </row>
    <row r="37" ht="16" customHeight="1">
      <c r="B37" s="74" t="inlineStr">
        <is>
          <t>DG.PA</t>
        </is>
      </c>
      <c r="C37" s="75" t="n">
        <v>0.01895873073793338</v>
      </c>
      <c r="D37" s="75" t="n">
        <v>0.09095995778863897</v>
      </c>
      <c r="E37" s="75" t="n">
        <v>0.1182158155609504</v>
      </c>
      <c r="F37" s="75" t="n">
        <v>0.1157735745068341</v>
      </c>
      <c r="G37" s="75" t="n">
        <v>0.04394063826926038</v>
      </c>
      <c r="H37" s="75" t="n">
        <v>0</v>
      </c>
    </row>
    <row r="38" ht="16" customHeight="1">
      <c r="B38" s="73" t="inlineStr">
        <is>
          <t>Total Weights</t>
        </is>
      </c>
      <c r="C38" s="75" t="n">
        <v>0.9999999999999999</v>
      </c>
      <c r="D38" s="75" t="n">
        <v>0.9999999999999999</v>
      </c>
      <c r="E38" s="75" t="n">
        <v>0.9999999999999999</v>
      </c>
      <c r="F38" s="75" t="n">
        <v>1</v>
      </c>
      <c r="G38" s="75" t="n">
        <v>1</v>
      </c>
      <c r="H38" s="75" t="n">
        <v>1</v>
      </c>
    </row>
    <row r="39">
      <c r="C39" s="43" t="n"/>
      <c r="D39" s="43" t="n"/>
      <c r="E39" s="43" t="n"/>
      <c r="F39" s="43" t="n"/>
      <c r="G39" s="43" t="n"/>
      <c r="H39" s="43" t="n"/>
    </row>
    <row r="40" ht="16" customHeight="1">
      <c r="B40" s="68" t="inlineStr">
        <is>
          <t>Portfolio Return</t>
        </is>
      </c>
      <c r="C40" s="75" t="n">
        <v>0.1050871796645447</v>
      </c>
      <c r="D40" s="75" t="n">
        <v>0.1300871797835113</v>
      </c>
      <c r="E40" s="75" t="n">
        <v>0.1550871806887925</v>
      </c>
      <c r="F40" s="75" t="n">
        <v>0.1800871812376906</v>
      </c>
      <c r="G40" s="75" t="n">
        <v>0.2050871896645446</v>
      </c>
      <c r="H40" s="75" t="n">
        <v>0.2233150584136112</v>
      </c>
    </row>
    <row r="41" ht="16" customHeight="1">
      <c r="B41" s="68" t="inlineStr">
        <is>
          <t>Portfolio Var</t>
        </is>
      </c>
      <c r="C41" s="75" t="n">
        <v>0.01533771788934128</v>
      </c>
      <c r="D41" s="75" t="n">
        <v>0.01669221750872776</v>
      </c>
      <c r="E41" s="75" t="n">
        <v>0.02057598226095463</v>
      </c>
      <c r="F41" s="75" t="n">
        <v>0.02701204015179304</v>
      </c>
      <c r="G41" s="75" t="n">
        <v>0.0386921019886545</v>
      </c>
      <c r="H41" s="75" t="n">
        <v>0.06557684481022794</v>
      </c>
    </row>
    <row r="42" ht="16" customHeight="1">
      <c r="B42" s="68" t="inlineStr">
        <is>
          <t>Portfolio SD</t>
        </is>
      </c>
      <c r="C42" s="75" t="n">
        <v>0.1238455404499544</v>
      </c>
      <c r="D42" s="75" t="n">
        <v>0.1291983649615109</v>
      </c>
      <c r="E42" s="75" t="n">
        <v>0.1434433067833931</v>
      </c>
      <c r="F42" s="75" t="n">
        <v>0.1643534001832425</v>
      </c>
      <c r="G42" s="75" t="n">
        <v>0.1967030807807913</v>
      </c>
      <c r="H42" s="75" t="n">
        <v>0.2560797625940557</v>
      </c>
    </row>
    <row r="44" ht="29" customHeight="1">
      <c r="A44" t="inlineStr">
        <is>
          <t>Short Sales allowed</t>
        </is>
      </c>
      <c r="B44" s="172" t="inlineStr">
        <is>
          <t>B4</t>
        </is>
      </c>
      <c r="C44" s="174" t="n"/>
      <c r="D44" s="174" t="n"/>
      <c r="E44" s="174" t="n"/>
      <c r="F44" s="174" t="n"/>
      <c r="G44" s="174" t="n"/>
      <c r="H44" s="174" t="n"/>
      <c r="I44" s="174" t="n"/>
      <c r="J44" s="174" t="n"/>
      <c r="K44" s="174" t="n"/>
      <c r="L44" s="174" t="n"/>
      <c r="M44" s="174" t="n"/>
      <c r="N44" s="174" t="n"/>
      <c r="O44" s="173" t="n"/>
    </row>
    <row r="45" ht="16" customHeight="1">
      <c r="B45" s="80" t="inlineStr">
        <is>
          <t>Ticker</t>
        </is>
      </c>
      <c r="C45" s="73" t="inlineStr">
        <is>
          <t>Minimum Variance</t>
        </is>
      </c>
      <c r="D45" s="73" t="n">
        <v>0.05</v>
      </c>
      <c r="E45" s="73" t="n">
        <v>0.1</v>
      </c>
      <c r="F45" s="73" t="n">
        <v>0.2</v>
      </c>
      <c r="G45" s="73" t="n">
        <v>0.3</v>
      </c>
      <c r="H45" s="73" t="n">
        <v>0.4</v>
      </c>
    </row>
    <row r="46" ht="16" customHeight="1">
      <c r="B46" s="74" t="inlineStr">
        <is>
          <t>AIR.PA</t>
        </is>
      </c>
      <c r="C46" s="175" t="n">
        <v>-0.0924874797466248</v>
      </c>
      <c r="D46" s="175" t="n">
        <v>-0.2519264819042175</v>
      </c>
      <c r="E46" s="175" t="n">
        <v>-0.09247390068278726</v>
      </c>
      <c r="F46" s="175" t="n">
        <v>0.226445272504675</v>
      </c>
      <c r="G46" s="175" t="n">
        <v>0.5453640879784298</v>
      </c>
      <c r="H46" s="175" t="n">
        <v>0.864282800393515</v>
      </c>
    </row>
    <row r="47" ht="16" customHeight="1">
      <c r="B47" s="74" t="inlineStr">
        <is>
          <t>BNP.PA</t>
        </is>
      </c>
      <c r="C47" s="175" t="n">
        <v>-0.0276465295750051</v>
      </c>
      <c r="D47" s="175" t="n">
        <v>0.007029715852239322</v>
      </c>
      <c r="E47" s="175" t="n">
        <v>-0.02764758248074545</v>
      </c>
      <c r="F47" s="175" t="n">
        <v>-0.09700661502194953</v>
      </c>
      <c r="G47" s="175" t="n">
        <v>-0.1663628888494204</v>
      </c>
      <c r="H47" s="175" t="n">
        <v>-0.2357179592887308</v>
      </c>
    </row>
    <row r="48" ht="16" customHeight="1">
      <c r="B48" s="74" t="inlineStr">
        <is>
          <t>CAP.PA</t>
        </is>
      </c>
      <c r="C48" s="175" t="n">
        <v>-0.02918229130301263</v>
      </c>
      <c r="D48" s="175" t="n">
        <v>-0.03626775074288477</v>
      </c>
      <c r="E48" s="175" t="n">
        <v>-0.02918014545608717</v>
      </c>
      <c r="F48" s="175" t="n">
        <v>-0.01502072451246605</v>
      </c>
      <c r="G48" s="175" t="n">
        <v>-0.0007918571401400023</v>
      </c>
      <c r="H48" s="175" t="n">
        <v>0.01340107552490619</v>
      </c>
    </row>
    <row r="49" ht="16" customHeight="1">
      <c r="B49" s="74" t="inlineStr">
        <is>
          <t>BN.PA</t>
        </is>
      </c>
      <c r="C49" s="175" t="n">
        <v>0.2871877114497401</v>
      </c>
      <c r="D49" s="175" t="n">
        <v>0.3967623960348221</v>
      </c>
      <c r="E49" s="175" t="n">
        <v>0.2871840331574588</v>
      </c>
      <c r="F49" s="175" t="n">
        <v>0.06800533258977413</v>
      </c>
      <c r="G49" s="175" t="n">
        <v>-0.1511174222328103</v>
      </c>
      <c r="H49" s="175" t="n">
        <v>-0.3702660347776713</v>
      </c>
    </row>
    <row r="50" ht="16" customHeight="1">
      <c r="B50" s="74" t="inlineStr">
        <is>
          <t>ENGI.PA</t>
        </is>
      </c>
      <c r="C50" s="175" t="n">
        <v>0.08125052011792964</v>
      </c>
      <c r="D50" s="175" t="n">
        <v>0.1619480749547242</v>
      </c>
      <c r="E50" s="175" t="n">
        <v>0.08124574428378735</v>
      </c>
      <c r="F50" s="175" t="n">
        <v>-0.08015209222558534</v>
      </c>
      <c r="G50" s="175" t="n">
        <v>-0.2416390915850186</v>
      </c>
      <c r="H50" s="175" t="n">
        <v>-0.4030815982301399</v>
      </c>
    </row>
    <row r="51" ht="16" customHeight="1">
      <c r="B51" s="74" t="inlineStr">
        <is>
          <t>RMS.PA</t>
        </is>
      </c>
      <c r="C51" s="175" t="n">
        <v>0.1058616360851871</v>
      </c>
      <c r="D51" s="175" t="n">
        <v>-0.0418090651163926</v>
      </c>
      <c r="E51" s="175" t="n">
        <v>0.1058738663311968</v>
      </c>
      <c r="F51" s="175" t="n">
        <v>0.4012381190019782</v>
      </c>
      <c r="G51" s="175" t="n">
        <v>0.696542455801694</v>
      </c>
      <c r="H51" s="175" t="n">
        <v>0.9918767135304797</v>
      </c>
    </row>
    <row r="52" ht="16" customHeight="1">
      <c r="B52" s="74" t="inlineStr">
        <is>
          <t>RI.PA</t>
        </is>
      </c>
      <c r="C52" s="175" t="n">
        <v>0.1762136411698022</v>
      </c>
      <c r="D52" s="175" t="n">
        <v>0.3347279775205466</v>
      </c>
      <c r="E52" s="175" t="n">
        <v>0.1761988257905603</v>
      </c>
      <c r="F52" s="175" t="n">
        <v>-0.1408447447475621</v>
      </c>
      <c r="G52" s="175" t="n">
        <v>-0.4579069422158221</v>
      </c>
      <c r="H52" s="175" t="n">
        <v>-0.7749601641640161</v>
      </c>
    </row>
    <row r="53" ht="16" customHeight="1">
      <c r="B53" s="74" t="inlineStr">
        <is>
          <t>RNO.PA</t>
        </is>
      </c>
      <c r="C53" s="175" t="n">
        <v>-0.1068820720924688</v>
      </c>
      <c r="D53" s="175" t="n">
        <v>-0.05384418431630558</v>
      </c>
      <c r="E53" s="175" t="n">
        <v>-0.106886510279839</v>
      </c>
      <c r="F53" s="175" t="n">
        <v>-0.2129645688191471</v>
      </c>
      <c r="G53" s="175" t="n">
        <v>-0.3190722430047396</v>
      </c>
      <c r="H53" s="175" t="n">
        <v>-0.4251655473394304</v>
      </c>
    </row>
    <row r="54" ht="16" customHeight="1">
      <c r="B54" s="74" t="inlineStr">
        <is>
          <t>SAN.PA</t>
        </is>
      </c>
      <c r="C54" s="175" t="n">
        <v>0.1848538773891578</v>
      </c>
      <c r="D54" s="175" t="n">
        <v>0.168232034246214</v>
      </c>
      <c r="E54" s="175" t="n">
        <v>0.1848526268112762</v>
      </c>
      <c r="F54" s="175" t="n">
        <v>0.2180981018380728</v>
      </c>
      <c r="G54" s="175" t="n">
        <v>0.2513607475855021</v>
      </c>
      <c r="H54" s="175" t="n">
        <v>0.2846153387531417</v>
      </c>
    </row>
    <row r="55" ht="16" customHeight="1">
      <c r="B55" s="74" t="inlineStr">
        <is>
          <t>SU.PA</t>
        </is>
      </c>
      <c r="C55" s="175" t="n">
        <v>0.1295614220957459</v>
      </c>
      <c r="D55" s="175" t="n">
        <v>0.1011574572095226</v>
      </c>
      <c r="E55" s="175" t="n">
        <v>0.1295646629967674</v>
      </c>
      <c r="F55" s="175" t="n">
        <v>0.1863608313628195</v>
      </c>
      <c r="G55" s="175" t="n">
        <v>0.2431788117683804</v>
      </c>
      <c r="H55" s="175" t="n">
        <v>0.2999886949735383</v>
      </c>
    </row>
    <row r="56" ht="16" customHeight="1">
      <c r="B56" s="74" t="inlineStr">
        <is>
          <t>TTE.PA</t>
        </is>
      </c>
      <c r="C56" s="175" t="n">
        <v>0.164320966364965</v>
      </c>
      <c r="D56" s="175" t="n">
        <v>0.1532371577717158</v>
      </c>
      <c r="E56" s="175" t="n">
        <v>0.164318872654789</v>
      </c>
      <c r="F56" s="175" t="n">
        <v>0.1864861689091455</v>
      </c>
      <c r="G56" s="175" t="n">
        <v>0.2086252204977121</v>
      </c>
      <c r="H56" s="175" t="n">
        <v>0.2307752681810134</v>
      </c>
    </row>
    <row r="57" ht="16" customHeight="1">
      <c r="B57" s="74" t="inlineStr">
        <is>
          <t>DG.PA</t>
        </is>
      </c>
      <c r="C57" s="175" t="n">
        <v>0.1269485980445835</v>
      </c>
      <c r="D57" s="175" t="n">
        <v>0.06075266849001605</v>
      </c>
      <c r="E57" s="175" t="n">
        <v>0.126949506873623</v>
      </c>
      <c r="F57" s="175" t="n">
        <v>0.2593549191202452</v>
      </c>
      <c r="G57" s="175" t="n">
        <v>0.3918191213962324</v>
      </c>
      <c r="H57" s="175" t="n">
        <v>0.5242514124433951</v>
      </c>
    </row>
    <row r="58" ht="16" customHeight="1">
      <c r="B58" s="73" t="inlineStr">
        <is>
          <t>Total Weights</t>
        </is>
      </c>
      <c r="C58" s="175">
        <f>SUM(C46:C57)</f>
        <v/>
      </c>
      <c r="D58" s="175">
        <f>SUM(D46:D57)</f>
        <v/>
      </c>
      <c r="E58" s="175">
        <f>SUM(E46:E57)</f>
        <v/>
      </c>
      <c r="F58" s="175">
        <f>SUM(F46:F57)</f>
        <v/>
      </c>
      <c r="G58" s="175">
        <f>SUM(G46:G57)</f>
        <v/>
      </c>
      <c r="H58" s="175">
        <f>SUM(H46:H57)</f>
        <v/>
      </c>
    </row>
    <row r="60" ht="16" customHeight="1">
      <c r="B60" s="68" t="inlineStr">
        <is>
          <t>Portfolio Return</t>
        </is>
      </c>
      <c r="C60" s="175">
        <f t="array" ref="C60">SUMPRODUCT(C46:C57,TRANSPOSE('Returns-VOL'!$C$195:$N$195))</f>
        <v/>
      </c>
      <c r="D60" s="177">
        <f t="array" ref="D60">SUMPRODUCT(D46:D57,TRANSPOSE('Returns-VOL'!$C$195:$N$195))</f>
        <v/>
      </c>
      <c r="E60" s="177">
        <f t="array" ref="E60">SUMPRODUCT(E46:E57,TRANSPOSE('Returns-VOL'!$C$195:$N$195))</f>
        <v/>
      </c>
      <c r="F60" s="177">
        <f t="array" ref="F60">SUMPRODUCT(F46:F57,TRANSPOSE('Returns-VOL'!$C$195:$N$195))</f>
        <v/>
      </c>
      <c r="G60" s="177">
        <f t="array" ref="G60">SUMPRODUCT(G46:G57,TRANSPOSE('Returns-VOL'!$C$195:$N$195))</f>
        <v/>
      </c>
      <c r="H60" s="177">
        <f t="array" ref="H60">SUMPRODUCT(H46:H57,TRANSPOSE('Returns-VOL'!$C$195:$N$195))</f>
        <v/>
      </c>
    </row>
    <row r="61" ht="16" customHeight="1">
      <c r="B61" s="68" t="inlineStr">
        <is>
          <t>Portfolio Var</t>
        </is>
      </c>
      <c r="C61" s="177">
        <f t="array" ref="C61">MMULT(TRANSPOSE(C46:C57),MMULT('Covariance Matrix'!C5:N16,C46:C57)) *12</f>
        <v/>
      </c>
      <c r="D61" s="175">
        <f t="array" ref="D61">MMULT(TRANSPOSE(D46:D57),MMULT('Covariance Matrix'!C5:N16,D46:D57)) *12</f>
        <v/>
      </c>
      <c r="E61" s="175">
        <f t="array" ref="E61">MMULT(TRANSPOSE(E46:E57),MMULT('Covariance Matrix'!C5:N16,E46:E57)) *12</f>
        <v/>
      </c>
      <c r="F61" s="175">
        <f t="array" ref="F61">MMULT(TRANSPOSE(F46:F57),MMULT('Covariance Matrix'!$C$5:$N$16,F46:F57)) *12</f>
        <v/>
      </c>
      <c r="G61" s="175">
        <f t="array" ref="G61">MMULT(TRANSPOSE(G46:G57),MMULT('Covariance Matrix'!$C$5:$N$16,G46:G57)) *12</f>
        <v/>
      </c>
      <c r="H61" s="175">
        <f t="array" ref="H61">MMULT(TRANSPOSE(H46:H57),MMULT('Covariance Matrix'!$C$5:$N$16,H46:H57)) *12</f>
        <v/>
      </c>
    </row>
    <row r="62" ht="16" customHeight="1">
      <c r="B62" s="68" t="inlineStr">
        <is>
          <t>Portfolio SD</t>
        </is>
      </c>
      <c r="C62" s="175">
        <f>SQRT(C61)</f>
        <v/>
      </c>
      <c r="D62" s="175">
        <f>SQRT(D61)</f>
        <v/>
      </c>
      <c r="E62" s="175">
        <f>SQRT(E61)</f>
        <v/>
      </c>
      <c r="F62" s="175">
        <f>SQRT(F61)</f>
        <v/>
      </c>
      <c r="G62" s="175">
        <f>SQRT(G61)</f>
        <v/>
      </c>
      <c r="H62" s="175">
        <f>SQRT(H61)</f>
        <v/>
      </c>
    </row>
  </sheetData>
  <mergeCells count="5">
    <mergeCell ref="F3:G3"/>
    <mergeCell ref="B44:O44"/>
    <mergeCell ref="O28:R33"/>
    <mergeCell ref="B24:O24"/>
    <mergeCell ref="I3:N3"/>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tabColor rgb="FFFFC000"/>
    <outlinePr summaryBelow="1" summaryRight="1"/>
    <pageSetUpPr/>
  </sheetPr>
  <dimension ref="A2:Q62"/>
  <sheetViews>
    <sheetView showGridLines="0" zoomScale="67" workbookViewId="0">
      <selection activeCell="Q32" sqref="Q32"/>
    </sheetView>
  </sheetViews>
  <sheetFormatPr baseColWidth="10" defaultColWidth="10.83203125" defaultRowHeight="15"/>
  <cols>
    <col width="32.5" customWidth="1" min="1" max="1"/>
    <col width="31.83203125" customWidth="1" min="2" max="2"/>
    <col width="25.33203125" customWidth="1" min="3" max="3"/>
    <col width="22.5" customWidth="1" min="4" max="4"/>
    <col width="19" customWidth="1" min="5" max="5"/>
    <col width="23.33203125" customWidth="1" min="6" max="6"/>
    <col width="14" customWidth="1" min="7" max="7"/>
    <col width="22.1640625" customWidth="1" min="10" max="10"/>
    <col width="24.1640625" customWidth="1" min="11" max="11"/>
    <col width="17.6640625" customWidth="1" min="13" max="13"/>
    <col width="23.5" customWidth="1" min="14" max="14"/>
  </cols>
  <sheetData>
    <row r="2" ht="33" customHeight="1">
      <c r="B2" s="172" t="inlineStr">
        <is>
          <t>B5</t>
        </is>
      </c>
      <c r="C2" s="174" t="n"/>
      <c r="D2" s="174" t="n"/>
      <c r="E2" s="174" t="n"/>
      <c r="F2" s="174" t="n"/>
      <c r="G2" s="174" t="n"/>
      <c r="H2" s="174" t="n"/>
      <c r="I2" s="174" t="n"/>
      <c r="J2" s="174" t="n"/>
      <c r="K2" s="174" t="n"/>
      <c r="L2" s="174" t="n"/>
      <c r="M2" s="174" t="n"/>
      <c r="N2" s="174" t="n"/>
      <c r="O2" s="174" t="n"/>
      <c r="P2" s="174" t="n"/>
      <c r="Q2" s="173" t="n"/>
    </row>
    <row r="3" ht="16" customHeight="1">
      <c r="B3" s="73" t="inlineStr">
        <is>
          <t>Risk-free Security</t>
        </is>
      </c>
    </row>
    <row r="4" ht="16" customHeight="1">
      <c r="A4" s="69" t="inlineStr">
        <is>
          <t>(given in the exercise)</t>
        </is>
      </c>
      <c r="B4" s="68" t="inlineStr">
        <is>
          <t>return by month</t>
        </is>
      </c>
      <c r="C4" s="101" t="n">
        <v>0.0028</v>
      </c>
      <c r="D4" s="101" t="n">
        <v>0.0028</v>
      </c>
      <c r="E4" s="101" t="n">
        <v>0.0028</v>
      </c>
      <c r="F4" s="101" t="n">
        <v>0.0028</v>
      </c>
      <c r="G4" s="101" t="n">
        <v>0.0028</v>
      </c>
      <c r="H4" s="101" t="n">
        <v>0.0028</v>
      </c>
    </row>
    <row r="5" ht="16" customHeight="1">
      <c r="A5" s="69" t="inlineStr">
        <is>
          <t>(return by month * 12)</t>
        </is>
      </c>
      <c r="B5" s="68" t="inlineStr">
        <is>
          <t>return annualized</t>
        </is>
      </c>
      <c r="C5" s="101">
        <f>C4*12</f>
        <v/>
      </c>
      <c r="D5" s="101">
        <f>D4*12</f>
        <v/>
      </c>
      <c r="E5" s="101">
        <f>E4*12</f>
        <v/>
      </c>
      <c r="F5" s="101">
        <f>F4*12</f>
        <v/>
      </c>
      <c r="G5" s="101">
        <f>G4*12</f>
        <v/>
      </c>
      <c r="H5" s="101">
        <f>H4*12</f>
        <v/>
      </c>
    </row>
    <row r="7" ht="16" customHeight="1">
      <c r="B7" s="72" t="inlineStr">
        <is>
          <t>Ticker</t>
        </is>
      </c>
      <c r="C7" s="68" t="inlineStr">
        <is>
          <t>Minimum Variance</t>
        </is>
      </c>
      <c r="D7" s="68" t="n">
        <v>0.05</v>
      </c>
      <c r="E7" s="68" t="n">
        <v>0.1</v>
      </c>
      <c r="F7" s="68" t="n">
        <v>0.2</v>
      </c>
      <c r="G7" s="68" t="n">
        <v>0.3</v>
      </c>
      <c r="H7" s="68" t="n">
        <v>0.4</v>
      </c>
    </row>
    <row r="8" ht="16" customHeight="1">
      <c r="B8" s="74" t="inlineStr">
        <is>
          <t>AIR.PA</t>
        </is>
      </c>
      <c r="C8" s="175" t="n">
        <v>-3.295930691361136e-07</v>
      </c>
      <c r="D8" s="175" t="n">
        <v>0.02888680011604379</v>
      </c>
      <c r="E8" s="175" t="n">
        <v>0.1169480380769234</v>
      </c>
      <c r="F8" s="175" t="n">
        <v>0.2930865374033849</v>
      </c>
      <c r="G8" s="175" t="n">
        <v>0.4692398570254124</v>
      </c>
      <c r="H8" s="175" t="n">
        <v>0.6453821685267682</v>
      </c>
    </row>
    <row r="9" ht="16" customHeight="1">
      <c r="B9" s="74" t="inlineStr">
        <is>
          <t>BNP.PA</t>
        </is>
      </c>
      <c r="C9" s="175" t="n">
        <v>-6.492022954119784e-07</v>
      </c>
      <c r="D9" s="175" t="n">
        <v>-0.009958572819174359</v>
      </c>
      <c r="E9" s="175" t="n">
        <v>-0.0403143264747956</v>
      </c>
      <c r="F9" s="175" t="n">
        <v>-0.1010384258186699</v>
      </c>
      <c r="G9" s="175" t="n">
        <v>-0.1617593782621823</v>
      </c>
      <c r="H9" s="175" t="n">
        <v>-0.222481715663091</v>
      </c>
    </row>
    <row r="10" ht="16" customHeight="1">
      <c r="B10" s="74" t="inlineStr">
        <is>
          <t>CAP.PA</t>
        </is>
      </c>
      <c r="C10" s="175" t="n">
        <v>-4.823112195292303e-07</v>
      </c>
      <c r="D10" s="175" t="n">
        <v>-0.0006437305894077017</v>
      </c>
      <c r="E10" s="175" t="n">
        <v>-0.002615260647432123</v>
      </c>
      <c r="F10" s="175" t="n">
        <v>-0.006553493313867045</v>
      </c>
      <c r="G10" s="175" t="n">
        <v>-0.01043799928691988</v>
      </c>
      <c r="H10" s="175" t="n">
        <v>-0.01434187404217969</v>
      </c>
    </row>
    <row r="11" ht="16" customHeight="1">
      <c r="B11" s="74" t="inlineStr">
        <is>
          <t>BN.PA</t>
        </is>
      </c>
      <c r="C11" s="175" t="n">
        <v>-7.013605881903273e-07</v>
      </c>
      <c r="D11" s="175" t="n">
        <v>-0.002637658827044599</v>
      </c>
      <c r="E11" s="175" t="n">
        <v>-0.01068390866032272</v>
      </c>
      <c r="F11" s="175" t="n">
        <v>-0.02675652868342555</v>
      </c>
      <c r="G11" s="175" t="n">
        <v>-0.04283110515622719</v>
      </c>
      <c r="H11" s="175" t="n">
        <v>-0.05890421378524293</v>
      </c>
    </row>
    <row r="12" ht="16" customHeight="1">
      <c r="B12" s="74" t="inlineStr">
        <is>
          <t>ENGI.PA</t>
        </is>
      </c>
      <c r="C12" s="175" t="n">
        <v>3.981389870727364e-07</v>
      </c>
      <c r="D12" s="175" t="n">
        <v>-0.01197342552483139</v>
      </c>
      <c r="E12" s="175" t="n">
        <v>-0.04846080797251798</v>
      </c>
      <c r="F12" s="175" t="n">
        <v>-0.1214752225034015</v>
      </c>
      <c r="G12" s="175" t="n">
        <v>-0.1945011208019827</v>
      </c>
      <c r="H12" s="175" t="n">
        <v>-0.2675089468194309</v>
      </c>
    </row>
    <row r="13" ht="16" customHeight="1">
      <c r="B13" s="74" t="inlineStr">
        <is>
          <t>RMS.PA</t>
        </is>
      </c>
      <c r="C13" s="175" t="n">
        <v>-2.251507135392716e-07</v>
      </c>
      <c r="D13" s="175" t="n">
        <v>0.04148995424158548</v>
      </c>
      <c r="E13" s="175" t="n">
        <v>0.1679957244124802</v>
      </c>
      <c r="F13" s="175" t="n">
        <v>0.4209832378425948</v>
      </c>
      <c r="G13" s="175" t="n">
        <v>0.6739500602783864</v>
      </c>
      <c r="H13" s="175" t="n">
        <v>0.9269357002265732</v>
      </c>
    </row>
    <row r="14" ht="16" customHeight="1">
      <c r="B14" s="74" t="inlineStr">
        <is>
          <t>RI.PA</t>
        </is>
      </c>
      <c r="C14" s="175" t="n">
        <v>-6.935552422207891e-08</v>
      </c>
      <c r="D14" s="175" t="n">
        <v>-0.02223280138806062</v>
      </c>
      <c r="E14" s="175" t="n">
        <v>-0.09000700503860698</v>
      </c>
      <c r="F14" s="175" t="n">
        <v>-0.2255906231418</v>
      </c>
      <c r="G14" s="175" t="n">
        <v>-0.3611460016835205</v>
      </c>
      <c r="H14" s="175" t="n">
        <v>-0.496707021110576</v>
      </c>
    </row>
    <row r="15" ht="16" customHeight="1">
      <c r="B15" s="74" t="inlineStr">
        <is>
          <t>RNO.PA</t>
        </is>
      </c>
      <c r="C15" s="175" t="n">
        <v>-1.355160879117714e-07</v>
      </c>
      <c r="D15" s="175" t="n">
        <v>-0.020204379869689</v>
      </c>
      <c r="E15" s="175" t="n">
        <v>-0.08179850089854739</v>
      </c>
      <c r="F15" s="175" t="n">
        <v>-0.2049892191632369</v>
      </c>
      <c r="G15" s="175" t="n">
        <v>-0.3281933927570876</v>
      </c>
      <c r="H15" s="175" t="n">
        <v>-0.4513895972039741</v>
      </c>
    </row>
    <row r="16" ht="16" customHeight="1">
      <c r="B16" s="74" t="inlineStr">
        <is>
          <t>SAN.PA</t>
        </is>
      </c>
      <c r="C16" s="175" t="n">
        <v>-3.924478465630298e-07</v>
      </c>
      <c r="D16" s="175" t="n">
        <v>0.01798162587418478</v>
      </c>
      <c r="E16" s="175" t="n">
        <v>0.07279785255501635</v>
      </c>
      <c r="F16" s="175" t="n">
        <v>0.1824495261372215</v>
      </c>
      <c r="G16" s="175" t="n">
        <v>0.2920932245469245</v>
      </c>
      <c r="H16" s="175" t="n">
        <v>0.4017251763229255</v>
      </c>
    </row>
    <row r="17" ht="16" customHeight="1">
      <c r="B17" s="74" t="inlineStr">
        <is>
          <t>SU.PA</t>
        </is>
      </c>
      <c r="C17" s="175" t="n">
        <v>1.340682209350014e-07</v>
      </c>
      <c r="D17" s="175" t="n">
        <v>0.01638635079306384</v>
      </c>
      <c r="E17" s="175" t="n">
        <v>0.06634448363598082</v>
      </c>
      <c r="F17" s="175" t="n">
        <v>0.1662449252091337</v>
      </c>
      <c r="G17" s="175" t="n">
        <v>0.2661601285020176</v>
      </c>
      <c r="H17" s="175" t="n">
        <v>0.366061126842558</v>
      </c>
    </row>
    <row r="18" ht="16" customHeight="1">
      <c r="B18" s="74" t="inlineStr">
        <is>
          <t>TTE.PA</t>
        </is>
      </c>
      <c r="C18" s="175" t="n">
        <v>-2.150946684155867e-07</v>
      </c>
      <c r="D18" s="175" t="n">
        <v>0.01514839147578198</v>
      </c>
      <c r="E18" s="175" t="n">
        <v>0.06135884098612288</v>
      </c>
      <c r="F18" s="175" t="n">
        <v>0.1536854745625657</v>
      </c>
      <c r="G18" s="175" t="n">
        <v>0.246028123576196</v>
      </c>
      <c r="H18" s="175" t="n">
        <v>0.3383773573155933</v>
      </c>
    </row>
    <row r="19" ht="16" customHeight="1">
      <c r="B19" s="74" t="inlineStr">
        <is>
          <t>DG.PA</t>
        </is>
      </c>
      <c r="C19" s="175" t="n">
        <v>1.517755801381546e-06</v>
      </c>
      <c r="D19" s="175" t="n">
        <v>0.02472272868827454</v>
      </c>
      <c r="E19" s="175" t="n">
        <v>0.1000677247283021</v>
      </c>
      <c r="F19" s="175" t="n">
        <v>0.2508760037246324</v>
      </c>
      <c r="G19" s="175" t="n">
        <v>0.4016175593303583</v>
      </c>
      <c r="H19" s="175" t="n">
        <v>0.5523741558792044</v>
      </c>
    </row>
    <row r="20" ht="16" customHeight="1">
      <c r="B20" s="73" t="inlineStr">
        <is>
          <t>Risk-free Security Weight</t>
        </is>
      </c>
      <c r="C20" s="175" t="n">
        <v>1.000001150069003</v>
      </c>
      <c r="D20" s="175" t="n">
        <v>0.9230347178292733</v>
      </c>
      <c r="E20" s="175" t="n">
        <v>0.6883671452973966</v>
      </c>
      <c r="F20" s="175" t="n">
        <v>0.2190778077448682</v>
      </c>
      <c r="G20" s="175" t="n">
        <v>-0.2502199553113749</v>
      </c>
      <c r="H20" s="175" t="n">
        <v>-0.7195223164891283</v>
      </c>
    </row>
    <row r="21" ht="16" customHeight="1">
      <c r="B21" s="68" t="inlineStr">
        <is>
          <t>Total Weights</t>
        </is>
      </c>
      <c r="C21" s="175">
        <f>SUM(C8:C20)</f>
        <v/>
      </c>
      <c r="D21" s="175">
        <f>SUM(D8:D20)</f>
        <v/>
      </c>
      <c r="E21" s="175">
        <f>SUM(E8:E20)</f>
        <v/>
      </c>
      <c r="F21" s="175">
        <f>SUM(F8:F20)</f>
        <v/>
      </c>
      <c r="G21" s="175">
        <f>SUM(G8:G20)</f>
        <v/>
      </c>
      <c r="H21" s="175">
        <f>SUM(H8:H20)</f>
        <v/>
      </c>
    </row>
    <row r="22" ht="16" customHeight="1">
      <c r="B22" s="68" t="inlineStr">
        <is>
          <t>Portfolio Return</t>
        </is>
      </c>
      <c r="C22" s="75">
        <f t="array" ref="C22">SUMPRODUCT(C8:C19,TRANSPOSE('Returns-VOL'!$C$195:$N$195))+C20*C5</f>
        <v/>
      </c>
      <c r="D22" s="75">
        <f t="array" ref="D22">SUMPRODUCT(D8:D19,TRANSPOSE('Returns-VOL'!$C$195:$N$195))+D20*D5</f>
        <v/>
      </c>
      <c r="E22" s="75">
        <f t="array" ref="E22">SUMPRODUCT(E8:E19,TRANSPOSE('Returns-VOL'!$C$195:$N$195))+E20*E5</f>
        <v/>
      </c>
      <c r="F22" s="75">
        <f t="array" ref="F22">SUMPRODUCT(F8:F19,TRANSPOSE('Returns-VOL'!$C$195:$N$195))+F20*F5</f>
        <v/>
      </c>
      <c r="G22" s="75">
        <f t="array" ref="G22">SUMPRODUCT(G8:G19,TRANSPOSE('Returns-VOL'!$C$195:$N$195))+G20*G5</f>
        <v/>
      </c>
      <c r="H22" s="75">
        <f t="array" ref="H22">SUMPRODUCT(H8:H19,TRANSPOSE('Returns-VOL'!$C$195:$N$195))+H20*H5</f>
        <v/>
      </c>
    </row>
    <row r="23" ht="16" customHeight="1">
      <c r="B23" s="68" t="inlineStr">
        <is>
          <t>Portfolio Var</t>
        </is>
      </c>
      <c r="C23" s="75">
        <f t="array" ref="C23">MMULT(TRANSPOSE(C8:C19),MMULT('Covariance Matrix'!$C$5:$N$16,C8:C19)) *12</f>
        <v/>
      </c>
      <c r="D23" s="75">
        <f t="array" ref="D23">MMULT(TRANSPOSE(D8:D19),MMULT('Covariance Matrix'!$C$5:$N$16,D8:D19)) *12</f>
        <v/>
      </c>
      <c r="E23" s="75">
        <f t="array" ref="E23">MMULT(TRANSPOSE(E8:E19),MMULT('Covariance Matrix'!$C$5:$N$16,E8:E19)) *12</f>
        <v/>
      </c>
      <c r="F23" s="75">
        <f t="array" ref="F23">MMULT(TRANSPOSE(F8:F19),MMULT('Covariance Matrix'!$C$5:$N$16,F8:F19)) *12</f>
        <v/>
      </c>
      <c r="G23" s="75">
        <f t="array" ref="G23">MMULT(TRANSPOSE(G8:G19),MMULT('Covariance Matrix'!$C$5:$N$16,G8:G19)) *12</f>
        <v/>
      </c>
      <c r="H23" s="75">
        <f t="array" ref="H23">MMULT(TRANSPOSE(H8:H19),MMULT('Covariance Matrix'!$C$5:$N$16,H8:H19)) *12</f>
        <v/>
      </c>
    </row>
    <row r="24" ht="16" customHeight="1">
      <c r="B24" s="68" t="inlineStr">
        <is>
          <t>Portfolio SD</t>
        </is>
      </c>
      <c r="C24" s="75">
        <f>SQRT(C23)</f>
        <v/>
      </c>
      <c r="D24" s="75">
        <f>SQRT(D23)</f>
        <v/>
      </c>
      <c r="E24" s="75">
        <f>SQRT(E23)</f>
        <v/>
      </c>
      <c r="F24" s="75">
        <f>SQRT(F23)</f>
        <v/>
      </c>
      <c r="G24" s="75">
        <f>SQRT(G23)</f>
        <v/>
      </c>
      <c r="H24" s="75">
        <f>SQRT(H23)</f>
        <v/>
      </c>
    </row>
    <row r="26" ht="16" customHeight="1">
      <c r="B26" s="68" t="inlineStr">
        <is>
          <t>Relative Weigths</t>
        </is>
      </c>
    </row>
    <row r="27" ht="16" customHeight="1">
      <c r="B27" s="72" t="inlineStr">
        <is>
          <t>Ticker</t>
        </is>
      </c>
      <c r="C27" s="68" t="inlineStr">
        <is>
          <t>Minimum Variance</t>
        </is>
      </c>
      <c r="D27" s="68" t="n">
        <v>0.05</v>
      </c>
      <c r="E27" s="68" t="n">
        <v>0.1</v>
      </c>
      <c r="F27" s="68" t="n">
        <v>0.2</v>
      </c>
      <c r="G27" s="68" t="n">
        <v>0.3</v>
      </c>
      <c r="H27" s="68" t="n">
        <v>0.4</v>
      </c>
      <c r="J27" s="68" t="inlineStr">
        <is>
          <t>Ticker</t>
        </is>
      </c>
      <c r="K27" s="68" t="inlineStr">
        <is>
          <t>Tangent Portfolio Weights</t>
        </is>
      </c>
      <c r="M27" s="68" t="inlineStr">
        <is>
          <t>Ticker</t>
        </is>
      </c>
      <c r="N27" s="68" t="inlineStr">
        <is>
          <t>Tangent Portfolio Weights</t>
        </is>
      </c>
    </row>
    <row r="28" ht="16" customHeight="1">
      <c r="B28" s="74" t="inlineStr">
        <is>
          <t>AIR.PA</t>
        </is>
      </c>
      <c r="C28" s="175">
        <f>C8/C$40</f>
        <v/>
      </c>
      <c r="D28" s="175">
        <f>D8/D$40</f>
        <v/>
      </c>
      <c r="E28" s="175">
        <f>E8/E$40</f>
        <v/>
      </c>
      <c r="F28" s="175">
        <f>F8/F$40</f>
        <v/>
      </c>
      <c r="G28" s="175">
        <f>G8/G$40</f>
        <v/>
      </c>
      <c r="H28" s="175">
        <f>H8/H$40</f>
        <v/>
      </c>
      <c r="J28" s="101" t="inlineStr">
        <is>
          <t>AIR.PA</t>
        </is>
      </c>
      <c r="K28" s="175">
        <f>AVERAGE(D28:H28)</f>
        <v/>
      </c>
      <c r="M28" s="101" t="inlineStr">
        <is>
          <t>AIR.PA</t>
        </is>
      </c>
      <c r="N28" s="175" t="n">
        <v>0.3753081972980336</v>
      </c>
    </row>
    <row r="29" ht="16" customHeight="1">
      <c r="B29" s="74" t="inlineStr">
        <is>
          <t>BNP.PA</t>
        </is>
      </c>
      <c r="C29" s="175">
        <f>C9/C$40</f>
        <v/>
      </c>
      <c r="D29" s="175">
        <f>D9/D$40</f>
        <v/>
      </c>
      <c r="E29" s="175">
        <f>E9/E$40</f>
        <v/>
      </c>
      <c r="F29" s="175">
        <f>F9/F$40</f>
        <v/>
      </c>
      <c r="G29" s="175">
        <f>G9/G$40</f>
        <v/>
      </c>
      <c r="H29" s="175">
        <f>H9/H$40</f>
        <v/>
      </c>
      <c r="J29" s="101" t="inlineStr">
        <is>
          <t>BNP.PA</t>
        </is>
      </c>
      <c r="K29" s="175">
        <f>AVERAGE(D29:H29)</f>
        <v/>
      </c>
      <c r="M29" s="101" t="inlineStr">
        <is>
          <t>BNP.PA</t>
        </is>
      </c>
      <c r="N29" s="175" t="n">
        <v>-0.1294067468295898</v>
      </c>
    </row>
    <row r="30" ht="16" customHeight="1">
      <c r="B30" s="74" t="inlineStr">
        <is>
          <t>CAP.PA</t>
        </is>
      </c>
      <c r="C30" s="175">
        <f>C10/C$40</f>
        <v/>
      </c>
      <c r="D30" s="175">
        <f>D10/D$40</f>
        <v/>
      </c>
      <c r="E30" s="175">
        <f>E10/E$40</f>
        <v/>
      </c>
      <c r="F30" s="175">
        <f>F10/F$40</f>
        <v/>
      </c>
      <c r="G30" s="175">
        <f>G10/G$40</f>
        <v/>
      </c>
      <c r="H30" s="175">
        <f>H10/H$40</f>
        <v/>
      </c>
      <c r="J30" s="101" t="inlineStr">
        <is>
          <t>CAP.PA</t>
        </is>
      </c>
      <c r="K30" s="175">
        <f>AVERAGE(D30:H30)</f>
        <v/>
      </c>
      <c r="M30" s="101" t="inlineStr">
        <is>
          <t>CAP.PA</t>
        </is>
      </c>
      <c r="N30" s="175" t="n">
        <v>-0.008351370621499918</v>
      </c>
    </row>
    <row r="31" ht="16" customHeight="1">
      <c r="B31" s="74" t="inlineStr">
        <is>
          <t>BN.PA</t>
        </is>
      </c>
      <c r="C31" s="175">
        <f>C11/C$40</f>
        <v/>
      </c>
      <c r="D31" s="175">
        <f>D11/D$40</f>
        <v/>
      </c>
      <c r="E31" s="175">
        <f>E11/E$40</f>
        <v/>
      </c>
      <c r="F31" s="175">
        <f>F11/F$40</f>
        <v/>
      </c>
      <c r="G31" s="175">
        <f>G11/G$40</f>
        <v/>
      </c>
      <c r="H31" s="175">
        <f>H11/H$40</f>
        <v/>
      </c>
      <c r="J31" s="101" t="inlineStr">
        <is>
          <t>BN.PA</t>
        </is>
      </c>
      <c r="K31" s="175">
        <f>AVERAGE(D31:H31)</f>
        <v/>
      </c>
      <c r="M31" s="101" t="inlineStr">
        <is>
          <t>BN.PA</t>
        </is>
      </c>
      <c r="N31" s="175" t="n">
        <v>-0.0342944414343966</v>
      </c>
    </row>
    <row r="32" ht="16" customHeight="1">
      <c r="B32" s="74" t="inlineStr">
        <is>
          <t>ENGI.PA</t>
        </is>
      </c>
      <c r="C32" s="175">
        <f>C12/C$40</f>
        <v/>
      </c>
      <c r="D32" s="175">
        <f>D12/D$40</f>
        <v/>
      </c>
      <c r="E32" s="175">
        <f>E12/E$40</f>
        <v/>
      </c>
      <c r="F32" s="175">
        <f>F12/F$40</f>
        <v/>
      </c>
      <c r="G32" s="175">
        <f>G12/G$40</f>
        <v/>
      </c>
      <c r="H32" s="175">
        <f>H12/H$40</f>
        <v/>
      </c>
      <c r="J32" s="101" t="inlineStr">
        <is>
          <t>ENGI.PA</t>
        </is>
      </c>
      <c r="K32" s="175">
        <f>AVERAGE(D32:H32)</f>
        <v/>
      </c>
      <c r="M32" s="101" t="inlineStr">
        <is>
          <t>ENGI.PA</t>
        </is>
      </c>
      <c r="N32" s="175" t="n">
        <v>-0.1555559364557505</v>
      </c>
    </row>
    <row r="33" ht="16" customHeight="1">
      <c r="B33" s="74" t="inlineStr">
        <is>
          <t>RMS.PA</t>
        </is>
      </c>
      <c r="C33" s="175">
        <f>C13/C$40</f>
        <v/>
      </c>
      <c r="D33" s="175">
        <f>D13/D$40</f>
        <v/>
      </c>
      <c r="E33" s="175">
        <f>E13/E$40</f>
        <v/>
      </c>
      <c r="F33" s="175">
        <f>F13/F$40</f>
        <v/>
      </c>
      <c r="G33" s="175">
        <f>G13/G$40</f>
        <v/>
      </c>
      <c r="H33" s="175">
        <f>H13/H$40</f>
        <v/>
      </c>
      <c r="J33" s="101" t="inlineStr">
        <is>
          <t>RMS.PA</t>
        </is>
      </c>
      <c r="K33" s="175">
        <f>AVERAGE(D33:H33)</f>
        <v/>
      </c>
      <c r="M33" s="101" t="inlineStr">
        <is>
          <t>RMS.PA</t>
        </is>
      </c>
      <c r="N33" s="175" t="n">
        <v>0.5390418069964378</v>
      </c>
    </row>
    <row r="34" ht="16" customHeight="1">
      <c r="B34" s="74" t="inlineStr">
        <is>
          <t>RI.PA</t>
        </is>
      </c>
      <c r="C34" s="175">
        <f>C14/C$40</f>
        <v/>
      </c>
      <c r="D34" s="175">
        <f>D14/D$40</f>
        <v/>
      </c>
      <c r="E34" s="175">
        <f>E14/E$40</f>
        <v/>
      </c>
      <c r="F34" s="175">
        <f>F14/F$40</f>
        <v/>
      </c>
      <c r="G34" s="175">
        <f>G14/G$40</f>
        <v/>
      </c>
      <c r="H34" s="175">
        <f>H14/H$40</f>
        <v/>
      </c>
      <c r="J34" s="101" t="inlineStr">
        <is>
          <t>RI.PA</t>
        </is>
      </c>
      <c r="K34" s="175">
        <f>AVERAGE(D34:H34)</f>
        <v/>
      </c>
      <c r="M34" s="101" t="inlineStr">
        <is>
          <t>RI.PA</t>
        </is>
      </c>
      <c r="N34" s="175" t="n">
        <v>-0.2888205743987181</v>
      </c>
    </row>
    <row r="35" ht="16" customHeight="1">
      <c r="B35" s="74" t="inlineStr">
        <is>
          <t>RNO.PA</t>
        </is>
      </c>
      <c r="C35" s="175">
        <f>C15/C$40</f>
        <v/>
      </c>
      <c r="D35" s="175">
        <f>D15/D$40</f>
        <v/>
      </c>
      <c r="E35" s="175">
        <f>E15/E$40</f>
        <v/>
      </c>
      <c r="F35" s="175">
        <f>F15/F$40</f>
        <v/>
      </c>
      <c r="G35" s="175">
        <f>G15/G$40</f>
        <v/>
      </c>
      <c r="H35" s="175">
        <f>H15/H$40</f>
        <v/>
      </c>
      <c r="J35" s="101" t="inlineStr">
        <is>
          <t>RNO.PA</t>
        </is>
      </c>
      <c r="K35" s="175">
        <f>AVERAGE(D35:H35)</f>
        <v/>
      </c>
      <c r="M35" s="101" t="inlineStr">
        <is>
          <t>RNO.PA</t>
        </is>
      </c>
      <c r="N35" s="175" t="n">
        <v>-0.2625066441375096</v>
      </c>
    </row>
    <row r="36" ht="16" customHeight="1">
      <c r="B36" s="74" t="inlineStr">
        <is>
          <t>SAN.PA</t>
        </is>
      </c>
      <c r="C36" s="175">
        <f>C16/C$40</f>
        <v/>
      </c>
      <c r="D36" s="175">
        <f>D16/D$40</f>
        <v/>
      </c>
      <c r="E36" s="175">
        <f>E16/E$40</f>
        <v/>
      </c>
      <c r="F36" s="175">
        <f>F16/F$40</f>
        <v/>
      </c>
      <c r="G36" s="175">
        <f>G16/G$40</f>
        <v/>
      </c>
      <c r="H36" s="175">
        <f>H16/H$40</f>
        <v/>
      </c>
      <c r="J36" s="101" t="inlineStr">
        <is>
          <t>SAN.PA</t>
        </is>
      </c>
      <c r="K36" s="175">
        <f>AVERAGE(D36:H36)</f>
        <v/>
      </c>
      <c r="M36" s="101" t="inlineStr">
        <is>
          <t>SAN.PA</t>
        </is>
      </c>
      <c r="N36" s="175" t="n">
        <v>0.2336173505951982</v>
      </c>
    </row>
    <row r="37" ht="16" customHeight="1">
      <c r="B37" s="74" t="inlineStr">
        <is>
          <t>SU.PA</t>
        </is>
      </c>
      <c r="C37" s="175">
        <f>C17/C$40</f>
        <v/>
      </c>
      <c r="D37" s="175">
        <f>D17/D$40</f>
        <v/>
      </c>
      <c r="E37" s="175">
        <f>E17/E$40</f>
        <v/>
      </c>
      <c r="F37" s="175">
        <f>F17/F$40</f>
        <v/>
      </c>
      <c r="G37" s="175">
        <f>G17/G$40</f>
        <v/>
      </c>
      <c r="H37" s="175">
        <f>H17/H$40</f>
        <v/>
      </c>
      <c r="J37" s="101" t="inlineStr">
        <is>
          <t>SU.PA</t>
        </is>
      </c>
      <c r="K37" s="175">
        <f>AVERAGE(D37:H37)</f>
        <v/>
      </c>
      <c r="M37" s="101" t="inlineStr">
        <is>
          <t>SU.PA</t>
        </is>
      </c>
      <c r="N37" s="175" t="n">
        <v>0.2129269102910332</v>
      </c>
    </row>
    <row r="38" ht="16" customHeight="1">
      <c r="B38" s="74" t="inlineStr">
        <is>
          <t>TTE.PA</t>
        </is>
      </c>
      <c r="C38" s="175">
        <f>C18/C$40</f>
        <v/>
      </c>
      <c r="D38" s="175">
        <f>D18/D$40</f>
        <v/>
      </c>
      <c r="E38" s="175">
        <f>E18/E$40</f>
        <v/>
      </c>
      <c r="F38" s="175">
        <f>F18/F$40</f>
        <v/>
      </c>
      <c r="G38" s="175">
        <f>G18/G$40</f>
        <v/>
      </c>
      <c r="H38" s="175">
        <f>H18/H$40</f>
        <v/>
      </c>
      <c r="J38" s="101" t="inlineStr">
        <is>
          <t>TTE.PA</t>
        </is>
      </c>
      <c r="K38" s="175">
        <f>AVERAGE(D38:H38)</f>
        <v/>
      </c>
      <c r="M38" s="101" t="inlineStr">
        <is>
          <t>TTE.PA</t>
        </is>
      </c>
      <c r="N38" s="175" t="n">
        <v>0.1968714516079145</v>
      </c>
    </row>
    <row r="39" ht="16" customHeight="1">
      <c r="B39" s="74" t="inlineStr">
        <is>
          <t>DG.PA</t>
        </is>
      </c>
      <c r="C39" s="175">
        <f>C19/C$40</f>
        <v/>
      </c>
      <c r="D39" s="175">
        <f>D19/D$40</f>
        <v/>
      </c>
      <c r="E39" s="175">
        <f>E19/E$40</f>
        <v/>
      </c>
      <c r="F39" s="175">
        <f>F19/F$40</f>
        <v/>
      </c>
      <c r="G39" s="175">
        <f>G19/G$40</f>
        <v/>
      </c>
      <c r="H39" s="175">
        <f>H19/H$40</f>
        <v/>
      </c>
      <c r="J39" s="101" t="inlineStr">
        <is>
          <t>DG.PA</t>
        </is>
      </c>
      <c r="K39" s="175">
        <f>AVERAGE(D39:H39)</f>
        <v/>
      </c>
      <c r="M39" s="101" t="inlineStr">
        <is>
          <t>DG.PA</t>
        </is>
      </c>
      <c r="N39" s="175" t="n">
        <v>0.3211699970888467</v>
      </c>
    </row>
    <row r="40" ht="16" customHeight="1">
      <c r="A40" s="69" t="inlineStr">
        <is>
          <t>(without including the security)</t>
        </is>
      </c>
      <c r="B40" s="73" t="inlineStr">
        <is>
          <t>Total Weight of Stocks</t>
        </is>
      </c>
      <c r="C40" s="175">
        <f>C21-C20</f>
        <v/>
      </c>
      <c r="D40" s="175">
        <f>D21-D20</f>
        <v/>
      </c>
      <c r="E40" s="175">
        <f>E21-E20</f>
        <v/>
      </c>
      <c r="F40" s="175">
        <f>F21-F20</f>
        <v/>
      </c>
      <c r="G40" s="175">
        <f>G21-G20</f>
        <v/>
      </c>
      <c r="H40" s="175">
        <f>H21-H20</f>
        <v/>
      </c>
      <c r="J40" s="68" t="inlineStr">
        <is>
          <t>Total</t>
        </is>
      </c>
      <c r="K40" s="101">
        <f>SUM(K28:K39)</f>
        <v/>
      </c>
      <c r="M40" s="68" t="inlineStr">
        <is>
          <t>Total</t>
        </is>
      </c>
      <c r="N40" s="101">
        <f>SUM(N28:N39)</f>
        <v/>
      </c>
    </row>
    <row r="41" ht="16" customHeight="1">
      <c r="A41" s="69" t="inlineStr">
        <is>
          <t>(including the security)</t>
        </is>
      </c>
      <c r="B41" s="68" t="inlineStr">
        <is>
          <t>Total Weight</t>
        </is>
      </c>
      <c r="C41" s="101">
        <f>SUM(C28:C39)</f>
        <v/>
      </c>
      <c r="D41" s="101">
        <f>SUM(D28:D39)</f>
        <v/>
      </c>
      <c r="E41" s="101">
        <f>SUM(E28:E39)</f>
        <v/>
      </c>
      <c r="F41" s="101">
        <f>SUM(F28:F39)</f>
        <v/>
      </c>
      <c r="G41" s="101">
        <f>SUM(G28:G39)</f>
        <v/>
      </c>
      <c r="H41" s="101">
        <f>SUM(H28:H39)</f>
        <v/>
      </c>
    </row>
    <row r="42" ht="16" customHeight="1">
      <c r="J42" s="68" t="inlineStr">
        <is>
          <t>Portfolio Return</t>
        </is>
      </c>
      <c r="K42" s="75">
        <f t="array" ref="K42">SUMPRODUCT(TRANSPOSE(K28:K39),'Returns-VOL'!C195:N195)</f>
        <v/>
      </c>
      <c r="M42" s="68" t="inlineStr">
        <is>
          <t>Portfolio Return</t>
        </is>
      </c>
      <c r="N42" s="75">
        <f t="array" ref="N42">SUMPRODUCT(TRANSPOSE(N28:N39),'Returns-VOL'!C195:N195)</f>
        <v/>
      </c>
    </row>
    <row r="43" ht="16" customHeight="1">
      <c r="J43" s="68" t="inlineStr">
        <is>
          <t>Portfolio Variance</t>
        </is>
      </c>
      <c r="K43" s="75">
        <f t="array" ref="K43">MMULT(TRANSPOSE(K28:K39),MMULT('Covariance Matrix'!C5:N16,K28:K39)) *12</f>
        <v/>
      </c>
      <c r="M43" s="68" t="inlineStr">
        <is>
          <t>Portfolio Variance</t>
        </is>
      </c>
      <c r="N43" s="75">
        <f t="array" ref="N43">MMULT(TRANSPOSE(N28:N39),MMULT('Covariance Matrix'!C5:N16,N28:N39)) *12</f>
        <v/>
      </c>
    </row>
    <row r="44" ht="16" customHeight="1">
      <c r="J44" s="68" t="inlineStr">
        <is>
          <t>Portfolio SD</t>
        </is>
      </c>
      <c r="K44" s="75">
        <f>SQRT(K43)</f>
        <v/>
      </c>
      <c r="M44" s="68" t="inlineStr">
        <is>
          <t>Portfolio SD</t>
        </is>
      </c>
      <c r="N44" s="75">
        <f>SQRT(N43)</f>
        <v/>
      </c>
    </row>
    <row r="45" ht="16" customHeight="1">
      <c r="M45" s="68" t="inlineStr">
        <is>
          <t>Sharpe Ratio</t>
        </is>
      </c>
      <c r="N45" s="101">
        <f>(N42-N46)/N44</f>
        <v/>
      </c>
    </row>
    <row r="46" ht="24" customHeight="1">
      <c r="B46" s="172" t="inlineStr">
        <is>
          <t>B6</t>
        </is>
      </c>
      <c r="C46" s="174" t="n"/>
      <c r="D46" s="174" t="n"/>
      <c r="E46" s="174" t="n"/>
      <c r="F46" s="173" t="n"/>
      <c r="M46" s="100" t="inlineStr">
        <is>
          <t>Risk-free</t>
        </is>
      </c>
      <c r="N46" s="75">
        <f>C5</f>
        <v/>
      </c>
    </row>
    <row r="47" ht="16" customHeight="1">
      <c r="C47" s="73" t="inlineStr">
        <is>
          <t>Equally Weighted Portfolio</t>
        </is>
      </c>
      <c r="D47" s="73" t="inlineStr">
        <is>
          <t>Tangent Portfolio Weights</t>
        </is>
      </c>
    </row>
    <row r="48" ht="16" customHeight="1">
      <c r="B48" s="68" t="inlineStr">
        <is>
          <t>Portfolio Return</t>
        </is>
      </c>
      <c r="C48" s="75">
        <f>'Efficient Frontier'!C19</f>
        <v/>
      </c>
      <c r="D48" s="75">
        <f>K42</f>
        <v/>
      </c>
    </row>
    <row r="49" ht="16" customHeight="1">
      <c r="B49" s="68" t="inlineStr">
        <is>
          <t>Portfolio Variance</t>
        </is>
      </c>
      <c r="C49" s="77">
        <f>'Efficient Frontier'!C20</f>
        <v/>
      </c>
      <c r="D49" s="75">
        <f>K43</f>
        <v/>
      </c>
    </row>
    <row r="50" ht="16" customHeight="1">
      <c r="B50" s="68" t="inlineStr">
        <is>
          <t>Portfolio SD</t>
        </is>
      </c>
      <c r="C50" s="77">
        <f>SQRT(C49)</f>
        <v/>
      </c>
      <c r="D50" s="75">
        <f>K44</f>
        <v/>
      </c>
    </row>
    <row r="51" ht="16" customHeight="1">
      <c r="B51" s="68" t="inlineStr">
        <is>
          <t>Risk Free asset</t>
        </is>
      </c>
      <c r="C51" s="75">
        <f>C5</f>
        <v/>
      </c>
      <c r="D51" s="75">
        <f>D5</f>
        <v/>
      </c>
    </row>
    <row r="52" ht="16" customHeight="1">
      <c r="B52" s="68" t="inlineStr">
        <is>
          <t>Sharpe Ratio</t>
        </is>
      </c>
      <c r="C52" s="175">
        <f>(C48-C51)/C50</f>
        <v/>
      </c>
      <c r="D52" s="175">
        <f>(D48-D51)/D50</f>
        <v/>
      </c>
    </row>
    <row r="54" ht="24" customHeight="1">
      <c r="B54" s="172" t="inlineStr">
        <is>
          <t>B7</t>
        </is>
      </c>
      <c r="C54" s="174" t="n"/>
      <c r="D54" s="174" t="n"/>
      <c r="E54" s="174" t="n"/>
      <c r="F54" s="173" t="n"/>
    </row>
    <row r="55" ht="16" customHeight="1">
      <c r="B55" s="73" t="inlineStr">
        <is>
          <t>Ticker</t>
        </is>
      </c>
      <c r="C55" s="73" t="inlineStr">
        <is>
          <t>Weights</t>
        </is>
      </c>
      <c r="D55" s="73" t="inlineStr">
        <is>
          <t>Annualized Return</t>
        </is>
      </c>
      <c r="E55" s="73" t="inlineStr">
        <is>
          <t>Variance</t>
        </is>
      </c>
      <c r="F55" s="73" t="inlineStr">
        <is>
          <t>Standard Deviation</t>
        </is>
      </c>
    </row>
    <row r="56" ht="16" customHeight="1">
      <c r="B56" s="68" t="inlineStr">
        <is>
          <t>Tangency Portfolio</t>
        </is>
      </c>
      <c r="C56" s="75">
        <f>C50/D50</f>
        <v/>
      </c>
      <c r="D56" s="75">
        <f>K42</f>
        <v/>
      </c>
      <c r="E56" s="75">
        <f>D49</f>
        <v/>
      </c>
      <c r="F56" s="75">
        <f>D50</f>
        <v/>
      </c>
    </row>
    <row r="57" ht="16" customHeight="1">
      <c r="B57" s="68" t="inlineStr">
        <is>
          <t>Risk Free</t>
        </is>
      </c>
      <c r="C57" s="75">
        <f>1-C56</f>
        <v/>
      </c>
      <c r="D57" s="75">
        <f>C5</f>
        <v/>
      </c>
      <c r="E57" s="101" t="n">
        <v>0</v>
      </c>
      <c r="F57" s="101" t="n">
        <v>0</v>
      </c>
    </row>
    <row r="58" ht="16" customHeight="1">
      <c r="B58" s="68" t="inlineStr">
        <is>
          <t>Total Portfolio</t>
        </is>
      </c>
      <c r="C58" s="75">
        <f>SUM(C56:C57)</f>
        <v/>
      </c>
    </row>
    <row r="60" ht="16" customHeight="1">
      <c r="B60" s="68" t="inlineStr">
        <is>
          <t>Annualized return of the Portfolio</t>
        </is>
      </c>
      <c r="C60" s="75">
        <f>D56*C56+D57*C57</f>
        <v/>
      </c>
    </row>
    <row r="61" ht="16" customHeight="1">
      <c r="B61" s="68" t="inlineStr">
        <is>
          <t>Variance of the portfolio</t>
        </is>
      </c>
      <c r="C61" s="77">
        <f>C56^2 * E56</f>
        <v/>
      </c>
    </row>
    <row r="62" ht="16" customHeight="1">
      <c r="B62" s="68" t="inlineStr">
        <is>
          <t>SD of the Portfolio</t>
        </is>
      </c>
      <c r="C62" s="77">
        <f>SQRT(C61)</f>
        <v/>
      </c>
    </row>
  </sheetData>
  <mergeCells count="3">
    <mergeCell ref="B54:F54"/>
    <mergeCell ref="B2:Q2"/>
    <mergeCell ref="B46:F46"/>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tabColor theme="9" tint="-0.249977111117893"/>
    <outlinePr summaryBelow="1" summaryRight="1"/>
    <pageSetUpPr/>
  </sheetPr>
  <dimension ref="B2:AT188"/>
  <sheetViews>
    <sheetView showGridLines="0" tabSelected="1" zoomScale="58" zoomScaleNormal="100" workbookViewId="0">
      <selection activeCell="AG26" sqref="AG26"/>
    </sheetView>
  </sheetViews>
  <sheetFormatPr baseColWidth="10" defaultColWidth="10.83203125" defaultRowHeight="15"/>
  <cols>
    <col width="20.1640625" bestFit="1" customWidth="1" min="19" max="19"/>
    <col width="16.6640625" bestFit="1" customWidth="1" min="34" max="34"/>
    <col width="18.83203125" bestFit="1" customWidth="1" min="35" max="35"/>
    <col width="18" bestFit="1" customWidth="1" min="36" max="36"/>
    <col width="10.83203125" bestFit="1" customWidth="1" min="37" max="37"/>
    <col width="14.83203125" bestFit="1" customWidth="1" min="45" max="45"/>
  </cols>
  <sheetData>
    <row r="1" ht="16" customHeight="1" thickBot="1"/>
    <row r="2" ht="25" customHeight="1" thickBot="1">
      <c r="B2" s="111" t="inlineStr">
        <is>
          <t>Monthly Returns</t>
        </is>
      </c>
      <c r="C2" s="174" t="n"/>
      <c r="D2" s="174" t="n"/>
      <c r="E2" s="174" t="n"/>
      <c r="F2" s="174" t="n"/>
      <c r="G2" s="174" t="n"/>
      <c r="H2" s="174" t="n"/>
      <c r="I2" s="174" t="n"/>
      <c r="J2" s="174" t="n"/>
      <c r="K2" s="174" t="n"/>
      <c r="L2" s="174" t="n"/>
      <c r="M2" s="174" t="n"/>
      <c r="N2" s="174" t="n"/>
      <c r="O2" s="174" t="n"/>
      <c r="P2" s="173" t="n"/>
      <c r="R2" s="111" t="inlineStr">
        <is>
          <t>Excess Return</t>
        </is>
      </c>
      <c r="S2" s="174" t="n"/>
      <c r="T2" s="174" t="n"/>
      <c r="U2" s="174" t="n"/>
      <c r="V2" s="174" t="n"/>
      <c r="W2" s="174" t="n"/>
      <c r="X2" s="174" t="n"/>
      <c r="Y2" s="174" t="n"/>
      <c r="Z2" s="174" t="n"/>
      <c r="AA2" s="174" t="n"/>
      <c r="AB2" s="174" t="n"/>
      <c r="AC2" s="174" t="n"/>
      <c r="AD2" s="174" t="n"/>
      <c r="AE2" s="174" t="n"/>
      <c r="AF2" s="173" t="n"/>
      <c r="AI2" s="112" t="inlineStr">
        <is>
          <t>C1</t>
        </is>
      </c>
      <c r="AJ2" s="178" t="n"/>
      <c r="AK2" s="178" t="n"/>
      <c r="AL2" s="178" t="n"/>
      <c r="AM2" s="178" t="n"/>
      <c r="AN2" s="178" t="n"/>
      <c r="AO2" s="178" t="n"/>
      <c r="AP2" s="178" t="n"/>
      <c r="AQ2" s="178" t="n"/>
      <c r="AR2" s="178" t="n"/>
      <c r="AS2" s="178" t="n"/>
      <c r="AT2" s="179" t="n"/>
    </row>
    <row r="3">
      <c r="B3" s="74" t="n"/>
      <c r="C3" s="111" t="inlineStr">
        <is>
          <t>Stocks</t>
        </is>
      </c>
      <c r="D3" s="174" t="n"/>
      <c r="E3" s="174" t="n"/>
      <c r="F3" s="174" t="n"/>
      <c r="G3" s="174" t="n"/>
      <c r="H3" s="174" t="n"/>
      <c r="I3" s="174" t="n"/>
      <c r="J3" s="174" t="n"/>
      <c r="K3" s="174" t="n"/>
      <c r="L3" s="174" t="n"/>
      <c r="M3" s="174" t="n"/>
      <c r="N3" s="173" t="n"/>
      <c r="O3" s="74" t="n"/>
      <c r="P3" s="74" t="n"/>
      <c r="R3" s="107" t="n"/>
      <c r="S3" s="116" t="inlineStr">
        <is>
          <t>Stocks</t>
        </is>
      </c>
      <c r="T3" s="16" t="n"/>
      <c r="U3" s="16" t="n"/>
      <c r="V3" s="16" t="n"/>
      <c r="W3" s="16" t="n"/>
      <c r="X3" s="16" t="n"/>
      <c r="Y3" s="16" t="n"/>
      <c r="Z3" s="16" t="n"/>
      <c r="AA3" s="16" t="n"/>
      <c r="AB3" s="16" t="n"/>
      <c r="AC3" s="16" t="n"/>
      <c r="AD3" s="171" t="n"/>
      <c r="AE3" s="107" t="n"/>
      <c r="AI3" s="115" t="inlineStr">
        <is>
          <t>BETA</t>
        </is>
      </c>
      <c r="AJ3" s="16" t="n"/>
      <c r="AK3" s="16" t="n"/>
      <c r="AL3" s="16" t="n"/>
      <c r="AM3" s="16" t="n"/>
      <c r="AN3" s="16" t="n"/>
      <c r="AO3" s="16" t="n"/>
      <c r="AP3" s="16" t="n"/>
      <c r="AQ3" s="16" t="n"/>
      <c r="AR3" s="16" t="n"/>
      <c r="AS3" s="16" t="n"/>
      <c r="AT3" s="16" t="n"/>
    </row>
    <row r="4" ht="15" customHeight="1">
      <c r="B4" s="51" t="inlineStr">
        <is>
          <t>Stock Nb. →</t>
        </is>
      </c>
      <c r="C4" s="133" t="n">
        <v>1</v>
      </c>
      <c r="D4" s="133" t="n">
        <v>2</v>
      </c>
      <c r="E4" s="133" t="n">
        <v>3</v>
      </c>
      <c r="F4" s="133" t="n">
        <v>4</v>
      </c>
      <c r="G4" s="133" t="n">
        <v>5</v>
      </c>
      <c r="H4" s="133" t="n">
        <v>6</v>
      </c>
      <c r="I4" s="133" t="n">
        <v>7</v>
      </c>
      <c r="J4" s="133" t="n">
        <v>8</v>
      </c>
      <c r="K4" s="133" t="n">
        <v>9</v>
      </c>
      <c r="L4" s="133" t="n">
        <v>10</v>
      </c>
      <c r="M4" s="133" t="n">
        <v>11</v>
      </c>
      <c r="N4" s="133" t="n">
        <v>12</v>
      </c>
      <c r="O4" s="109" t="inlineStr">
        <is>
          <t>CAC 40</t>
        </is>
      </c>
      <c r="P4" s="110" t="inlineStr">
        <is>
          <t>France Interbank rate</t>
        </is>
      </c>
      <c r="R4" s="51" t="inlineStr">
        <is>
          <t>Stock Nb. →</t>
        </is>
      </c>
      <c r="S4" s="133" t="n">
        <v>1</v>
      </c>
      <c r="T4" s="133" t="n">
        <v>2</v>
      </c>
      <c r="U4" s="133" t="n">
        <v>3</v>
      </c>
      <c r="V4" s="133" t="n">
        <v>4</v>
      </c>
      <c r="W4" s="133" t="n">
        <v>5</v>
      </c>
      <c r="X4" s="133" t="n">
        <v>6</v>
      </c>
      <c r="Y4" s="133" t="n">
        <v>7</v>
      </c>
      <c r="Z4" s="133" t="n">
        <v>8</v>
      </c>
      <c r="AA4" s="133" t="n">
        <v>9</v>
      </c>
      <c r="AB4" s="133" t="n">
        <v>10</v>
      </c>
      <c r="AC4" s="133" t="n">
        <v>11</v>
      </c>
      <c r="AD4" s="133" t="n">
        <v>12</v>
      </c>
      <c r="AE4" s="109" t="inlineStr">
        <is>
          <t>CAC 40</t>
        </is>
      </c>
      <c r="AH4" s="51" t="inlineStr">
        <is>
          <t>Stock Nb. →</t>
        </is>
      </c>
      <c r="AI4" s="133" t="n">
        <v>1</v>
      </c>
      <c r="AJ4" s="133" t="n">
        <v>2</v>
      </c>
      <c r="AK4" s="133" t="n">
        <v>3</v>
      </c>
      <c r="AL4" s="133" t="n">
        <v>4</v>
      </c>
      <c r="AM4" s="133" t="n">
        <v>5</v>
      </c>
      <c r="AN4" s="133" t="n">
        <v>6</v>
      </c>
      <c r="AO4" s="133" t="n">
        <v>7</v>
      </c>
      <c r="AP4" s="133" t="n">
        <v>8</v>
      </c>
      <c r="AQ4" s="133" t="n">
        <v>9</v>
      </c>
      <c r="AR4" s="133" t="n">
        <v>10</v>
      </c>
      <c r="AS4" s="133" t="n">
        <v>11</v>
      </c>
      <c r="AT4" s="133" t="n">
        <v>12</v>
      </c>
    </row>
    <row r="5">
      <c r="B5" s="52" t="inlineStr">
        <is>
          <t>Company Name →</t>
        </is>
      </c>
      <c r="C5" s="57" t="inlineStr">
        <is>
          <t>AIRBUS</t>
        </is>
      </c>
      <c r="D5" s="56" t="inlineStr">
        <is>
          <t>BNP PARIBAS ACT.A</t>
        </is>
      </c>
      <c r="E5" s="56" t="inlineStr">
        <is>
          <t>CAPGEMINI</t>
        </is>
      </c>
      <c r="F5" s="56" t="inlineStr">
        <is>
          <t>DANONE</t>
        </is>
      </c>
      <c r="G5" s="56" t="inlineStr">
        <is>
          <t>ENGIE</t>
        </is>
      </c>
      <c r="H5" s="56" t="inlineStr">
        <is>
          <t>HERMES INTL</t>
        </is>
      </c>
      <c r="I5" s="56" t="inlineStr">
        <is>
          <t>PERNOD RICARD</t>
        </is>
      </c>
      <c r="J5" s="56" t="inlineStr">
        <is>
          <t>RENAULT</t>
        </is>
      </c>
      <c r="K5" s="56" t="inlineStr">
        <is>
          <t>SANOFI</t>
        </is>
      </c>
      <c r="L5" s="56" t="inlineStr">
        <is>
          <t>SCHNEIDER ELECTRIC</t>
        </is>
      </c>
      <c r="M5" s="56" t="inlineStr">
        <is>
          <t>TOTALENERGIES</t>
        </is>
      </c>
      <c r="N5" s="56" t="inlineStr">
        <is>
          <t>VINCI</t>
        </is>
      </c>
      <c r="O5" s="180" t="n"/>
      <c r="P5" s="180" t="n"/>
      <c r="R5" s="52" t="inlineStr">
        <is>
          <t>Company Name →</t>
        </is>
      </c>
      <c r="S5" s="57" t="inlineStr">
        <is>
          <t>AIRBUS</t>
        </is>
      </c>
      <c r="T5" s="56" t="inlineStr">
        <is>
          <t>BNP PARIBAS ACT.A</t>
        </is>
      </c>
      <c r="U5" s="56" t="inlineStr">
        <is>
          <t>CAPGEMINI</t>
        </is>
      </c>
      <c r="V5" s="56" t="inlineStr">
        <is>
          <t>DANONE</t>
        </is>
      </c>
      <c r="W5" s="56" t="inlineStr">
        <is>
          <t>ENGIE</t>
        </is>
      </c>
      <c r="X5" s="56" t="inlineStr">
        <is>
          <t>HERMES INTL</t>
        </is>
      </c>
      <c r="Y5" s="56" t="inlineStr">
        <is>
          <t>PERNOD RICARD</t>
        </is>
      </c>
      <c r="Z5" s="56" t="inlineStr">
        <is>
          <t>RENAULT</t>
        </is>
      </c>
      <c r="AA5" s="56" t="inlineStr">
        <is>
          <t>SANOFI</t>
        </is>
      </c>
      <c r="AB5" s="56" t="inlineStr">
        <is>
          <t>SCHNEIDER ELECTRIC</t>
        </is>
      </c>
      <c r="AC5" s="56" t="inlineStr">
        <is>
          <t>TOTALENERGIES</t>
        </is>
      </c>
      <c r="AD5" s="56" t="inlineStr">
        <is>
          <t>VINCI</t>
        </is>
      </c>
      <c r="AE5" s="180" t="n"/>
      <c r="AH5" s="52" t="inlineStr">
        <is>
          <t>Company Name →</t>
        </is>
      </c>
      <c r="AI5" s="57" t="inlineStr">
        <is>
          <t>AIRBUS</t>
        </is>
      </c>
      <c r="AJ5" s="56" t="inlineStr">
        <is>
          <t>BNP PARIBAS ACT.A</t>
        </is>
      </c>
      <c r="AK5" s="56" t="inlineStr">
        <is>
          <t>CAPGEMINI</t>
        </is>
      </c>
      <c r="AL5" s="56" t="inlineStr">
        <is>
          <t>DANONE</t>
        </is>
      </c>
      <c r="AM5" s="56" t="inlineStr">
        <is>
          <t>ENGIE</t>
        </is>
      </c>
      <c r="AN5" s="56" t="inlineStr">
        <is>
          <t>HERMES INTL</t>
        </is>
      </c>
      <c r="AO5" s="56" t="inlineStr">
        <is>
          <t>PERNOD RICARD</t>
        </is>
      </c>
      <c r="AP5" s="56" t="inlineStr">
        <is>
          <t>RENAULT</t>
        </is>
      </c>
      <c r="AQ5" s="56" t="inlineStr">
        <is>
          <t>SANOFI</t>
        </is>
      </c>
      <c r="AR5" s="56" t="inlineStr">
        <is>
          <t>SCHNEIDER ELECTRIC</t>
        </is>
      </c>
      <c r="AS5" s="56" t="inlineStr">
        <is>
          <t>TOTALENERGIES</t>
        </is>
      </c>
      <c r="AT5" s="56" t="inlineStr">
        <is>
          <t>VINCI</t>
        </is>
      </c>
    </row>
    <row r="6">
      <c r="B6" s="53" t="inlineStr">
        <is>
          <t>Yahoo Ticker →</t>
        </is>
      </c>
      <c r="C6" s="55" t="inlineStr">
        <is>
          <t>AIR.PA</t>
        </is>
      </c>
      <c r="D6" s="55" t="inlineStr">
        <is>
          <t>BNP.PA</t>
        </is>
      </c>
      <c r="E6" s="55" t="inlineStr">
        <is>
          <t>CAP.PA</t>
        </is>
      </c>
      <c r="F6" s="55" t="inlineStr">
        <is>
          <t>BN.PA</t>
        </is>
      </c>
      <c r="G6" s="55" t="inlineStr">
        <is>
          <t>ENGI.PA</t>
        </is>
      </c>
      <c r="H6" s="55" t="inlineStr">
        <is>
          <t>RMS.PA</t>
        </is>
      </c>
      <c r="I6" s="55" t="inlineStr">
        <is>
          <t>RI.PA</t>
        </is>
      </c>
      <c r="J6" s="55" t="inlineStr">
        <is>
          <t>RNO.PA</t>
        </is>
      </c>
      <c r="K6" s="55" t="inlineStr">
        <is>
          <t>SAN.PA</t>
        </is>
      </c>
      <c r="L6" s="55" t="inlineStr">
        <is>
          <t>SU.PA</t>
        </is>
      </c>
      <c r="M6" s="55" t="inlineStr">
        <is>
          <t>TTE.PA</t>
        </is>
      </c>
      <c r="N6" s="55" t="inlineStr">
        <is>
          <t>DG.PA</t>
        </is>
      </c>
      <c r="O6" s="107" t="n"/>
      <c r="P6" s="107" t="n"/>
      <c r="R6" s="53" t="inlineStr">
        <is>
          <t>Yahoo Ticker →</t>
        </is>
      </c>
      <c r="S6" s="55" t="inlineStr">
        <is>
          <t>AIR.PA</t>
        </is>
      </c>
      <c r="T6" s="55" t="inlineStr">
        <is>
          <t>BNP.PA</t>
        </is>
      </c>
      <c r="U6" s="55" t="inlineStr">
        <is>
          <t>CAP.PA</t>
        </is>
      </c>
      <c r="V6" s="55" t="inlineStr">
        <is>
          <t>BN.PA</t>
        </is>
      </c>
      <c r="W6" s="55" t="inlineStr">
        <is>
          <t>ENGI.PA</t>
        </is>
      </c>
      <c r="X6" s="55" t="inlineStr">
        <is>
          <t>RMS.PA</t>
        </is>
      </c>
      <c r="Y6" s="55" t="inlineStr">
        <is>
          <t>RI.PA</t>
        </is>
      </c>
      <c r="Z6" s="55" t="inlineStr">
        <is>
          <t>RNO.PA</t>
        </is>
      </c>
      <c r="AA6" s="55" t="inlineStr">
        <is>
          <t>SAN.PA</t>
        </is>
      </c>
      <c r="AB6" s="55" t="inlineStr">
        <is>
          <t>SU.PA</t>
        </is>
      </c>
      <c r="AC6" s="55" t="inlineStr">
        <is>
          <t>TTE.PA</t>
        </is>
      </c>
      <c r="AD6" s="55" t="inlineStr">
        <is>
          <t>DG.PA</t>
        </is>
      </c>
      <c r="AE6" s="107" t="n"/>
      <c r="AH6" s="53" t="inlineStr">
        <is>
          <t>Yahoo Ticker →</t>
        </is>
      </c>
      <c r="AI6" s="55" t="inlineStr">
        <is>
          <t>AIR.PA</t>
        </is>
      </c>
      <c r="AJ6" s="55" t="inlineStr">
        <is>
          <t>BNP.PA</t>
        </is>
      </c>
      <c r="AK6" s="55" t="inlineStr">
        <is>
          <t>CAP.PA</t>
        </is>
      </c>
      <c r="AL6" s="55" t="inlineStr">
        <is>
          <t>BN.PA</t>
        </is>
      </c>
      <c r="AM6" s="55" t="inlineStr">
        <is>
          <t>ENGI.PA</t>
        </is>
      </c>
      <c r="AN6" s="55" t="inlineStr">
        <is>
          <t>RMS.PA</t>
        </is>
      </c>
      <c r="AO6" s="55" t="inlineStr">
        <is>
          <t>RI.PA</t>
        </is>
      </c>
      <c r="AP6" s="55" t="inlineStr">
        <is>
          <t>RNO.PA</t>
        </is>
      </c>
      <c r="AQ6" s="55" t="inlineStr">
        <is>
          <t>SAN.PA</t>
        </is>
      </c>
      <c r="AR6" s="55" t="inlineStr">
        <is>
          <t>SU.PA</t>
        </is>
      </c>
      <c r="AS6" s="55" t="inlineStr">
        <is>
          <t>TTE.PA</t>
        </is>
      </c>
      <c r="AT6" s="55" t="inlineStr">
        <is>
          <t>DG.PA</t>
        </is>
      </c>
    </row>
    <row r="7" ht="16" customHeight="1">
      <c r="B7" s="181" t="n">
        <v>40451</v>
      </c>
      <c r="C7" s="75">
        <f>AIRBUS!D4</f>
        <v/>
      </c>
      <c r="D7" s="75">
        <f>BNP!D4</f>
        <v/>
      </c>
      <c r="E7" s="75">
        <f>CAPGEMINI!D4</f>
        <v/>
      </c>
      <c r="F7" s="75">
        <f>DANONE!D4</f>
        <v/>
      </c>
      <c r="G7" s="75">
        <f>ENGIE!D4</f>
        <v/>
      </c>
      <c r="H7" s="75">
        <f>'HERMES INTL'!D4</f>
        <v/>
      </c>
      <c r="I7" s="75">
        <f>'PERNOD RICARD'!D4</f>
        <v/>
      </c>
      <c r="J7" s="75">
        <f>RENAULT!D4</f>
        <v/>
      </c>
      <c r="K7" s="75">
        <f>SANOFI!D4</f>
        <v/>
      </c>
      <c r="L7" s="75">
        <f>'SCHNEIDER ELECTRIC'!D4</f>
        <v/>
      </c>
      <c r="M7" s="75">
        <f>'TOTAL ENERGIES'!D4</f>
        <v/>
      </c>
      <c r="N7" s="75">
        <f>VINCI!D4</f>
        <v/>
      </c>
      <c r="O7" s="105">
        <f>MARKET!D4</f>
        <v/>
      </c>
      <c r="P7" s="106">
        <f>INTERBANK!D3</f>
        <v/>
      </c>
      <c r="R7" s="181" t="n">
        <v>40451</v>
      </c>
      <c r="S7" s="75">
        <f>C7-$P7</f>
        <v/>
      </c>
      <c r="T7" s="75">
        <f>D7-$P7</f>
        <v/>
      </c>
      <c r="U7" s="75">
        <f>E7-$P7</f>
        <v/>
      </c>
      <c r="V7" s="75">
        <f>F7-$P7</f>
        <v/>
      </c>
      <c r="W7" s="75">
        <f>G7-$P7</f>
        <v/>
      </c>
      <c r="X7" s="75">
        <f>H7-$P7</f>
        <v/>
      </c>
      <c r="Y7" s="75">
        <f>I7-$P7</f>
        <v/>
      </c>
      <c r="Z7" s="75">
        <f>J7-$P7</f>
        <v/>
      </c>
      <c r="AA7" s="75">
        <f>K7-$P7</f>
        <v/>
      </c>
      <c r="AB7" s="75">
        <f>L7-$P7</f>
        <v/>
      </c>
      <c r="AC7" s="75">
        <f>M7-$P7</f>
        <v/>
      </c>
      <c r="AD7" s="75">
        <f>N7-$P7</f>
        <v/>
      </c>
      <c r="AE7" s="105">
        <f>O7-$P7</f>
        <v/>
      </c>
      <c r="AH7" s="94" t="inlineStr">
        <is>
          <t xml:space="preserve"> β</t>
        </is>
      </c>
      <c r="AI7" s="175">
        <f>SLOPE(S7:S188,$AE$7:$AE$188)</f>
        <v/>
      </c>
      <c r="AJ7" s="175">
        <f>SLOPE(T7:T188,$AE$7:$AE$188)</f>
        <v/>
      </c>
      <c r="AK7" s="175">
        <f>SLOPE(U7:U188,$AE$7:$AE$188)</f>
        <v/>
      </c>
      <c r="AL7" s="175">
        <f>SLOPE(V7:V188,$AE$7:$AE$188)</f>
        <v/>
      </c>
      <c r="AM7" s="175">
        <f>SLOPE(W7:W188,$AE$7:$AE$188)</f>
        <v/>
      </c>
      <c r="AN7" s="175">
        <f>SLOPE(X7:X188,$AE$7:$AE$188)</f>
        <v/>
      </c>
      <c r="AO7" s="175">
        <f>SLOPE(Y7:Y188,$AE$7:$AE$188)</f>
        <v/>
      </c>
      <c r="AP7" s="175">
        <f>SLOPE(Z7:Z188,$AE$7:$AE$188)</f>
        <v/>
      </c>
      <c r="AQ7" s="175">
        <f>SLOPE(AA7:AA188,$AE$7:$AE$188)</f>
        <v/>
      </c>
      <c r="AR7" s="175">
        <f>SLOPE(AB7:AB188,$AE$7:$AE$188)</f>
        <v/>
      </c>
      <c r="AS7" s="175">
        <f>SLOPE(AC7:AC188,$AE$7:$AE$188)</f>
        <v/>
      </c>
      <c r="AT7" s="175">
        <f>SLOPE(AD7:AD188,$AE$7:$AE$188)</f>
        <v/>
      </c>
    </row>
    <row r="8" ht="16" customHeight="1">
      <c r="B8" s="181" t="n">
        <v>40482</v>
      </c>
      <c r="C8" s="75">
        <f>AIRBUS!D5</f>
        <v/>
      </c>
      <c r="D8" s="75">
        <f>BNP!D5</f>
        <v/>
      </c>
      <c r="E8" s="75">
        <f>CAPGEMINI!D5</f>
        <v/>
      </c>
      <c r="F8" s="75">
        <f>DANONE!D5</f>
        <v/>
      </c>
      <c r="G8" s="75">
        <f>ENGIE!D5</f>
        <v/>
      </c>
      <c r="H8" s="75">
        <f>'HERMES INTL'!D5</f>
        <v/>
      </c>
      <c r="I8" s="75">
        <f>'PERNOD RICARD'!D5</f>
        <v/>
      </c>
      <c r="J8" s="75">
        <f>RENAULT!D5</f>
        <v/>
      </c>
      <c r="K8" s="75">
        <f>SANOFI!D5</f>
        <v/>
      </c>
      <c r="L8" s="75">
        <f>'SCHNEIDER ELECTRIC'!D5</f>
        <v/>
      </c>
      <c r="M8" s="75">
        <f>'TOTAL ENERGIES'!D5</f>
        <v/>
      </c>
      <c r="N8" s="75">
        <f>VINCI!D5</f>
        <v/>
      </c>
      <c r="O8" s="75">
        <f>MARKET!D5</f>
        <v/>
      </c>
      <c r="P8" s="103">
        <f>INTERBANK!D4</f>
        <v/>
      </c>
      <c r="R8" s="181" t="n">
        <v>40482</v>
      </c>
      <c r="S8" s="75">
        <f>C8-$P8</f>
        <v/>
      </c>
      <c r="T8" s="75">
        <f>D8-$P8</f>
        <v/>
      </c>
      <c r="U8" s="75">
        <f>E8-$P8</f>
        <v/>
      </c>
      <c r="V8" s="75">
        <f>F8-$P8</f>
        <v/>
      </c>
      <c r="W8" s="75">
        <f>G8-$P8</f>
        <v/>
      </c>
      <c r="X8" s="75">
        <f>H8-$P8</f>
        <v/>
      </c>
      <c r="Y8" s="75">
        <f>I8-$P8</f>
        <v/>
      </c>
      <c r="Z8" s="75">
        <f>J8-$P8</f>
        <v/>
      </c>
      <c r="AA8" s="75">
        <f>K8-$P8</f>
        <v/>
      </c>
      <c r="AB8" s="75">
        <f>L8-$P8</f>
        <v/>
      </c>
      <c r="AC8" s="75">
        <f>M8-$P8</f>
        <v/>
      </c>
      <c r="AD8" s="75">
        <f>N8-$P8</f>
        <v/>
      </c>
      <c r="AE8" s="75">
        <f>O8-$P8</f>
        <v/>
      </c>
      <c r="AH8" s="29" t="n"/>
    </row>
    <row r="9" ht="17" customHeight="1" thickBot="1">
      <c r="B9" s="181" t="n">
        <v>40512</v>
      </c>
      <c r="C9" s="75">
        <f>AIRBUS!D6</f>
        <v/>
      </c>
      <c r="D9" s="75">
        <f>BNP!D6</f>
        <v/>
      </c>
      <c r="E9" s="75">
        <f>CAPGEMINI!D6</f>
        <v/>
      </c>
      <c r="F9" s="75">
        <f>DANONE!D6</f>
        <v/>
      </c>
      <c r="G9" s="75">
        <f>ENGIE!D6</f>
        <v/>
      </c>
      <c r="H9" s="75">
        <f>'HERMES INTL'!D6</f>
        <v/>
      </c>
      <c r="I9" s="75">
        <f>'PERNOD RICARD'!D6</f>
        <v/>
      </c>
      <c r="J9" s="75">
        <f>RENAULT!D6</f>
        <v/>
      </c>
      <c r="K9" s="75">
        <f>SANOFI!D6</f>
        <v/>
      </c>
      <c r="L9" s="75">
        <f>'SCHNEIDER ELECTRIC'!D6</f>
        <v/>
      </c>
      <c r="M9" s="75">
        <f>'TOTAL ENERGIES'!D6</f>
        <v/>
      </c>
      <c r="N9" s="75">
        <f>VINCI!D6</f>
        <v/>
      </c>
      <c r="O9" s="75">
        <f>MARKET!D6</f>
        <v/>
      </c>
      <c r="P9" s="103">
        <f>INTERBANK!D5</f>
        <v/>
      </c>
      <c r="R9" s="181" t="n">
        <v>40512</v>
      </c>
      <c r="S9" s="75">
        <f>C9-$P9</f>
        <v/>
      </c>
      <c r="T9" s="75">
        <f>D9-$P9</f>
        <v/>
      </c>
      <c r="U9" s="75">
        <f>E9-$P9</f>
        <v/>
      </c>
      <c r="V9" s="75">
        <f>F9-$P9</f>
        <v/>
      </c>
      <c r="W9" s="75">
        <f>G9-$P9</f>
        <v/>
      </c>
      <c r="X9" s="75">
        <f>H9-$P9</f>
        <v/>
      </c>
      <c r="Y9" s="75">
        <f>I9-$P9</f>
        <v/>
      </c>
      <c r="Z9" s="75">
        <f>J9-$P9</f>
        <v/>
      </c>
      <c r="AA9" s="75">
        <f>K9-$P9</f>
        <v/>
      </c>
      <c r="AB9" s="75">
        <f>L9-$P9</f>
        <v/>
      </c>
      <c r="AC9" s="75">
        <f>M9-$P9</f>
        <v/>
      </c>
      <c r="AD9" s="75">
        <f>N9-$P9</f>
        <v/>
      </c>
      <c r="AE9" s="75">
        <f>O9-$P9</f>
        <v/>
      </c>
    </row>
    <row r="10" ht="25" customHeight="1" thickBot="1">
      <c r="B10" s="181" t="n">
        <v>40543</v>
      </c>
      <c r="C10" s="75">
        <f>AIRBUS!D7</f>
        <v/>
      </c>
      <c r="D10" s="75">
        <f>BNP!D7</f>
        <v/>
      </c>
      <c r="E10" s="75">
        <f>CAPGEMINI!D7</f>
        <v/>
      </c>
      <c r="F10" s="75">
        <f>DANONE!D7</f>
        <v/>
      </c>
      <c r="G10" s="75">
        <f>ENGIE!D7</f>
        <v/>
      </c>
      <c r="H10" s="75">
        <f>'HERMES INTL'!D7</f>
        <v/>
      </c>
      <c r="I10" s="75">
        <f>'PERNOD RICARD'!D7</f>
        <v/>
      </c>
      <c r="J10" s="75">
        <f>RENAULT!D7</f>
        <v/>
      </c>
      <c r="K10" s="75">
        <f>SANOFI!D7</f>
        <v/>
      </c>
      <c r="L10" s="75">
        <f>'SCHNEIDER ELECTRIC'!D7</f>
        <v/>
      </c>
      <c r="M10" s="75">
        <f>'TOTAL ENERGIES'!D7</f>
        <v/>
      </c>
      <c r="N10" s="75">
        <f>VINCI!D7</f>
        <v/>
      </c>
      <c r="O10" s="75">
        <f>MARKET!D7</f>
        <v/>
      </c>
      <c r="P10" s="103">
        <f>INTERBANK!D6</f>
        <v/>
      </c>
      <c r="R10" s="181" t="n">
        <v>40543</v>
      </c>
      <c r="S10" s="75">
        <f>C10-$P10</f>
        <v/>
      </c>
      <c r="T10" s="75">
        <f>D10-$P10</f>
        <v/>
      </c>
      <c r="U10" s="75">
        <f>E10-$P10</f>
        <v/>
      </c>
      <c r="V10" s="75">
        <f>F10-$P10</f>
        <v/>
      </c>
      <c r="W10" s="75">
        <f>G10-$P10</f>
        <v/>
      </c>
      <c r="X10" s="75">
        <f>H10-$P10</f>
        <v/>
      </c>
      <c r="Y10" s="75">
        <f>I10-$P10</f>
        <v/>
      </c>
      <c r="Z10" s="75">
        <f>J10-$P10</f>
        <v/>
      </c>
      <c r="AA10" s="75">
        <f>K10-$P10</f>
        <v/>
      </c>
      <c r="AB10" s="75">
        <f>L10-$P10</f>
        <v/>
      </c>
      <c r="AC10" s="75">
        <f>M10-$P10</f>
        <v/>
      </c>
      <c r="AD10" s="75">
        <f>N10-$P10</f>
        <v/>
      </c>
      <c r="AE10" s="75">
        <f>O10-$P10</f>
        <v/>
      </c>
      <c r="AI10" s="112" t="inlineStr">
        <is>
          <t>C2</t>
        </is>
      </c>
      <c r="AJ10" s="178" t="n"/>
      <c r="AK10" s="178" t="n"/>
      <c r="AL10" s="178" t="n"/>
      <c r="AM10" s="178" t="n"/>
      <c r="AN10" s="178" t="n"/>
      <c r="AO10" s="178" t="n"/>
      <c r="AP10" s="178" t="n"/>
      <c r="AQ10" s="178" t="n"/>
      <c r="AR10" s="178" t="n"/>
      <c r="AS10" s="178" t="n"/>
      <c r="AT10" s="179" t="n"/>
    </row>
    <row r="11" ht="16" customHeight="1">
      <c r="B11" s="181" t="n">
        <v>40574</v>
      </c>
      <c r="C11" s="75">
        <f>AIRBUS!D8</f>
        <v/>
      </c>
      <c r="D11" s="75">
        <f>BNP!D8</f>
        <v/>
      </c>
      <c r="E11" s="75">
        <f>CAPGEMINI!D8</f>
        <v/>
      </c>
      <c r="F11" s="75">
        <f>DANONE!D8</f>
        <v/>
      </c>
      <c r="G11" s="75">
        <f>ENGIE!D8</f>
        <v/>
      </c>
      <c r="H11" s="75">
        <f>'HERMES INTL'!D8</f>
        <v/>
      </c>
      <c r="I11" s="75">
        <f>'PERNOD RICARD'!D8</f>
        <v/>
      </c>
      <c r="J11" s="75">
        <f>RENAULT!D8</f>
        <v/>
      </c>
      <c r="K11" s="75">
        <f>SANOFI!D8</f>
        <v/>
      </c>
      <c r="L11" s="75">
        <f>'SCHNEIDER ELECTRIC'!D8</f>
        <v/>
      </c>
      <c r="M11" s="75">
        <f>'TOTAL ENERGIES'!D8</f>
        <v/>
      </c>
      <c r="N11" s="75">
        <f>VINCI!D8</f>
        <v/>
      </c>
      <c r="O11" s="75">
        <f>MARKET!D8</f>
        <v/>
      </c>
      <c r="P11" s="103">
        <f>INTERBANK!D7</f>
        <v/>
      </c>
      <c r="R11" s="181" t="n">
        <v>40574</v>
      </c>
      <c r="S11" s="75">
        <f>C11-$P11</f>
        <v/>
      </c>
      <c r="T11" s="75">
        <f>D11-$P11</f>
        <v/>
      </c>
      <c r="U11" s="75">
        <f>E11-$P11</f>
        <v/>
      </c>
      <c r="V11" s="75">
        <f>F11-$P11</f>
        <v/>
      </c>
      <c r="W11" s="75">
        <f>G11-$P11</f>
        <v/>
      </c>
      <c r="X11" s="75">
        <f>H11-$P11</f>
        <v/>
      </c>
      <c r="Y11" s="75">
        <f>I11-$P11</f>
        <v/>
      </c>
      <c r="Z11" s="75">
        <f>J11-$P11</f>
        <v/>
      </c>
      <c r="AA11" s="75">
        <f>K11-$P11</f>
        <v/>
      </c>
      <c r="AB11" s="75">
        <f>L11-$P11</f>
        <v/>
      </c>
      <c r="AC11" s="75">
        <f>M11-$P11</f>
        <v/>
      </c>
      <c r="AD11" s="75">
        <f>N11-$P11</f>
        <v/>
      </c>
      <c r="AE11" s="75">
        <f>O11-$P11</f>
        <v/>
      </c>
      <c r="AI11" s="115" t="inlineStr">
        <is>
          <t>ALPHA</t>
        </is>
      </c>
      <c r="AJ11" s="16" t="n"/>
      <c r="AK11" s="16" t="n"/>
      <c r="AL11" s="16" t="n"/>
      <c r="AM11" s="16" t="n"/>
      <c r="AN11" s="16" t="n"/>
      <c r="AO11" s="16" t="n"/>
      <c r="AP11" s="16" t="n"/>
      <c r="AQ11" s="16" t="n"/>
      <c r="AR11" s="16" t="n"/>
      <c r="AS11" s="16" t="n"/>
      <c r="AT11" s="16" t="n"/>
    </row>
    <row r="12" ht="16" customHeight="1">
      <c r="B12" s="181" t="n">
        <v>40602</v>
      </c>
      <c r="C12" s="75">
        <f>AIRBUS!D9</f>
        <v/>
      </c>
      <c r="D12" s="75">
        <f>BNP!D9</f>
        <v/>
      </c>
      <c r="E12" s="75">
        <f>CAPGEMINI!D9</f>
        <v/>
      </c>
      <c r="F12" s="75">
        <f>DANONE!D9</f>
        <v/>
      </c>
      <c r="G12" s="75">
        <f>ENGIE!D9</f>
        <v/>
      </c>
      <c r="H12" s="75">
        <f>'HERMES INTL'!D9</f>
        <v/>
      </c>
      <c r="I12" s="75">
        <f>'PERNOD RICARD'!D9</f>
        <v/>
      </c>
      <c r="J12" s="75">
        <f>RENAULT!D9</f>
        <v/>
      </c>
      <c r="K12" s="75">
        <f>SANOFI!D9</f>
        <v/>
      </c>
      <c r="L12" s="75">
        <f>'SCHNEIDER ELECTRIC'!D9</f>
        <v/>
      </c>
      <c r="M12" s="75">
        <f>'TOTAL ENERGIES'!D9</f>
        <v/>
      </c>
      <c r="N12" s="75">
        <f>VINCI!D9</f>
        <v/>
      </c>
      <c r="O12" s="75">
        <f>MARKET!D9</f>
        <v/>
      </c>
      <c r="P12" s="103">
        <f>INTERBANK!D8</f>
        <v/>
      </c>
      <c r="R12" s="181" t="n">
        <v>40602</v>
      </c>
      <c r="S12" s="75">
        <f>C12-$P12</f>
        <v/>
      </c>
      <c r="T12" s="75">
        <f>D12-$P12</f>
        <v/>
      </c>
      <c r="U12" s="75">
        <f>E12-$P12</f>
        <v/>
      </c>
      <c r="V12" s="75">
        <f>F12-$P12</f>
        <v/>
      </c>
      <c r="W12" s="75">
        <f>G12-$P12</f>
        <v/>
      </c>
      <c r="X12" s="75">
        <f>H12-$P12</f>
        <v/>
      </c>
      <c r="Y12" s="75">
        <f>I12-$P12</f>
        <v/>
      </c>
      <c r="Z12" s="75">
        <f>J12-$P12</f>
        <v/>
      </c>
      <c r="AA12" s="75">
        <f>K12-$P12</f>
        <v/>
      </c>
      <c r="AB12" s="75">
        <f>L12-$P12</f>
        <v/>
      </c>
      <c r="AC12" s="75">
        <f>M12-$P12</f>
        <v/>
      </c>
      <c r="AD12" s="75">
        <f>N12-$P12</f>
        <v/>
      </c>
      <c r="AE12" s="75">
        <f>O12-$P12</f>
        <v/>
      </c>
      <c r="AH12" s="51" t="inlineStr">
        <is>
          <t>Stock Nb. →</t>
        </is>
      </c>
      <c r="AI12" s="133" t="n">
        <v>1</v>
      </c>
      <c r="AJ12" s="133" t="n">
        <v>2</v>
      </c>
      <c r="AK12" s="133" t="n">
        <v>3</v>
      </c>
      <c r="AL12" s="133" t="n">
        <v>4</v>
      </c>
      <c r="AM12" s="133" t="n">
        <v>5</v>
      </c>
      <c r="AN12" s="133" t="n">
        <v>6</v>
      </c>
      <c r="AO12" s="133" t="n">
        <v>7</v>
      </c>
      <c r="AP12" s="133" t="n">
        <v>8</v>
      </c>
      <c r="AQ12" s="133" t="n">
        <v>9</v>
      </c>
      <c r="AR12" s="133" t="n">
        <v>10</v>
      </c>
      <c r="AS12" s="133" t="n">
        <v>11</v>
      </c>
      <c r="AT12" s="133" t="n">
        <v>12</v>
      </c>
    </row>
    <row r="13" ht="16" customHeight="1">
      <c r="B13" s="181" t="n">
        <v>40633</v>
      </c>
      <c r="C13" s="75">
        <f>AIRBUS!D10</f>
        <v/>
      </c>
      <c r="D13" s="75">
        <f>BNP!D10</f>
        <v/>
      </c>
      <c r="E13" s="75">
        <f>CAPGEMINI!D10</f>
        <v/>
      </c>
      <c r="F13" s="75">
        <f>DANONE!D10</f>
        <v/>
      </c>
      <c r="G13" s="75">
        <f>ENGIE!D10</f>
        <v/>
      </c>
      <c r="H13" s="75">
        <f>'HERMES INTL'!D10</f>
        <v/>
      </c>
      <c r="I13" s="75">
        <f>'PERNOD RICARD'!D10</f>
        <v/>
      </c>
      <c r="J13" s="75">
        <f>RENAULT!D10</f>
        <v/>
      </c>
      <c r="K13" s="75">
        <f>SANOFI!D10</f>
        <v/>
      </c>
      <c r="L13" s="75">
        <f>'SCHNEIDER ELECTRIC'!D10</f>
        <v/>
      </c>
      <c r="M13" s="75">
        <f>'TOTAL ENERGIES'!D10</f>
        <v/>
      </c>
      <c r="N13" s="75">
        <f>VINCI!D10</f>
        <v/>
      </c>
      <c r="O13" s="75">
        <f>MARKET!D10</f>
        <v/>
      </c>
      <c r="P13" s="103">
        <f>INTERBANK!D9</f>
        <v/>
      </c>
      <c r="R13" s="181" t="n">
        <v>40633</v>
      </c>
      <c r="S13" s="75">
        <f>C13-$P13</f>
        <v/>
      </c>
      <c r="T13" s="75">
        <f>D13-$P13</f>
        <v/>
      </c>
      <c r="U13" s="75">
        <f>E13-$P13</f>
        <v/>
      </c>
      <c r="V13" s="75">
        <f>F13-$P13</f>
        <v/>
      </c>
      <c r="W13" s="75">
        <f>G13-$P13</f>
        <v/>
      </c>
      <c r="X13" s="75">
        <f>H13-$P13</f>
        <v/>
      </c>
      <c r="Y13" s="75">
        <f>I13-$P13</f>
        <v/>
      </c>
      <c r="Z13" s="75">
        <f>J13-$P13</f>
        <v/>
      </c>
      <c r="AA13" s="75">
        <f>K13-$P13</f>
        <v/>
      </c>
      <c r="AB13" s="75">
        <f>L13-$P13</f>
        <v/>
      </c>
      <c r="AC13" s="75">
        <f>M13-$P13</f>
        <v/>
      </c>
      <c r="AD13" s="75">
        <f>N13-$P13</f>
        <v/>
      </c>
      <c r="AE13" s="75">
        <f>O13-$P13</f>
        <v/>
      </c>
      <c r="AH13" s="52" t="inlineStr">
        <is>
          <t>Company Name →</t>
        </is>
      </c>
      <c r="AI13" s="57" t="inlineStr">
        <is>
          <t>AIRBUS</t>
        </is>
      </c>
      <c r="AJ13" s="56" t="inlineStr">
        <is>
          <t>BNP PARIBAS ACT.A</t>
        </is>
      </c>
      <c r="AK13" s="56" t="inlineStr">
        <is>
          <t>CAPGEMINI</t>
        </is>
      </c>
      <c r="AL13" s="56" t="inlineStr">
        <is>
          <t>DANONE</t>
        </is>
      </c>
      <c r="AM13" s="56" t="inlineStr">
        <is>
          <t>ENGIE</t>
        </is>
      </c>
      <c r="AN13" s="56" t="inlineStr">
        <is>
          <t>HERMES INTL</t>
        </is>
      </c>
      <c r="AO13" s="56" t="inlineStr">
        <is>
          <t>PERNOD RICARD</t>
        </is>
      </c>
      <c r="AP13" s="56" t="inlineStr">
        <is>
          <t>RENAULT</t>
        </is>
      </c>
      <c r="AQ13" s="56" t="inlineStr">
        <is>
          <t>SANOFI</t>
        </is>
      </c>
      <c r="AR13" s="56" t="inlineStr">
        <is>
          <t>SCHNEIDER ELECTRIC</t>
        </is>
      </c>
      <c r="AS13" s="56" t="inlineStr">
        <is>
          <t>TOTALENERGIES</t>
        </is>
      </c>
      <c r="AT13" s="56" t="inlineStr">
        <is>
          <t>VINCI</t>
        </is>
      </c>
    </row>
    <row r="14" ht="16" customHeight="1">
      <c r="B14" s="181" t="n">
        <v>40663</v>
      </c>
      <c r="C14" s="75">
        <f>AIRBUS!D11</f>
        <v/>
      </c>
      <c r="D14" s="75">
        <f>BNP!D11</f>
        <v/>
      </c>
      <c r="E14" s="75">
        <f>CAPGEMINI!D11</f>
        <v/>
      </c>
      <c r="F14" s="75">
        <f>DANONE!D11</f>
        <v/>
      </c>
      <c r="G14" s="75">
        <f>ENGIE!D11</f>
        <v/>
      </c>
      <c r="H14" s="75">
        <f>'HERMES INTL'!D11</f>
        <v/>
      </c>
      <c r="I14" s="75">
        <f>'PERNOD RICARD'!D11</f>
        <v/>
      </c>
      <c r="J14" s="75">
        <f>RENAULT!D11</f>
        <v/>
      </c>
      <c r="K14" s="75">
        <f>SANOFI!D11</f>
        <v/>
      </c>
      <c r="L14" s="75">
        <f>'SCHNEIDER ELECTRIC'!D11</f>
        <v/>
      </c>
      <c r="M14" s="75">
        <f>'TOTAL ENERGIES'!D11</f>
        <v/>
      </c>
      <c r="N14" s="75">
        <f>VINCI!D11</f>
        <v/>
      </c>
      <c r="O14" s="75">
        <f>MARKET!D11</f>
        <v/>
      </c>
      <c r="P14" s="103">
        <f>INTERBANK!D10</f>
        <v/>
      </c>
      <c r="R14" s="181" t="n">
        <v>40663</v>
      </c>
      <c r="S14" s="75">
        <f>C14-$P14</f>
        <v/>
      </c>
      <c r="T14" s="75">
        <f>D14-$P14</f>
        <v/>
      </c>
      <c r="U14" s="75">
        <f>E14-$P14</f>
        <v/>
      </c>
      <c r="V14" s="75">
        <f>F14-$P14</f>
        <v/>
      </c>
      <c r="W14" s="75">
        <f>G14-$P14</f>
        <v/>
      </c>
      <c r="X14" s="75">
        <f>H14-$P14</f>
        <v/>
      </c>
      <c r="Y14" s="75">
        <f>I14-$P14</f>
        <v/>
      </c>
      <c r="Z14" s="75">
        <f>J14-$P14</f>
        <v/>
      </c>
      <c r="AA14" s="75">
        <f>K14-$P14</f>
        <v/>
      </c>
      <c r="AB14" s="75">
        <f>L14-$P14</f>
        <v/>
      </c>
      <c r="AC14" s="75">
        <f>M14-$P14</f>
        <v/>
      </c>
      <c r="AD14" s="75">
        <f>N14-$P14</f>
        <v/>
      </c>
      <c r="AE14" s="75">
        <f>O14-$P14</f>
        <v/>
      </c>
      <c r="AH14" s="53" t="inlineStr">
        <is>
          <t>Yahoo Ticker →</t>
        </is>
      </c>
      <c r="AI14" s="55" t="inlineStr">
        <is>
          <t>AIR.PA</t>
        </is>
      </c>
      <c r="AJ14" s="55" t="inlineStr">
        <is>
          <t>BNP.PA</t>
        </is>
      </c>
      <c r="AK14" s="55" t="inlineStr">
        <is>
          <t>CAP.PA</t>
        </is>
      </c>
      <c r="AL14" s="55" t="inlineStr">
        <is>
          <t>BN.PA</t>
        </is>
      </c>
      <c r="AM14" s="55" t="inlineStr">
        <is>
          <t>ENGI.PA</t>
        </is>
      </c>
      <c r="AN14" s="55" t="inlineStr">
        <is>
          <t>RMS.PA</t>
        </is>
      </c>
      <c r="AO14" s="55" t="inlineStr">
        <is>
          <t>RI.PA</t>
        </is>
      </c>
      <c r="AP14" s="55" t="inlineStr">
        <is>
          <t>RNO.PA</t>
        </is>
      </c>
      <c r="AQ14" s="55" t="inlineStr">
        <is>
          <t>SAN.PA</t>
        </is>
      </c>
      <c r="AR14" s="55" t="inlineStr">
        <is>
          <t>SU.PA</t>
        </is>
      </c>
      <c r="AS14" s="55" t="inlineStr">
        <is>
          <t>TTE.PA</t>
        </is>
      </c>
      <c r="AT14" s="55" t="inlineStr">
        <is>
          <t>DG.PA</t>
        </is>
      </c>
    </row>
    <row r="15" ht="16" customHeight="1">
      <c r="B15" s="181" t="n">
        <v>40694</v>
      </c>
      <c r="C15" s="75">
        <f>AIRBUS!D12</f>
        <v/>
      </c>
      <c r="D15" s="75">
        <f>BNP!D12</f>
        <v/>
      </c>
      <c r="E15" s="75">
        <f>CAPGEMINI!D12</f>
        <v/>
      </c>
      <c r="F15" s="75">
        <f>DANONE!D12</f>
        <v/>
      </c>
      <c r="G15" s="75">
        <f>ENGIE!D12</f>
        <v/>
      </c>
      <c r="H15" s="75">
        <f>'HERMES INTL'!D12</f>
        <v/>
      </c>
      <c r="I15" s="75">
        <f>'PERNOD RICARD'!D12</f>
        <v/>
      </c>
      <c r="J15" s="75">
        <f>RENAULT!D12</f>
        <v/>
      </c>
      <c r="K15" s="75">
        <f>SANOFI!D12</f>
        <v/>
      </c>
      <c r="L15" s="75">
        <f>'SCHNEIDER ELECTRIC'!D12</f>
        <v/>
      </c>
      <c r="M15" s="75">
        <f>'TOTAL ENERGIES'!D12</f>
        <v/>
      </c>
      <c r="N15" s="75">
        <f>VINCI!D12</f>
        <v/>
      </c>
      <c r="O15" s="75">
        <f>MARKET!D12</f>
        <v/>
      </c>
      <c r="P15" s="103">
        <f>INTERBANK!D11</f>
        <v/>
      </c>
      <c r="R15" s="181" t="n">
        <v>40694</v>
      </c>
      <c r="S15" s="75">
        <f>C15-$P15</f>
        <v/>
      </c>
      <c r="T15" s="75">
        <f>D15-$P15</f>
        <v/>
      </c>
      <c r="U15" s="75">
        <f>E15-$P15</f>
        <v/>
      </c>
      <c r="V15" s="75">
        <f>F15-$P15</f>
        <v/>
      </c>
      <c r="W15" s="75">
        <f>G15-$P15</f>
        <v/>
      </c>
      <c r="X15" s="75">
        <f>H15-$P15</f>
        <v/>
      </c>
      <c r="Y15" s="75">
        <f>I15-$P15</f>
        <v/>
      </c>
      <c r="Z15" s="75">
        <f>J15-$P15</f>
        <v/>
      </c>
      <c r="AA15" s="75">
        <f>K15-$P15</f>
        <v/>
      </c>
      <c r="AB15" s="75">
        <f>L15-$P15</f>
        <v/>
      </c>
      <c r="AC15" s="75">
        <f>M15-$P15</f>
        <v/>
      </c>
      <c r="AD15" s="75">
        <f>N15-$P15</f>
        <v/>
      </c>
      <c r="AE15" s="75">
        <f>O15-$P15</f>
        <v/>
      </c>
      <c r="AH15" s="94" t="inlineStr">
        <is>
          <t>α</t>
        </is>
      </c>
      <c r="AI15" s="75">
        <f>INTERCEPT(S7:S188,$AE$7:$AE$188)</f>
        <v/>
      </c>
      <c r="AJ15" s="75">
        <f>INTERCEPT(T7:T188,$AE$7:$AE$188)</f>
        <v/>
      </c>
      <c r="AK15" s="75">
        <f>INTERCEPT(U7:U188,$AE$7:$AE$188)</f>
        <v/>
      </c>
      <c r="AL15" s="75">
        <f>INTERCEPT(V7:V188,$AE$7:$AE$188)</f>
        <v/>
      </c>
      <c r="AM15" s="75">
        <f>INTERCEPT(W7:W188,$AE$7:$AE$188)</f>
        <v/>
      </c>
      <c r="AN15" s="75">
        <f>INTERCEPT(X7:X188,$AE$7:$AE$188)</f>
        <v/>
      </c>
      <c r="AO15" s="75">
        <f>INTERCEPT(Y7:Y188,$AE$7:$AE$188)</f>
        <v/>
      </c>
      <c r="AP15" s="75">
        <f>INTERCEPT(Z7:Z188,$AE$7:$AE$188)</f>
        <v/>
      </c>
      <c r="AQ15" s="75">
        <f>INTERCEPT(AA7:AA188,$AE$7:$AE$188)</f>
        <v/>
      </c>
      <c r="AR15" s="75">
        <f>INTERCEPT(AB7:AB188,$AE$7:$AE$188)</f>
        <v/>
      </c>
      <c r="AS15" s="75">
        <f>INTERCEPT(AC7:AC188,$AE$7:$AE$188)</f>
        <v/>
      </c>
      <c r="AT15" s="75">
        <f>INTERCEPT(AD7:AD188,$AE$7:$AE$188)</f>
        <v/>
      </c>
    </row>
    <row r="16" ht="16" customHeight="1">
      <c r="B16" s="181" t="n">
        <v>40724</v>
      </c>
      <c r="C16" s="75">
        <f>AIRBUS!D13</f>
        <v/>
      </c>
      <c r="D16" s="75">
        <f>BNP!D13</f>
        <v/>
      </c>
      <c r="E16" s="75">
        <f>CAPGEMINI!D13</f>
        <v/>
      </c>
      <c r="F16" s="75">
        <f>DANONE!D13</f>
        <v/>
      </c>
      <c r="G16" s="75">
        <f>ENGIE!D13</f>
        <v/>
      </c>
      <c r="H16" s="75">
        <f>'HERMES INTL'!D13</f>
        <v/>
      </c>
      <c r="I16" s="75">
        <f>'PERNOD RICARD'!D13</f>
        <v/>
      </c>
      <c r="J16" s="75">
        <f>RENAULT!D13</f>
        <v/>
      </c>
      <c r="K16" s="75">
        <f>SANOFI!D13</f>
        <v/>
      </c>
      <c r="L16" s="75">
        <f>'SCHNEIDER ELECTRIC'!D13</f>
        <v/>
      </c>
      <c r="M16" s="75">
        <f>'TOTAL ENERGIES'!D13</f>
        <v/>
      </c>
      <c r="N16" s="75">
        <f>VINCI!D13</f>
        <v/>
      </c>
      <c r="O16" s="75">
        <f>MARKET!D13</f>
        <v/>
      </c>
      <c r="P16" s="103">
        <f>INTERBANK!D12</f>
        <v/>
      </c>
      <c r="R16" s="181" t="n">
        <v>40724</v>
      </c>
      <c r="S16" s="75">
        <f>C16-$P16</f>
        <v/>
      </c>
      <c r="T16" s="75">
        <f>D16-$P16</f>
        <v/>
      </c>
      <c r="U16" s="75">
        <f>E16-$P16</f>
        <v/>
      </c>
      <c r="V16" s="75">
        <f>F16-$P16</f>
        <v/>
      </c>
      <c r="W16" s="75">
        <f>G16-$P16</f>
        <v/>
      </c>
      <c r="X16" s="75">
        <f>H16-$P16</f>
        <v/>
      </c>
      <c r="Y16" s="75">
        <f>I16-$P16</f>
        <v/>
      </c>
      <c r="Z16" s="75">
        <f>J16-$P16</f>
        <v/>
      </c>
      <c r="AA16" s="75">
        <f>K16-$P16</f>
        <v/>
      </c>
      <c r="AB16" s="75">
        <f>L16-$P16</f>
        <v/>
      </c>
      <c r="AC16" s="75">
        <f>M16-$P16</f>
        <v/>
      </c>
      <c r="AD16" s="75">
        <f>N16-$P16</f>
        <v/>
      </c>
      <c r="AE16" s="75">
        <f>O16-$P16</f>
        <v/>
      </c>
    </row>
    <row r="17" ht="17" customHeight="1" thickBot="1">
      <c r="B17" s="181" t="n">
        <v>40755</v>
      </c>
      <c r="C17" s="75">
        <f>AIRBUS!D14</f>
        <v/>
      </c>
      <c r="D17" s="75">
        <f>BNP!D14</f>
        <v/>
      </c>
      <c r="E17" s="75">
        <f>CAPGEMINI!D14</f>
        <v/>
      </c>
      <c r="F17" s="75">
        <f>DANONE!D14</f>
        <v/>
      </c>
      <c r="G17" s="75">
        <f>ENGIE!D14</f>
        <v/>
      </c>
      <c r="H17" s="75">
        <f>'HERMES INTL'!D14</f>
        <v/>
      </c>
      <c r="I17" s="75">
        <f>'PERNOD RICARD'!D14</f>
        <v/>
      </c>
      <c r="J17" s="75">
        <f>RENAULT!D14</f>
        <v/>
      </c>
      <c r="K17" s="75">
        <f>SANOFI!D14</f>
        <v/>
      </c>
      <c r="L17" s="75">
        <f>'SCHNEIDER ELECTRIC'!D14</f>
        <v/>
      </c>
      <c r="M17" s="75">
        <f>'TOTAL ENERGIES'!D14</f>
        <v/>
      </c>
      <c r="N17" s="75">
        <f>VINCI!D14</f>
        <v/>
      </c>
      <c r="O17" s="75">
        <f>MARKET!D14</f>
        <v/>
      </c>
      <c r="P17" s="103">
        <f>INTERBANK!D13</f>
        <v/>
      </c>
      <c r="R17" s="181" t="n">
        <v>40755</v>
      </c>
      <c r="S17" s="75">
        <f>C17-$P17</f>
        <v/>
      </c>
      <c r="T17" s="75">
        <f>D17-$P17</f>
        <v/>
      </c>
      <c r="U17" s="75">
        <f>E17-$P17</f>
        <v/>
      </c>
      <c r="V17" s="75">
        <f>F17-$P17</f>
        <v/>
      </c>
      <c r="W17" s="75">
        <f>G17-$P17</f>
        <v/>
      </c>
      <c r="X17" s="75">
        <f>H17-$P17</f>
        <v/>
      </c>
      <c r="Y17" s="75">
        <f>I17-$P17</f>
        <v/>
      </c>
      <c r="Z17" s="75">
        <f>J17-$P17</f>
        <v/>
      </c>
      <c r="AA17" s="75">
        <f>K17-$P17</f>
        <v/>
      </c>
      <c r="AB17" s="75">
        <f>L17-$P17</f>
        <v/>
      </c>
      <c r="AC17" s="75">
        <f>M17-$P17</f>
        <v/>
      </c>
      <c r="AD17" s="75">
        <f>N17-$P17</f>
        <v/>
      </c>
      <c r="AE17" s="75">
        <f>O17-$P17</f>
        <v/>
      </c>
    </row>
    <row r="18" ht="25" customHeight="1" thickBot="1">
      <c r="B18" s="181" t="n">
        <v>40786</v>
      </c>
      <c r="C18" s="75">
        <f>AIRBUS!D15</f>
        <v/>
      </c>
      <c r="D18" s="75">
        <f>BNP!D15</f>
        <v/>
      </c>
      <c r="E18" s="75">
        <f>CAPGEMINI!D15</f>
        <v/>
      </c>
      <c r="F18" s="75">
        <f>DANONE!D15</f>
        <v/>
      </c>
      <c r="G18" s="75">
        <f>ENGIE!D15</f>
        <v/>
      </c>
      <c r="H18" s="75">
        <f>'HERMES INTL'!D15</f>
        <v/>
      </c>
      <c r="I18" s="75">
        <f>'PERNOD RICARD'!D15</f>
        <v/>
      </c>
      <c r="J18" s="75">
        <f>RENAULT!D15</f>
        <v/>
      </c>
      <c r="K18" s="75">
        <f>SANOFI!D15</f>
        <v/>
      </c>
      <c r="L18" s="75">
        <f>'SCHNEIDER ELECTRIC'!D15</f>
        <v/>
      </c>
      <c r="M18" s="75">
        <f>'TOTAL ENERGIES'!D15</f>
        <v/>
      </c>
      <c r="N18" s="75">
        <f>VINCI!D15</f>
        <v/>
      </c>
      <c r="O18" s="75">
        <f>MARKET!D15</f>
        <v/>
      </c>
      <c r="P18" s="103">
        <f>INTERBANK!D14</f>
        <v/>
      </c>
      <c r="R18" s="181" t="n">
        <v>40786</v>
      </c>
      <c r="S18" s="75">
        <f>C18-$P18</f>
        <v/>
      </c>
      <c r="T18" s="75">
        <f>D18-$P18</f>
        <v/>
      </c>
      <c r="U18" s="75">
        <f>E18-$P18</f>
        <v/>
      </c>
      <c r="V18" s="75">
        <f>F18-$P18</f>
        <v/>
      </c>
      <c r="W18" s="75">
        <f>G18-$P18</f>
        <v/>
      </c>
      <c r="X18" s="75">
        <f>H18-$P18</f>
        <v/>
      </c>
      <c r="Y18" s="75">
        <f>I18-$P18</f>
        <v/>
      </c>
      <c r="Z18" s="75">
        <f>J18-$P18</f>
        <v/>
      </c>
      <c r="AA18" s="75">
        <f>K18-$P18</f>
        <v/>
      </c>
      <c r="AB18" s="75">
        <f>L18-$P18</f>
        <v/>
      </c>
      <c r="AC18" s="75">
        <f>M18-$P18</f>
        <v/>
      </c>
      <c r="AD18" s="75">
        <f>N18-$P18</f>
        <v/>
      </c>
      <c r="AE18" s="75">
        <f>O18-$P18</f>
        <v/>
      </c>
      <c r="AI18" s="112" t="inlineStr">
        <is>
          <t>C3</t>
        </is>
      </c>
      <c r="AJ18" s="178" t="n"/>
      <c r="AK18" s="178" t="n"/>
      <c r="AL18" s="178" t="n"/>
      <c r="AM18" s="178" t="n"/>
      <c r="AN18" s="178" t="n"/>
      <c r="AO18" s="178" t="n"/>
      <c r="AP18" s="178" t="n"/>
      <c r="AQ18" s="178" t="n"/>
      <c r="AR18" s="178" t="n"/>
      <c r="AS18" s="178" t="n"/>
      <c r="AT18" s="179" t="n"/>
    </row>
    <row r="19" ht="16" customHeight="1">
      <c r="B19" s="181" t="n">
        <v>40816</v>
      </c>
      <c r="C19" s="75">
        <f>AIRBUS!D16</f>
        <v/>
      </c>
      <c r="D19" s="75">
        <f>BNP!D16</f>
        <v/>
      </c>
      <c r="E19" s="75">
        <f>CAPGEMINI!D16</f>
        <v/>
      </c>
      <c r="F19" s="75">
        <f>DANONE!D16</f>
        <v/>
      </c>
      <c r="G19" s="75">
        <f>ENGIE!D16</f>
        <v/>
      </c>
      <c r="H19" s="75">
        <f>'HERMES INTL'!D16</f>
        <v/>
      </c>
      <c r="I19" s="75">
        <f>'PERNOD RICARD'!D16</f>
        <v/>
      </c>
      <c r="J19" s="75">
        <f>RENAULT!D16</f>
        <v/>
      </c>
      <c r="K19" s="75">
        <f>SANOFI!D16</f>
        <v/>
      </c>
      <c r="L19" s="75">
        <f>'SCHNEIDER ELECTRIC'!D16</f>
        <v/>
      </c>
      <c r="M19" s="75">
        <f>'TOTAL ENERGIES'!D16</f>
        <v/>
      </c>
      <c r="N19" s="75">
        <f>VINCI!D16</f>
        <v/>
      </c>
      <c r="O19" s="75">
        <f>MARKET!D16</f>
        <v/>
      </c>
      <c r="P19" s="103">
        <f>INTERBANK!D15</f>
        <v/>
      </c>
      <c r="R19" s="181" t="n">
        <v>40816</v>
      </c>
      <c r="S19" s="75">
        <f>C19-$P19</f>
        <v/>
      </c>
      <c r="T19" s="75">
        <f>D19-$P19</f>
        <v/>
      </c>
      <c r="U19" s="75">
        <f>E19-$P19</f>
        <v/>
      </c>
      <c r="V19" s="75">
        <f>F19-$P19</f>
        <v/>
      </c>
      <c r="W19" s="75">
        <f>G19-$P19</f>
        <v/>
      </c>
      <c r="X19" s="75">
        <f>H19-$P19</f>
        <v/>
      </c>
      <c r="Y19" s="75">
        <f>I19-$P19</f>
        <v/>
      </c>
      <c r="Z19" s="75">
        <f>J19-$P19</f>
        <v/>
      </c>
      <c r="AA19" s="75">
        <f>K19-$P19</f>
        <v/>
      </c>
      <c r="AB19" s="75">
        <f>L19-$P19</f>
        <v/>
      </c>
      <c r="AC19" s="75">
        <f>M19-$P19</f>
        <v/>
      </c>
      <c r="AD19" s="75">
        <f>N19-$P19</f>
        <v/>
      </c>
      <c r="AE19" s="75">
        <f>O19-$P19</f>
        <v/>
      </c>
      <c r="AI19" s="115" t="n"/>
      <c r="AJ19" s="16" t="n"/>
      <c r="AK19" s="16" t="n"/>
      <c r="AL19" s="16" t="n"/>
      <c r="AM19" s="16" t="n"/>
      <c r="AN19" s="16" t="n"/>
      <c r="AO19" s="16" t="n"/>
      <c r="AP19" s="16" t="n"/>
      <c r="AQ19" s="16" t="n"/>
      <c r="AR19" s="16" t="n"/>
      <c r="AS19" s="16" t="n"/>
      <c r="AT19" s="16" t="n"/>
    </row>
    <row r="20" ht="16" customHeight="1">
      <c r="B20" s="181" t="n">
        <v>40847</v>
      </c>
      <c r="C20" s="75">
        <f>AIRBUS!D17</f>
        <v/>
      </c>
      <c r="D20" s="75">
        <f>BNP!D17</f>
        <v/>
      </c>
      <c r="E20" s="75">
        <f>CAPGEMINI!D17</f>
        <v/>
      </c>
      <c r="F20" s="75">
        <f>DANONE!D17</f>
        <v/>
      </c>
      <c r="G20" s="75">
        <f>ENGIE!D17</f>
        <v/>
      </c>
      <c r="H20" s="75">
        <f>'HERMES INTL'!D17</f>
        <v/>
      </c>
      <c r="I20" s="75">
        <f>'PERNOD RICARD'!D17</f>
        <v/>
      </c>
      <c r="J20" s="75">
        <f>RENAULT!D17</f>
        <v/>
      </c>
      <c r="K20" s="75">
        <f>SANOFI!D17</f>
        <v/>
      </c>
      <c r="L20" s="75">
        <f>'SCHNEIDER ELECTRIC'!D17</f>
        <v/>
      </c>
      <c r="M20" s="75">
        <f>'TOTAL ENERGIES'!D17</f>
        <v/>
      </c>
      <c r="N20" s="75">
        <f>VINCI!D17</f>
        <v/>
      </c>
      <c r="O20" s="75">
        <f>MARKET!D17</f>
        <v/>
      </c>
      <c r="P20" s="103">
        <f>INTERBANK!D16</f>
        <v/>
      </c>
      <c r="R20" s="181" t="n">
        <v>40847</v>
      </c>
      <c r="S20" s="75">
        <f>C20-$P20</f>
        <v/>
      </c>
      <c r="T20" s="75">
        <f>D20-$P20</f>
        <v/>
      </c>
      <c r="U20" s="75">
        <f>E20-$P20</f>
        <v/>
      </c>
      <c r="V20" s="75">
        <f>F20-$P20</f>
        <v/>
      </c>
      <c r="W20" s="75">
        <f>G20-$P20</f>
        <v/>
      </c>
      <c r="X20" s="75">
        <f>H20-$P20</f>
        <v/>
      </c>
      <c r="Y20" s="75">
        <f>I20-$P20</f>
        <v/>
      </c>
      <c r="Z20" s="75">
        <f>J20-$P20</f>
        <v/>
      </c>
      <c r="AA20" s="75">
        <f>K20-$P20</f>
        <v/>
      </c>
      <c r="AB20" s="75">
        <f>L20-$P20</f>
        <v/>
      </c>
      <c r="AC20" s="75">
        <f>M20-$P20</f>
        <v/>
      </c>
      <c r="AD20" s="75">
        <f>N20-$P20</f>
        <v/>
      </c>
      <c r="AE20" s="75">
        <f>O20-$P20</f>
        <v/>
      </c>
      <c r="AI20" s="51" t="inlineStr">
        <is>
          <t>Stock Nb. →</t>
        </is>
      </c>
      <c r="AJ20" s="52" t="inlineStr">
        <is>
          <t>Company Name →</t>
        </is>
      </c>
      <c r="AK20" s="53" t="inlineStr">
        <is>
          <t>Yahoo Ticker →</t>
        </is>
      </c>
      <c r="AL20" s="94" t="inlineStr">
        <is>
          <t>ESG</t>
        </is>
      </c>
      <c r="AM20" s="94" t="inlineStr">
        <is>
          <t>α</t>
        </is>
      </c>
    </row>
    <row r="21" ht="16" customHeight="1">
      <c r="B21" s="181" t="n">
        <v>40877</v>
      </c>
      <c r="C21" s="75">
        <f>AIRBUS!D18</f>
        <v/>
      </c>
      <c r="D21" s="75">
        <f>BNP!D18</f>
        <v/>
      </c>
      <c r="E21" s="75">
        <f>CAPGEMINI!D18</f>
        <v/>
      </c>
      <c r="F21" s="75">
        <f>DANONE!D18</f>
        <v/>
      </c>
      <c r="G21" s="75">
        <f>ENGIE!D18</f>
        <v/>
      </c>
      <c r="H21" s="75">
        <f>'HERMES INTL'!D18</f>
        <v/>
      </c>
      <c r="I21" s="75">
        <f>'PERNOD RICARD'!D18</f>
        <v/>
      </c>
      <c r="J21" s="75">
        <f>RENAULT!D18</f>
        <v/>
      </c>
      <c r="K21" s="75">
        <f>SANOFI!D18</f>
        <v/>
      </c>
      <c r="L21" s="75">
        <f>'SCHNEIDER ELECTRIC'!D18</f>
        <v/>
      </c>
      <c r="M21" s="75">
        <f>'TOTAL ENERGIES'!D18</f>
        <v/>
      </c>
      <c r="N21" s="75">
        <f>VINCI!D18</f>
        <v/>
      </c>
      <c r="O21" s="75">
        <f>MARKET!D18</f>
        <v/>
      </c>
      <c r="P21" s="103">
        <f>INTERBANK!D17</f>
        <v/>
      </c>
      <c r="R21" s="181" t="n">
        <v>40877</v>
      </c>
      <c r="S21" s="75">
        <f>C21-$P21</f>
        <v/>
      </c>
      <c r="T21" s="75">
        <f>D21-$P21</f>
        <v/>
      </c>
      <c r="U21" s="75">
        <f>E21-$P21</f>
        <v/>
      </c>
      <c r="V21" s="75">
        <f>F21-$P21</f>
        <v/>
      </c>
      <c r="W21" s="75">
        <f>G21-$P21</f>
        <v/>
      </c>
      <c r="X21" s="75">
        <f>H21-$P21</f>
        <v/>
      </c>
      <c r="Y21" s="75">
        <f>I21-$P21</f>
        <v/>
      </c>
      <c r="Z21" s="75">
        <f>J21-$P21</f>
        <v/>
      </c>
      <c r="AA21" s="75">
        <f>K21-$P21</f>
        <v/>
      </c>
      <c r="AB21" s="75">
        <f>L21-$P21</f>
        <v/>
      </c>
      <c r="AC21" s="75">
        <f>M21-$P21</f>
        <v/>
      </c>
      <c r="AD21" s="75">
        <f>N21-$P21</f>
        <v/>
      </c>
      <c r="AE21" s="75">
        <f>O21-$P21</f>
        <v/>
      </c>
      <c r="AI21" s="133" t="n">
        <v>1</v>
      </c>
      <c r="AJ21" s="96" t="inlineStr">
        <is>
          <t>AIRBUS</t>
        </is>
      </c>
      <c r="AK21" s="55" t="inlineStr">
        <is>
          <t>AIR.PA</t>
        </is>
      </c>
      <c r="AL21" s="104" t="n">
        <v>17.6</v>
      </c>
      <c r="AM21" s="75" t="n">
        <v>0.0108693090836435</v>
      </c>
    </row>
    <row r="22" ht="16" customHeight="1">
      <c r="B22" s="181" t="n">
        <v>40908</v>
      </c>
      <c r="C22" s="75">
        <f>AIRBUS!D19</f>
        <v/>
      </c>
      <c r="D22" s="75">
        <f>BNP!D19</f>
        <v/>
      </c>
      <c r="E22" s="75">
        <f>CAPGEMINI!D19</f>
        <v/>
      </c>
      <c r="F22" s="75">
        <f>DANONE!D19</f>
        <v/>
      </c>
      <c r="G22" s="75">
        <f>ENGIE!D19</f>
        <v/>
      </c>
      <c r="H22" s="75">
        <f>'HERMES INTL'!D19</f>
        <v/>
      </c>
      <c r="I22" s="75">
        <f>'PERNOD RICARD'!D19</f>
        <v/>
      </c>
      <c r="J22" s="75">
        <f>RENAULT!D19</f>
        <v/>
      </c>
      <c r="K22" s="75">
        <f>SANOFI!D19</f>
        <v/>
      </c>
      <c r="L22" s="75">
        <f>'SCHNEIDER ELECTRIC'!D19</f>
        <v/>
      </c>
      <c r="M22" s="75">
        <f>'TOTAL ENERGIES'!D19</f>
        <v/>
      </c>
      <c r="N22" s="75">
        <f>VINCI!D19</f>
        <v/>
      </c>
      <c r="O22" s="75">
        <f>MARKET!D19</f>
        <v/>
      </c>
      <c r="P22" s="103">
        <f>INTERBANK!D18</f>
        <v/>
      </c>
      <c r="R22" s="181" t="n">
        <v>40908</v>
      </c>
      <c r="S22" s="75">
        <f>C22-$P22</f>
        <v/>
      </c>
      <c r="T22" s="75">
        <f>D22-$P22</f>
        <v/>
      </c>
      <c r="U22" s="75">
        <f>E22-$P22</f>
        <v/>
      </c>
      <c r="V22" s="75">
        <f>F22-$P22</f>
        <v/>
      </c>
      <c r="W22" s="75">
        <f>G22-$P22</f>
        <v/>
      </c>
      <c r="X22" s="75">
        <f>H22-$P22</f>
        <v/>
      </c>
      <c r="Y22" s="75">
        <f>I22-$P22</f>
        <v/>
      </c>
      <c r="Z22" s="75">
        <f>J22-$P22</f>
        <v/>
      </c>
      <c r="AA22" s="75">
        <f>K22-$P22</f>
        <v/>
      </c>
      <c r="AB22" s="75">
        <f>L22-$P22</f>
        <v/>
      </c>
      <c r="AC22" s="75">
        <f>M22-$P22</f>
        <v/>
      </c>
      <c r="AD22" s="75">
        <f>N22-$P22</f>
        <v/>
      </c>
      <c r="AE22" s="75">
        <f>O22-$P22</f>
        <v/>
      </c>
      <c r="AI22" s="133" t="n">
        <v>2</v>
      </c>
      <c r="AJ22" s="97" t="inlineStr">
        <is>
          <t>BNP PARIBAS ACT.A</t>
        </is>
      </c>
      <c r="AK22" s="55" t="inlineStr">
        <is>
          <t>BNP.PA</t>
        </is>
      </c>
      <c r="AL22" s="104" t="n">
        <v>12.3</v>
      </c>
      <c r="AM22" s="75" t="n">
        <v>0.002383410060619946</v>
      </c>
    </row>
    <row r="23" ht="16" customHeight="1">
      <c r="B23" s="181" t="n">
        <v>40939</v>
      </c>
      <c r="C23" s="75">
        <f>AIRBUS!D20</f>
        <v/>
      </c>
      <c r="D23" s="75">
        <f>BNP!D20</f>
        <v/>
      </c>
      <c r="E23" s="75">
        <f>CAPGEMINI!D20</f>
        <v/>
      </c>
      <c r="F23" s="75">
        <f>DANONE!D20</f>
        <v/>
      </c>
      <c r="G23" s="75">
        <f>ENGIE!D20</f>
        <v/>
      </c>
      <c r="H23" s="75">
        <f>'HERMES INTL'!D20</f>
        <v/>
      </c>
      <c r="I23" s="75">
        <f>'PERNOD RICARD'!D20</f>
        <v/>
      </c>
      <c r="J23" s="75">
        <f>RENAULT!D20</f>
        <v/>
      </c>
      <c r="K23" s="75">
        <f>SANOFI!D20</f>
        <v/>
      </c>
      <c r="L23" s="75">
        <f>'SCHNEIDER ELECTRIC'!D20</f>
        <v/>
      </c>
      <c r="M23" s="75">
        <f>'TOTAL ENERGIES'!D20</f>
        <v/>
      </c>
      <c r="N23" s="75">
        <f>VINCI!D20</f>
        <v/>
      </c>
      <c r="O23" s="75">
        <f>MARKET!D20</f>
        <v/>
      </c>
      <c r="P23" s="103">
        <f>INTERBANK!D19</f>
        <v/>
      </c>
      <c r="R23" s="181" t="n">
        <v>40939</v>
      </c>
      <c r="S23" s="75">
        <f>C23-$P23</f>
        <v/>
      </c>
      <c r="T23" s="75">
        <f>D23-$P23</f>
        <v/>
      </c>
      <c r="U23" s="75">
        <f>E23-$P23</f>
        <v/>
      </c>
      <c r="V23" s="75">
        <f>F23-$P23</f>
        <v/>
      </c>
      <c r="W23" s="75">
        <f>G23-$P23</f>
        <v/>
      </c>
      <c r="X23" s="75">
        <f>H23-$P23</f>
        <v/>
      </c>
      <c r="Y23" s="75">
        <f>I23-$P23</f>
        <v/>
      </c>
      <c r="Z23" s="75">
        <f>J23-$P23</f>
        <v/>
      </c>
      <c r="AA23" s="75">
        <f>K23-$P23</f>
        <v/>
      </c>
      <c r="AB23" s="75">
        <f>L23-$P23</f>
        <v/>
      </c>
      <c r="AC23" s="75">
        <f>M23-$P23</f>
        <v/>
      </c>
      <c r="AD23" s="75">
        <f>N23-$P23</f>
        <v/>
      </c>
      <c r="AE23" s="75">
        <f>O23-$P23</f>
        <v/>
      </c>
      <c r="AI23" s="133" t="n">
        <v>3</v>
      </c>
      <c r="AJ23" s="97" t="inlineStr">
        <is>
          <t>CAPGEMINI</t>
        </is>
      </c>
      <c r="AK23" s="55" t="inlineStr">
        <is>
          <t>CAP.PA</t>
        </is>
      </c>
      <c r="AL23" s="104" t="n">
        <v>6.7</v>
      </c>
      <c r="AM23" s="75" t="n">
        <v>0.005503507151582831</v>
      </c>
    </row>
    <row r="24" ht="16" customHeight="1">
      <c r="B24" s="181" t="n">
        <v>40968</v>
      </c>
      <c r="C24" s="75">
        <f>AIRBUS!D21</f>
        <v/>
      </c>
      <c r="D24" s="75">
        <f>BNP!D21</f>
        <v/>
      </c>
      <c r="E24" s="75">
        <f>CAPGEMINI!D21</f>
        <v/>
      </c>
      <c r="F24" s="75">
        <f>DANONE!D21</f>
        <v/>
      </c>
      <c r="G24" s="75">
        <f>ENGIE!D21</f>
        <v/>
      </c>
      <c r="H24" s="75">
        <f>'HERMES INTL'!D21</f>
        <v/>
      </c>
      <c r="I24" s="75">
        <f>'PERNOD RICARD'!D21</f>
        <v/>
      </c>
      <c r="J24" s="75">
        <f>RENAULT!D21</f>
        <v/>
      </c>
      <c r="K24" s="75">
        <f>SANOFI!D21</f>
        <v/>
      </c>
      <c r="L24" s="75">
        <f>'SCHNEIDER ELECTRIC'!D21</f>
        <v/>
      </c>
      <c r="M24" s="75">
        <f>'TOTAL ENERGIES'!D21</f>
        <v/>
      </c>
      <c r="N24" s="75">
        <f>VINCI!D21</f>
        <v/>
      </c>
      <c r="O24" s="75">
        <f>MARKET!D21</f>
        <v/>
      </c>
      <c r="P24" s="103">
        <f>INTERBANK!D20</f>
        <v/>
      </c>
      <c r="R24" s="181" t="n">
        <v>40968</v>
      </c>
      <c r="S24" s="75">
        <f>C24-$P24</f>
        <v/>
      </c>
      <c r="T24" s="75">
        <f>D24-$P24</f>
        <v/>
      </c>
      <c r="U24" s="75">
        <f>E24-$P24</f>
        <v/>
      </c>
      <c r="V24" s="75">
        <f>F24-$P24</f>
        <v/>
      </c>
      <c r="W24" s="75">
        <f>G24-$P24</f>
        <v/>
      </c>
      <c r="X24" s="75">
        <f>H24-$P24</f>
        <v/>
      </c>
      <c r="Y24" s="75">
        <f>I24-$P24</f>
        <v/>
      </c>
      <c r="Z24" s="75">
        <f>J24-$P24</f>
        <v/>
      </c>
      <c r="AA24" s="75">
        <f>K24-$P24</f>
        <v/>
      </c>
      <c r="AB24" s="75">
        <f>L24-$P24</f>
        <v/>
      </c>
      <c r="AC24" s="75">
        <f>M24-$P24</f>
        <v/>
      </c>
      <c r="AD24" s="75">
        <f>N24-$P24</f>
        <v/>
      </c>
      <c r="AE24" s="75">
        <f>O24-$P24</f>
        <v/>
      </c>
      <c r="AI24" s="133" t="n">
        <v>4</v>
      </c>
      <c r="AJ24" s="97" t="inlineStr">
        <is>
          <t>DANONE</t>
        </is>
      </c>
      <c r="AK24" s="55" t="inlineStr">
        <is>
          <t>BN.PA</t>
        </is>
      </c>
      <c r="AL24" s="104" t="n">
        <v>12.5</v>
      </c>
      <c r="AM24" s="75" t="n">
        <v>0.003373656896017432</v>
      </c>
    </row>
    <row r="25" ht="16" customHeight="1">
      <c r="B25" s="181" t="n"/>
      <c r="C25" s="75" t="n"/>
      <c r="D25" s="75" t="n"/>
      <c r="E25" s="75" t="n"/>
      <c r="F25" s="75" t="n"/>
      <c r="G25" s="75" t="n"/>
      <c r="H25" s="75" t="n"/>
      <c r="I25" s="75" t="n"/>
      <c r="J25" s="75" t="n"/>
      <c r="K25" s="75" t="n"/>
      <c r="L25" s="75" t="n"/>
      <c r="M25" s="75" t="n"/>
      <c r="N25" s="75" t="n"/>
      <c r="O25" s="75" t="n"/>
      <c r="P25" s="103" t="n"/>
      <c r="R25" s="181" t="n"/>
      <c r="S25" s="75" t="n"/>
      <c r="T25" s="75" t="n"/>
      <c r="U25" s="75" t="n"/>
      <c r="V25" s="75" t="n"/>
      <c r="W25" s="75" t="n"/>
      <c r="X25" s="75" t="n"/>
      <c r="Y25" s="75" t="n"/>
      <c r="Z25" s="75" t="n"/>
      <c r="AA25" s="75" t="n"/>
      <c r="AB25" s="75" t="n"/>
      <c r="AC25" s="75" t="n"/>
      <c r="AD25" s="75" t="n"/>
      <c r="AE25" s="75" t="n"/>
      <c r="AH25" s="95" t="n"/>
      <c r="AI25" s="133" t="n">
        <v>5</v>
      </c>
      <c r="AJ25" s="97" t="inlineStr">
        <is>
          <t>ENGIE</t>
        </is>
      </c>
      <c r="AK25" s="55" t="inlineStr">
        <is>
          <t>ENGI.PA</t>
        </is>
      </c>
      <c r="AL25" s="104" t="n">
        <v>22.8</v>
      </c>
      <c r="AM25" s="75" t="n">
        <v>0.002052416519253284</v>
      </c>
      <c r="AN25" s="95" t="n"/>
      <c r="AO25" s="95" t="n"/>
      <c r="AP25" s="95" t="n"/>
      <c r="AR25" s="95" t="n"/>
      <c r="AS25" s="95" t="n"/>
      <c r="AT25" s="95" t="n"/>
    </row>
    <row r="26" ht="16" customHeight="1">
      <c r="B26" s="181" t="n"/>
      <c r="C26" s="75" t="n"/>
      <c r="D26" s="75" t="n"/>
      <c r="E26" s="75" t="n"/>
      <c r="F26" s="75" t="n"/>
      <c r="G26" s="75" t="n"/>
      <c r="H26" s="75" t="n"/>
      <c r="I26" s="75" t="n"/>
      <c r="J26" s="75" t="n"/>
      <c r="K26" s="75" t="n"/>
      <c r="L26" s="75" t="n"/>
      <c r="M26" s="75" t="n"/>
      <c r="N26" s="75" t="n"/>
      <c r="O26" s="75" t="n"/>
      <c r="P26" s="103" t="n"/>
      <c r="R26" s="181" t="n"/>
      <c r="S26" s="75" t="n"/>
      <c r="T26" s="75" t="n"/>
      <c r="U26" s="75" t="n"/>
      <c r="V26" s="75" t="n"/>
      <c r="W26" s="75" t="n"/>
      <c r="X26" s="75" t="n"/>
      <c r="Y26" s="75" t="n"/>
      <c r="Z26" s="75" t="n"/>
      <c r="AA26" s="75" t="n"/>
      <c r="AB26" s="75" t="n"/>
      <c r="AC26" s="75" t="n"/>
      <c r="AD26" s="75" t="n"/>
      <c r="AE26" s="75" t="n"/>
      <c r="AH26" s="95" t="n"/>
      <c r="AI26" s="133" t="n">
        <v>6</v>
      </c>
      <c r="AJ26" s="97" t="inlineStr">
        <is>
          <t>HERMES INTL</t>
        </is>
      </c>
      <c r="AK26" s="55" t="inlineStr">
        <is>
          <t>RMS.PA</t>
        </is>
      </c>
      <c r="AL26" s="104" t="n">
        <v>12.4</v>
      </c>
      <c r="AM26" s="75" t="n">
        <v>0.01499441775905217</v>
      </c>
      <c r="AN26" s="95" t="n"/>
      <c r="AO26" s="95" t="n"/>
      <c r="AP26" s="95" t="n"/>
      <c r="AR26" s="95" t="n"/>
      <c r="AS26" s="95" t="n"/>
      <c r="AT26" s="95" t="n"/>
    </row>
    <row r="27" ht="16" customHeight="1">
      <c r="B27" s="181" t="n">
        <v>40999</v>
      </c>
      <c r="C27" s="75">
        <f>AIRBUS!D22</f>
        <v/>
      </c>
      <c r="D27" s="75">
        <f>BNP!D22</f>
        <v/>
      </c>
      <c r="E27" s="75">
        <f>CAPGEMINI!D22</f>
        <v/>
      </c>
      <c r="F27" s="75">
        <f>DANONE!D22</f>
        <v/>
      </c>
      <c r="G27" s="75">
        <f>ENGIE!D22</f>
        <v/>
      </c>
      <c r="H27" s="75">
        <f>'HERMES INTL'!D22</f>
        <v/>
      </c>
      <c r="I27" s="75">
        <f>'PERNOD RICARD'!D22</f>
        <v/>
      </c>
      <c r="J27" s="75">
        <f>RENAULT!D22</f>
        <v/>
      </c>
      <c r="K27" s="75">
        <f>SANOFI!D22</f>
        <v/>
      </c>
      <c r="L27" s="75">
        <f>'SCHNEIDER ELECTRIC'!D22</f>
        <v/>
      </c>
      <c r="M27" s="75">
        <f>'TOTAL ENERGIES'!D22</f>
        <v/>
      </c>
      <c r="N27" s="75">
        <f>VINCI!D22</f>
        <v/>
      </c>
      <c r="O27" s="75">
        <f>MARKET!D22</f>
        <v/>
      </c>
      <c r="P27" s="103">
        <f>INTERBANK!D21</f>
        <v/>
      </c>
      <c r="R27" s="181" t="n">
        <v>40999</v>
      </c>
      <c r="S27" s="75">
        <f>C27-$P27</f>
        <v/>
      </c>
      <c r="T27" s="75">
        <f>D27-$P27</f>
        <v/>
      </c>
      <c r="U27" s="75">
        <f>E27-$P27</f>
        <v/>
      </c>
      <c r="V27" s="75">
        <f>F27-$P27</f>
        <v/>
      </c>
      <c r="W27" s="75">
        <f>G27-$P27</f>
        <v/>
      </c>
      <c r="X27" s="75">
        <f>H27-$P27</f>
        <v/>
      </c>
      <c r="Y27" s="75">
        <f>I27-$P27</f>
        <v/>
      </c>
      <c r="Z27" s="75">
        <f>J27-$P27</f>
        <v/>
      </c>
      <c r="AA27" s="75">
        <f>K27-$P27</f>
        <v/>
      </c>
      <c r="AB27" s="75">
        <f>L27-$P27</f>
        <v/>
      </c>
      <c r="AC27" s="75">
        <f>M27-$P27</f>
        <v/>
      </c>
      <c r="AD27" s="75">
        <f>N27-$P27</f>
        <v/>
      </c>
      <c r="AE27" s="75">
        <f>O27-$P27</f>
        <v/>
      </c>
      <c r="AI27" s="133" t="n">
        <v>7</v>
      </c>
      <c r="AJ27" s="97" t="inlineStr">
        <is>
          <t>PERNOD RICARD</t>
        </is>
      </c>
      <c r="AK27" s="55" t="inlineStr">
        <is>
          <t>RI.PA</t>
        </is>
      </c>
      <c r="AL27" s="104" t="n">
        <v>17.4</v>
      </c>
      <c r="AM27" s="75" t="n">
        <v>0.00237920253601065</v>
      </c>
    </row>
    <row r="28" ht="16" customHeight="1">
      <c r="B28" s="181" t="n">
        <v>41029</v>
      </c>
      <c r="C28" s="75">
        <f>AIRBUS!D23</f>
        <v/>
      </c>
      <c r="D28" s="75">
        <f>BNP!D23</f>
        <v/>
      </c>
      <c r="E28" s="75">
        <f>CAPGEMINI!D23</f>
        <v/>
      </c>
      <c r="F28" s="75">
        <f>DANONE!D23</f>
        <v/>
      </c>
      <c r="G28" s="75">
        <f>ENGIE!D23</f>
        <v/>
      </c>
      <c r="H28" s="75">
        <f>'HERMES INTL'!D23</f>
        <v/>
      </c>
      <c r="I28" s="75">
        <f>'PERNOD RICARD'!D23</f>
        <v/>
      </c>
      <c r="J28" s="75">
        <f>RENAULT!D23</f>
        <v/>
      </c>
      <c r="K28" s="75">
        <f>SANOFI!D23</f>
        <v/>
      </c>
      <c r="L28" s="75">
        <f>'SCHNEIDER ELECTRIC'!D23</f>
        <v/>
      </c>
      <c r="M28" s="75">
        <f>'TOTAL ENERGIES'!D23</f>
        <v/>
      </c>
      <c r="N28" s="75">
        <f>VINCI!D23</f>
        <v/>
      </c>
      <c r="O28" s="75">
        <f>MARKET!D23</f>
        <v/>
      </c>
      <c r="P28" s="103">
        <f>INTERBANK!D22</f>
        <v/>
      </c>
      <c r="R28" s="181" t="n">
        <v>41029</v>
      </c>
      <c r="S28" s="75">
        <f>C28-$P28</f>
        <v/>
      </c>
      <c r="T28" s="75">
        <f>D28-$P28</f>
        <v/>
      </c>
      <c r="U28" s="75">
        <f>E28-$P28</f>
        <v/>
      </c>
      <c r="V28" s="75">
        <f>F28-$P28</f>
        <v/>
      </c>
      <c r="W28" s="75">
        <f>G28-$P28</f>
        <v/>
      </c>
      <c r="X28" s="75">
        <f>H28-$P28</f>
        <v/>
      </c>
      <c r="Y28" s="75">
        <f>I28-$P28</f>
        <v/>
      </c>
      <c r="Z28" s="75">
        <f>J28-$P28</f>
        <v/>
      </c>
      <c r="AA28" s="75">
        <f>K28-$P28</f>
        <v/>
      </c>
      <c r="AB28" s="75">
        <f>L28-$P28</f>
        <v/>
      </c>
      <c r="AC28" s="75">
        <f>M28-$P28</f>
        <v/>
      </c>
      <c r="AD28" s="75">
        <f>N28-$P28</f>
        <v/>
      </c>
      <c r="AE28" s="75">
        <f>O28-$P28</f>
        <v/>
      </c>
      <c r="AI28" s="133" t="n">
        <v>8</v>
      </c>
      <c r="AJ28" s="97" t="inlineStr">
        <is>
          <t>RENAULT</t>
        </is>
      </c>
      <c r="AK28" s="55" t="inlineStr">
        <is>
          <t>RNO.PA</t>
        </is>
      </c>
      <c r="AL28" s="104" t="n">
        <v>18.9</v>
      </c>
      <c r="AM28" s="75" t="n">
        <v>-0.0005663962301545155</v>
      </c>
    </row>
    <row r="29" ht="16" customHeight="1">
      <c r="B29" s="181" t="n">
        <v>41060</v>
      </c>
      <c r="C29" s="75">
        <f>AIRBUS!D24</f>
        <v/>
      </c>
      <c r="D29" s="75">
        <f>BNP!D24</f>
        <v/>
      </c>
      <c r="E29" s="75">
        <f>CAPGEMINI!D24</f>
        <v/>
      </c>
      <c r="F29" s="75">
        <f>DANONE!D24</f>
        <v/>
      </c>
      <c r="G29" s="75">
        <f>ENGIE!D24</f>
        <v/>
      </c>
      <c r="H29" s="75">
        <f>'HERMES INTL'!D24</f>
        <v/>
      </c>
      <c r="I29" s="75">
        <f>'PERNOD RICARD'!D24</f>
        <v/>
      </c>
      <c r="J29" s="75">
        <f>RENAULT!D24</f>
        <v/>
      </c>
      <c r="K29" s="75">
        <f>SANOFI!D24</f>
        <v/>
      </c>
      <c r="L29" s="75">
        <f>'SCHNEIDER ELECTRIC'!D24</f>
        <v/>
      </c>
      <c r="M29" s="75">
        <f>'TOTAL ENERGIES'!D24</f>
        <v/>
      </c>
      <c r="N29" s="75">
        <f>VINCI!D24</f>
        <v/>
      </c>
      <c r="O29" s="75">
        <f>MARKET!D24</f>
        <v/>
      </c>
      <c r="P29" s="103">
        <f>INTERBANK!D23</f>
        <v/>
      </c>
      <c r="R29" s="181" t="n">
        <v>41060</v>
      </c>
      <c r="S29" s="75">
        <f>C29-$P29</f>
        <v/>
      </c>
      <c r="T29" s="75">
        <f>D29-$P29</f>
        <v/>
      </c>
      <c r="U29" s="75">
        <f>E29-$P29</f>
        <v/>
      </c>
      <c r="V29" s="75">
        <f>F29-$P29</f>
        <v/>
      </c>
      <c r="W29" s="75">
        <f>G29-$P29</f>
        <v/>
      </c>
      <c r="X29" s="75">
        <f>H29-$P29</f>
        <v/>
      </c>
      <c r="Y29" s="75">
        <f>I29-$P29</f>
        <v/>
      </c>
      <c r="Z29" s="75">
        <f>J29-$P29</f>
        <v/>
      </c>
      <c r="AA29" s="75">
        <f>K29-$P29</f>
        <v/>
      </c>
      <c r="AB29" s="75">
        <f>L29-$P29</f>
        <v/>
      </c>
      <c r="AC29" s="75">
        <f>M29-$P29</f>
        <v/>
      </c>
      <c r="AD29" s="75">
        <f>N29-$P29</f>
        <v/>
      </c>
      <c r="AE29" s="75">
        <f>O29-$P29</f>
        <v/>
      </c>
      <c r="AI29" s="133" t="n">
        <v>9</v>
      </c>
      <c r="AJ29" s="97" t="inlineStr">
        <is>
          <t>SANOFI</t>
        </is>
      </c>
      <c r="AK29" s="55" t="inlineStr">
        <is>
          <t>SAN.PA</t>
        </is>
      </c>
      <c r="AL29" s="101" t="n">
        <v>13.2</v>
      </c>
      <c r="AM29" s="75" t="n">
        <v>0.004846000279907335</v>
      </c>
    </row>
    <row r="30" ht="16" customHeight="1">
      <c r="B30" s="181" t="n">
        <v>41090</v>
      </c>
      <c r="C30" s="75">
        <f>AIRBUS!D25</f>
        <v/>
      </c>
      <c r="D30" s="75">
        <f>BNP!D25</f>
        <v/>
      </c>
      <c r="E30" s="75">
        <f>CAPGEMINI!D25</f>
        <v/>
      </c>
      <c r="F30" s="75">
        <f>DANONE!D25</f>
        <v/>
      </c>
      <c r="G30" s="75">
        <f>ENGIE!D25</f>
        <v/>
      </c>
      <c r="H30" s="75">
        <f>'HERMES INTL'!D25</f>
        <v/>
      </c>
      <c r="I30" s="75">
        <f>'PERNOD RICARD'!D25</f>
        <v/>
      </c>
      <c r="J30" s="75">
        <f>RENAULT!D25</f>
        <v/>
      </c>
      <c r="K30" s="75">
        <f>SANOFI!D25</f>
        <v/>
      </c>
      <c r="L30" s="75">
        <f>'SCHNEIDER ELECTRIC'!D25</f>
        <v/>
      </c>
      <c r="M30" s="75">
        <f>'TOTAL ENERGIES'!D25</f>
        <v/>
      </c>
      <c r="N30" s="75">
        <f>VINCI!D25</f>
        <v/>
      </c>
      <c r="O30" s="75">
        <f>MARKET!D25</f>
        <v/>
      </c>
      <c r="P30" s="103">
        <f>INTERBANK!D24</f>
        <v/>
      </c>
      <c r="R30" s="181" t="n">
        <v>41090</v>
      </c>
      <c r="S30" s="75">
        <f>C30-$P30</f>
        <v/>
      </c>
      <c r="T30" s="75">
        <f>D30-$P30</f>
        <v/>
      </c>
      <c r="U30" s="75">
        <f>E30-$P30</f>
        <v/>
      </c>
      <c r="V30" s="75">
        <f>F30-$P30</f>
        <v/>
      </c>
      <c r="W30" s="75">
        <f>G30-$P30</f>
        <v/>
      </c>
      <c r="X30" s="75">
        <f>H30-$P30</f>
        <v/>
      </c>
      <c r="Y30" s="75">
        <f>I30-$P30</f>
        <v/>
      </c>
      <c r="Z30" s="75">
        <f>J30-$P30</f>
        <v/>
      </c>
      <c r="AA30" s="75">
        <f>K30-$P30</f>
        <v/>
      </c>
      <c r="AB30" s="75">
        <f>L30-$P30</f>
        <v/>
      </c>
      <c r="AC30" s="75">
        <f>M30-$P30</f>
        <v/>
      </c>
      <c r="AD30" s="75">
        <f>N30-$P30</f>
        <v/>
      </c>
      <c r="AE30" s="75">
        <f>O30-$P30</f>
        <v/>
      </c>
      <c r="AI30" s="133" t="n">
        <v>10</v>
      </c>
      <c r="AJ30" s="97" t="inlineStr">
        <is>
          <t>SCHNEIDER ELECTRIC</t>
        </is>
      </c>
      <c r="AK30" s="55" t="inlineStr">
        <is>
          <t>SU.PA</t>
        </is>
      </c>
      <c r="AL30" s="104" t="n">
        <v>7.1</v>
      </c>
      <c r="AM30" s="75" t="n">
        <v>0.00781504046309503</v>
      </c>
    </row>
    <row r="31" ht="16" customHeight="1">
      <c r="B31" s="181" t="n">
        <v>41121</v>
      </c>
      <c r="C31" s="75">
        <f>AIRBUS!D26</f>
        <v/>
      </c>
      <c r="D31" s="75">
        <f>BNP!D26</f>
        <v/>
      </c>
      <c r="E31" s="75">
        <f>CAPGEMINI!D26</f>
        <v/>
      </c>
      <c r="F31" s="75">
        <f>DANONE!D26</f>
        <v/>
      </c>
      <c r="G31" s="75">
        <f>ENGIE!D26</f>
        <v/>
      </c>
      <c r="H31" s="75">
        <f>'HERMES INTL'!D26</f>
        <v/>
      </c>
      <c r="I31" s="75">
        <f>'PERNOD RICARD'!D26</f>
        <v/>
      </c>
      <c r="J31" s="75">
        <f>RENAULT!D26</f>
        <v/>
      </c>
      <c r="K31" s="75">
        <f>SANOFI!D26</f>
        <v/>
      </c>
      <c r="L31" s="75">
        <f>'SCHNEIDER ELECTRIC'!D26</f>
        <v/>
      </c>
      <c r="M31" s="75">
        <f>'TOTAL ENERGIES'!D26</f>
        <v/>
      </c>
      <c r="N31" s="75">
        <f>VINCI!D26</f>
        <v/>
      </c>
      <c r="O31" s="75">
        <f>MARKET!D26</f>
        <v/>
      </c>
      <c r="P31" s="103">
        <f>INTERBANK!D25</f>
        <v/>
      </c>
      <c r="R31" s="181" t="n">
        <v>41121</v>
      </c>
      <c r="S31" s="75">
        <f>C31-$P31</f>
        <v/>
      </c>
      <c r="T31" s="75">
        <f>D31-$P31</f>
        <v/>
      </c>
      <c r="U31" s="75">
        <f>E31-$P31</f>
        <v/>
      </c>
      <c r="V31" s="75">
        <f>F31-$P31</f>
        <v/>
      </c>
      <c r="W31" s="75">
        <f>G31-$P31</f>
        <v/>
      </c>
      <c r="X31" s="75">
        <f>H31-$P31</f>
        <v/>
      </c>
      <c r="Y31" s="75">
        <f>I31-$P31</f>
        <v/>
      </c>
      <c r="Z31" s="75">
        <f>J31-$P31</f>
        <v/>
      </c>
      <c r="AA31" s="75">
        <f>K31-$P31</f>
        <v/>
      </c>
      <c r="AB31" s="75">
        <f>L31-$P31</f>
        <v/>
      </c>
      <c r="AC31" s="75">
        <f>M31-$P31</f>
        <v/>
      </c>
      <c r="AD31" s="75">
        <f>N31-$P31</f>
        <v/>
      </c>
      <c r="AE31" s="75">
        <f>O31-$P31</f>
        <v/>
      </c>
      <c r="AI31" s="133" t="n">
        <v>11</v>
      </c>
      <c r="AJ31" s="97" t="inlineStr">
        <is>
          <t>TOTALENERGIES</t>
        </is>
      </c>
      <c r="AK31" s="55" t="inlineStr">
        <is>
          <t>TTE.PA</t>
        </is>
      </c>
      <c r="AL31" s="104" t="n">
        <v>25</v>
      </c>
      <c r="AM31" s="75" t="n">
        <v>0.003775904429202269</v>
      </c>
    </row>
    <row r="32" ht="16" customHeight="1">
      <c r="B32" s="181" t="n">
        <v>41152</v>
      </c>
      <c r="C32" s="75">
        <f>AIRBUS!D27</f>
        <v/>
      </c>
      <c r="D32" s="75">
        <f>BNP!D27</f>
        <v/>
      </c>
      <c r="E32" s="75">
        <f>CAPGEMINI!D27</f>
        <v/>
      </c>
      <c r="F32" s="75">
        <f>DANONE!D27</f>
        <v/>
      </c>
      <c r="G32" s="75">
        <f>ENGIE!D27</f>
        <v/>
      </c>
      <c r="H32" s="75">
        <f>'HERMES INTL'!D27</f>
        <v/>
      </c>
      <c r="I32" s="75">
        <f>'PERNOD RICARD'!D27</f>
        <v/>
      </c>
      <c r="J32" s="75">
        <f>RENAULT!D27</f>
        <v/>
      </c>
      <c r="K32" s="75">
        <f>SANOFI!D27</f>
        <v/>
      </c>
      <c r="L32" s="75">
        <f>'SCHNEIDER ELECTRIC'!D27</f>
        <v/>
      </c>
      <c r="M32" s="75">
        <f>'TOTAL ENERGIES'!D27</f>
        <v/>
      </c>
      <c r="N32" s="75">
        <f>VINCI!D27</f>
        <v/>
      </c>
      <c r="O32" s="75">
        <f>MARKET!D27</f>
        <v/>
      </c>
      <c r="P32" s="103">
        <f>INTERBANK!D26</f>
        <v/>
      </c>
      <c r="R32" s="181" t="n">
        <v>41152</v>
      </c>
      <c r="S32" s="75">
        <f>C32-$P32</f>
        <v/>
      </c>
      <c r="T32" s="75">
        <f>D32-$P32</f>
        <v/>
      </c>
      <c r="U32" s="75">
        <f>E32-$P32</f>
        <v/>
      </c>
      <c r="V32" s="75">
        <f>F32-$P32</f>
        <v/>
      </c>
      <c r="W32" s="75">
        <f>G32-$P32</f>
        <v/>
      </c>
      <c r="X32" s="75">
        <f>H32-$P32</f>
        <v/>
      </c>
      <c r="Y32" s="75">
        <f>I32-$P32</f>
        <v/>
      </c>
      <c r="Z32" s="75">
        <f>J32-$P32</f>
        <v/>
      </c>
      <c r="AA32" s="75">
        <f>K32-$P32</f>
        <v/>
      </c>
      <c r="AB32" s="75">
        <f>L32-$P32</f>
        <v/>
      </c>
      <c r="AC32" s="75">
        <f>M32-$P32</f>
        <v/>
      </c>
      <c r="AD32" s="75">
        <f>N32-$P32</f>
        <v/>
      </c>
      <c r="AE32" s="75">
        <f>O32-$P32</f>
        <v/>
      </c>
      <c r="AI32" s="133" t="n">
        <v>12</v>
      </c>
      <c r="AJ32" s="97" t="inlineStr">
        <is>
          <t>VINCI</t>
        </is>
      </c>
      <c r="AK32" s="55" t="inlineStr">
        <is>
          <t>DG.PA</t>
        </is>
      </c>
      <c r="AL32" s="104" t="n">
        <v>23.8</v>
      </c>
      <c r="AM32" s="75" t="n">
        <v>0.006193972959999827</v>
      </c>
    </row>
    <row r="33" ht="16" customHeight="1">
      <c r="B33" s="181" t="n">
        <v>41182</v>
      </c>
      <c r="C33" s="75">
        <f>AIRBUS!D28</f>
        <v/>
      </c>
      <c r="D33" s="75">
        <f>BNP!D28</f>
        <v/>
      </c>
      <c r="E33" s="75">
        <f>CAPGEMINI!D28</f>
        <v/>
      </c>
      <c r="F33" s="75">
        <f>DANONE!D28</f>
        <v/>
      </c>
      <c r="G33" s="75">
        <f>ENGIE!D28</f>
        <v/>
      </c>
      <c r="H33" s="75">
        <f>'HERMES INTL'!D28</f>
        <v/>
      </c>
      <c r="I33" s="75">
        <f>'PERNOD RICARD'!D28</f>
        <v/>
      </c>
      <c r="J33" s="75">
        <f>RENAULT!D28</f>
        <v/>
      </c>
      <c r="K33" s="75">
        <f>SANOFI!D28</f>
        <v/>
      </c>
      <c r="L33" s="75">
        <f>'SCHNEIDER ELECTRIC'!D28</f>
        <v/>
      </c>
      <c r="M33" s="75">
        <f>'TOTAL ENERGIES'!D28</f>
        <v/>
      </c>
      <c r="N33" s="75">
        <f>VINCI!D28</f>
        <v/>
      </c>
      <c r="O33" s="75">
        <f>MARKET!D28</f>
        <v/>
      </c>
      <c r="P33" s="103">
        <f>INTERBANK!D27</f>
        <v/>
      </c>
      <c r="R33" s="181" t="n">
        <v>41182</v>
      </c>
      <c r="S33" s="75">
        <f>C33-$P33</f>
        <v/>
      </c>
      <c r="T33" s="75">
        <f>D33-$P33</f>
        <v/>
      </c>
      <c r="U33" s="75">
        <f>E33-$P33</f>
        <v/>
      </c>
      <c r="V33" s="75">
        <f>F33-$P33</f>
        <v/>
      </c>
      <c r="W33" s="75">
        <f>G33-$P33</f>
        <v/>
      </c>
      <c r="X33" s="75">
        <f>H33-$P33</f>
        <v/>
      </c>
      <c r="Y33" s="75">
        <f>I33-$P33</f>
        <v/>
      </c>
      <c r="Z33" s="75">
        <f>J33-$P33</f>
        <v/>
      </c>
      <c r="AA33" s="75">
        <f>K33-$P33</f>
        <v/>
      </c>
      <c r="AB33" s="75">
        <f>L33-$P33</f>
        <v/>
      </c>
      <c r="AC33" s="75">
        <f>M33-$P33</f>
        <v/>
      </c>
      <c r="AD33" s="75">
        <f>N33-$P33</f>
        <v/>
      </c>
      <c r="AE33" s="75">
        <f>O33-$P33</f>
        <v/>
      </c>
    </row>
    <row r="34" ht="16" customHeight="1">
      <c r="B34" s="181" t="n">
        <v>41213</v>
      </c>
      <c r="C34" s="75">
        <f>AIRBUS!D29</f>
        <v/>
      </c>
      <c r="D34" s="75">
        <f>BNP!D29</f>
        <v/>
      </c>
      <c r="E34" s="75">
        <f>CAPGEMINI!D29</f>
        <v/>
      </c>
      <c r="F34" s="75">
        <f>DANONE!D29</f>
        <v/>
      </c>
      <c r="G34" s="75">
        <f>ENGIE!D29</f>
        <v/>
      </c>
      <c r="H34" s="75">
        <f>'HERMES INTL'!D29</f>
        <v/>
      </c>
      <c r="I34" s="75">
        <f>'PERNOD RICARD'!D29</f>
        <v/>
      </c>
      <c r="J34" s="75">
        <f>RENAULT!D29</f>
        <v/>
      </c>
      <c r="K34" s="75">
        <f>SANOFI!D29</f>
        <v/>
      </c>
      <c r="L34" s="75">
        <f>'SCHNEIDER ELECTRIC'!D29</f>
        <v/>
      </c>
      <c r="M34" s="75">
        <f>'TOTAL ENERGIES'!D29</f>
        <v/>
      </c>
      <c r="N34" s="75">
        <f>VINCI!D29</f>
        <v/>
      </c>
      <c r="O34" s="75">
        <f>MARKET!D29</f>
        <v/>
      </c>
      <c r="P34" s="103">
        <f>INTERBANK!D28</f>
        <v/>
      </c>
      <c r="R34" s="181" t="n">
        <v>41213</v>
      </c>
      <c r="S34" s="75">
        <f>C34-$P34</f>
        <v/>
      </c>
      <c r="T34" s="75">
        <f>D34-$P34</f>
        <v/>
      </c>
      <c r="U34" s="75">
        <f>E34-$P34</f>
        <v/>
      </c>
      <c r="V34" s="75">
        <f>F34-$P34</f>
        <v/>
      </c>
      <c r="W34" s="75">
        <f>G34-$P34</f>
        <v/>
      </c>
      <c r="X34" s="75">
        <f>H34-$P34</f>
        <v/>
      </c>
      <c r="Y34" s="75">
        <f>I34-$P34</f>
        <v/>
      </c>
      <c r="Z34" s="75">
        <f>J34-$P34</f>
        <v/>
      </c>
      <c r="AA34" s="75">
        <f>K34-$P34</f>
        <v/>
      </c>
      <c r="AB34" s="75">
        <f>L34-$P34</f>
        <v/>
      </c>
      <c r="AC34" s="75">
        <f>M34-$P34</f>
        <v/>
      </c>
      <c r="AD34" s="75">
        <f>N34-$P34</f>
        <v/>
      </c>
      <c r="AE34" s="75">
        <f>O34-$P34</f>
        <v/>
      </c>
      <c r="AI34" s="98" t="inlineStr">
        <is>
          <t xml:space="preserve">Correlation : </t>
        </is>
      </c>
      <c r="AJ34" s="182">
        <f>CORREL(AM21:AM32,AL21:AL32)</f>
        <v/>
      </c>
    </row>
    <row r="35" ht="16" customHeight="1">
      <c r="B35" s="181" t="n">
        <v>41243</v>
      </c>
      <c r="C35" s="75">
        <f>AIRBUS!D30</f>
        <v/>
      </c>
      <c r="D35" s="75">
        <f>BNP!D30</f>
        <v/>
      </c>
      <c r="E35" s="75">
        <f>CAPGEMINI!D30</f>
        <v/>
      </c>
      <c r="F35" s="75">
        <f>DANONE!D30</f>
        <v/>
      </c>
      <c r="G35" s="75">
        <f>ENGIE!D30</f>
        <v/>
      </c>
      <c r="H35" s="75">
        <f>'HERMES INTL'!D30</f>
        <v/>
      </c>
      <c r="I35" s="75">
        <f>'PERNOD RICARD'!D30</f>
        <v/>
      </c>
      <c r="J35" s="75">
        <f>RENAULT!D30</f>
        <v/>
      </c>
      <c r="K35" s="75">
        <f>SANOFI!D30</f>
        <v/>
      </c>
      <c r="L35" s="75">
        <f>'SCHNEIDER ELECTRIC'!D30</f>
        <v/>
      </c>
      <c r="M35" s="75">
        <f>'TOTAL ENERGIES'!D30</f>
        <v/>
      </c>
      <c r="N35" s="75">
        <f>VINCI!D30</f>
        <v/>
      </c>
      <c r="O35" s="75">
        <f>MARKET!D30</f>
        <v/>
      </c>
      <c r="P35" s="103">
        <f>INTERBANK!D29</f>
        <v/>
      </c>
      <c r="R35" s="181" t="n">
        <v>41243</v>
      </c>
      <c r="S35" s="75">
        <f>C35-$P35</f>
        <v/>
      </c>
      <c r="T35" s="75">
        <f>D35-$P35</f>
        <v/>
      </c>
      <c r="U35" s="75">
        <f>E35-$P35</f>
        <v/>
      </c>
      <c r="V35" s="75">
        <f>F35-$P35</f>
        <v/>
      </c>
      <c r="W35" s="75">
        <f>G35-$P35</f>
        <v/>
      </c>
      <c r="X35" s="75">
        <f>H35-$P35</f>
        <v/>
      </c>
      <c r="Y35" s="75">
        <f>I35-$P35</f>
        <v/>
      </c>
      <c r="Z35" s="75">
        <f>J35-$P35</f>
        <v/>
      </c>
      <c r="AA35" s="75">
        <f>K35-$P35</f>
        <v/>
      </c>
      <c r="AB35" s="75">
        <f>L35-$P35</f>
        <v/>
      </c>
      <c r="AC35" s="75">
        <f>M35-$P35</f>
        <v/>
      </c>
      <c r="AD35" s="75">
        <f>N35-$P35</f>
        <v/>
      </c>
      <c r="AE35" s="75">
        <f>O35-$P35</f>
        <v/>
      </c>
    </row>
    <row r="36" ht="16" customHeight="1">
      <c r="B36" s="181" t="n">
        <v>41274</v>
      </c>
      <c r="C36" s="75">
        <f>AIRBUS!D31</f>
        <v/>
      </c>
      <c r="D36" s="75">
        <f>BNP!D31</f>
        <v/>
      </c>
      <c r="E36" s="75">
        <f>CAPGEMINI!D31</f>
        <v/>
      </c>
      <c r="F36" s="75">
        <f>DANONE!D31</f>
        <v/>
      </c>
      <c r="G36" s="75">
        <f>ENGIE!D31</f>
        <v/>
      </c>
      <c r="H36" s="75">
        <f>'HERMES INTL'!D31</f>
        <v/>
      </c>
      <c r="I36" s="75">
        <f>'PERNOD RICARD'!D31</f>
        <v/>
      </c>
      <c r="J36" s="75">
        <f>RENAULT!D31</f>
        <v/>
      </c>
      <c r="K36" s="75">
        <f>SANOFI!D31</f>
        <v/>
      </c>
      <c r="L36" s="75">
        <f>'SCHNEIDER ELECTRIC'!D31</f>
        <v/>
      </c>
      <c r="M36" s="75">
        <f>'TOTAL ENERGIES'!D31</f>
        <v/>
      </c>
      <c r="N36" s="75">
        <f>VINCI!D31</f>
        <v/>
      </c>
      <c r="O36" s="75">
        <f>MARKET!D31</f>
        <v/>
      </c>
      <c r="P36" s="103">
        <f>INTERBANK!D30</f>
        <v/>
      </c>
      <c r="R36" s="181" t="n">
        <v>41274</v>
      </c>
      <c r="S36" s="75">
        <f>C36-$P36</f>
        <v/>
      </c>
      <c r="T36" s="75">
        <f>D36-$P36</f>
        <v/>
      </c>
      <c r="U36" s="75">
        <f>E36-$P36</f>
        <v/>
      </c>
      <c r="V36" s="75">
        <f>F36-$P36</f>
        <v/>
      </c>
      <c r="W36" s="75">
        <f>G36-$P36</f>
        <v/>
      </c>
      <c r="X36" s="75">
        <f>H36-$P36</f>
        <v/>
      </c>
      <c r="Y36" s="75">
        <f>I36-$P36</f>
        <v/>
      </c>
      <c r="Z36" s="75">
        <f>J36-$P36</f>
        <v/>
      </c>
      <c r="AA36" s="75">
        <f>K36-$P36</f>
        <v/>
      </c>
      <c r="AB36" s="75">
        <f>L36-$P36</f>
        <v/>
      </c>
      <c r="AC36" s="75">
        <f>M36-$P36</f>
        <v/>
      </c>
      <c r="AD36" s="75">
        <f>N36-$P36</f>
        <v/>
      </c>
      <c r="AE36" s="75">
        <f>O36-$P36</f>
        <v/>
      </c>
    </row>
    <row r="37" ht="16" customHeight="1">
      <c r="B37" s="181" t="n">
        <v>41305</v>
      </c>
      <c r="C37" s="75">
        <f>AIRBUS!D32</f>
        <v/>
      </c>
      <c r="D37" s="75">
        <f>BNP!D32</f>
        <v/>
      </c>
      <c r="E37" s="75">
        <f>CAPGEMINI!D32</f>
        <v/>
      </c>
      <c r="F37" s="75">
        <f>DANONE!D32</f>
        <v/>
      </c>
      <c r="G37" s="75">
        <f>ENGIE!D32</f>
        <v/>
      </c>
      <c r="H37" s="75">
        <f>'HERMES INTL'!D32</f>
        <v/>
      </c>
      <c r="I37" s="75">
        <f>'PERNOD RICARD'!D32</f>
        <v/>
      </c>
      <c r="J37" s="75">
        <f>RENAULT!D32</f>
        <v/>
      </c>
      <c r="K37" s="75">
        <f>SANOFI!D32</f>
        <v/>
      </c>
      <c r="L37" s="75">
        <f>'SCHNEIDER ELECTRIC'!D32</f>
        <v/>
      </c>
      <c r="M37" s="75">
        <f>'TOTAL ENERGIES'!D32</f>
        <v/>
      </c>
      <c r="N37" s="75">
        <f>VINCI!D32</f>
        <v/>
      </c>
      <c r="O37" s="75">
        <f>MARKET!D32</f>
        <v/>
      </c>
      <c r="P37" s="103">
        <f>INTERBANK!D31</f>
        <v/>
      </c>
      <c r="R37" s="181" t="n">
        <v>41305</v>
      </c>
      <c r="S37" s="75">
        <f>C37-$P37</f>
        <v/>
      </c>
      <c r="T37" s="75">
        <f>D37-$P37</f>
        <v/>
      </c>
      <c r="U37" s="75">
        <f>E37-$P37</f>
        <v/>
      </c>
      <c r="V37" s="75">
        <f>F37-$P37</f>
        <v/>
      </c>
      <c r="W37" s="75">
        <f>G37-$P37</f>
        <v/>
      </c>
      <c r="X37" s="75">
        <f>H37-$P37</f>
        <v/>
      </c>
      <c r="Y37" s="75">
        <f>I37-$P37</f>
        <v/>
      </c>
      <c r="Z37" s="75">
        <f>J37-$P37</f>
        <v/>
      </c>
      <c r="AA37" s="75">
        <f>K37-$P37</f>
        <v/>
      </c>
      <c r="AB37" s="75">
        <f>L37-$P37</f>
        <v/>
      </c>
      <c r="AC37" s="75">
        <f>M37-$P37</f>
        <v/>
      </c>
      <c r="AD37" s="75">
        <f>N37-$P37</f>
        <v/>
      </c>
      <c r="AE37" s="75">
        <f>O37-$P37</f>
        <v/>
      </c>
    </row>
    <row r="38" ht="16" customHeight="1">
      <c r="B38" s="181" t="n">
        <v>41333</v>
      </c>
      <c r="C38" s="75">
        <f>AIRBUS!D33</f>
        <v/>
      </c>
      <c r="D38" s="75">
        <f>BNP!D33</f>
        <v/>
      </c>
      <c r="E38" s="75">
        <f>CAPGEMINI!D33</f>
        <v/>
      </c>
      <c r="F38" s="75">
        <f>DANONE!D33</f>
        <v/>
      </c>
      <c r="G38" s="75">
        <f>ENGIE!D33</f>
        <v/>
      </c>
      <c r="H38" s="75">
        <f>'HERMES INTL'!D33</f>
        <v/>
      </c>
      <c r="I38" s="75">
        <f>'PERNOD RICARD'!D33</f>
        <v/>
      </c>
      <c r="J38" s="75">
        <f>RENAULT!D33</f>
        <v/>
      </c>
      <c r="K38" s="75">
        <f>SANOFI!D33</f>
        <v/>
      </c>
      <c r="L38" s="75">
        <f>'SCHNEIDER ELECTRIC'!D33</f>
        <v/>
      </c>
      <c r="M38" s="75">
        <f>'TOTAL ENERGIES'!D33</f>
        <v/>
      </c>
      <c r="N38" s="75">
        <f>VINCI!D33</f>
        <v/>
      </c>
      <c r="O38" s="75">
        <f>MARKET!D33</f>
        <v/>
      </c>
      <c r="P38" s="103">
        <f>INTERBANK!D32</f>
        <v/>
      </c>
      <c r="R38" s="181" t="n">
        <v>41333</v>
      </c>
      <c r="S38" s="75">
        <f>C38-$P38</f>
        <v/>
      </c>
      <c r="T38" s="75">
        <f>D38-$P38</f>
        <v/>
      </c>
      <c r="U38" s="75">
        <f>E38-$P38</f>
        <v/>
      </c>
      <c r="V38" s="75">
        <f>F38-$P38</f>
        <v/>
      </c>
      <c r="W38" s="75">
        <f>G38-$P38</f>
        <v/>
      </c>
      <c r="X38" s="75">
        <f>H38-$P38</f>
        <v/>
      </c>
      <c r="Y38" s="75">
        <f>I38-$P38</f>
        <v/>
      </c>
      <c r="Z38" s="75">
        <f>J38-$P38</f>
        <v/>
      </c>
      <c r="AA38" s="75">
        <f>K38-$P38</f>
        <v/>
      </c>
      <c r="AB38" s="75">
        <f>L38-$P38</f>
        <v/>
      </c>
      <c r="AC38" s="75">
        <f>M38-$P38</f>
        <v/>
      </c>
      <c r="AD38" s="75">
        <f>N38-$P38</f>
        <v/>
      </c>
      <c r="AE38" s="75">
        <f>O38-$P38</f>
        <v/>
      </c>
    </row>
    <row r="39" ht="16" customHeight="1">
      <c r="B39" s="181" t="n">
        <v>41364</v>
      </c>
      <c r="C39" s="75">
        <f>AIRBUS!D34</f>
        <v/>
      </c>
      <c r="D39" s="75">
        <f>BNP!D34</f>
        <v/>
      </c>
      <c r="E39" s="75">
        <f>CAPGEMINI!D34</f>
        <v/>
      </c>
      <c r="F39" s="75">
        <f>DANONE!D34</f>
        <v/>
      </c>
      <c r="G39" s="75">
        <f>ENGIE!D34</f>
        <v/>
      </c>
      <c r="H39" s="75">
        <f>'HERMES INTL'!D34</f>
        <v/>
      </c>
      <c r="I39" s="75">
        <f>'PERNOD RICARD'!D34</f>
        <v/>
      </c>
      <c r="J39" s="75">
        <f>RENAULT!D34</f>
        <v/>
      </c>
      <c r="K39" s="75">
        <f>SANOFI!D34</f>
        <v/>
      </c>
      <c r="L39" s="75">
        <f>'SCHNEIDER ELECTRIC'!D34</f>
        <v/>
      </c>
      <c r="M39" s="75">
        <f>'TOTAL ENERGIES'!D34</f>
        <v/>
      </c>
      <c r="N39" s="75">
        <f>VINCI!D34</f>
        <v/>
      </c>
      <c r="O39" s="75">
        <f>MARKET!D34</f>
        <v/>
      </c>
      <c r="P39" s="103">
        <f>INTERBANK!D33</f>
        <v/>
      </c>
      <c r="R39" s="181" t="n">
        <v>41364</v>
      </c>
      <c r="S39" s="75">
        <f>C39-$P39</f>
        <v/>
      </c>
      <c r="T39" s="75">
        <f>D39-$P39</f>
        <v/>
      </c>
      <c r="U39" s="75">
        <f>E39-$P39</f>
        <v/>
      </c>
      <c r="V39" s="75">
        <f>F39-$P39</f>
        <v/>
      </c>
      <c r="W39" s="75">
        <f>G39-$P39</f>
        <v/>
      </c>
      <c r="X39" s="75">
        <f>H39-$P39</f>
        <v/>
      </c>
      <c r="Y39" s="75">
        <f>I39-$P39</f>
        <v/>
      </c>
      <c r="Z39" s="75">
        <f>J39-$P39</f>
        <v/>
      </c>
      <c r="AA39" s="75">
        <f>K39-$P39</f>
        <v/>
      </c>
      <c r="AB39" s="75">
        <f>L39-$P39</f>
        <v/>
      </c>
      <c r="AC39" s="75">
        <f>M39-$P39</f>
        <v/>
      </c>
      <c r="AD39" s="75">
        <f>N39-$P39</f>
        <v/>
      </c>
      <c r="AE39" s="75">
        <f>O39-$P39</f>
        <v/>
      </c>
    </row>
    <row r="40" ht="16" customHeight="1">
      <c r="B40" s="181" t="n">
        <v>41394</v>
      </c>
      <c r="C40" s="75">
        <f>AIRBUS!D35</f>
        <v/>
      </c>
      <c r="D40" s="75">
        <f>BNP!D35</f>
        <v/>
      </c>
      <c r="E40" s="75">
        <f>CAPGEMINI!D35</f>
        <v/>
      </c>
      <c r="F40" s="75">
        <f>DANONE!D35</f>
        <v/>
      </c>
      <c r="G40" s="75">
        <f>ENGIE!D35</f>
        <v/>
      </c>
      <c r="H40" s="75">
        <f>'HERMES INTL'!D35</f>
        <v/>
      </c>
      <c r="I40" s="75">
        <f>'PERNOD RICARD'!D35</f>
        <v/>
      </c>
      <c r="J40" s="75">
        <f>RENAULT!D35</f>
        <v/>
      </c>
      <c r="K40" s="75">
        <f>SANOFI!D35</f>
        <v/>
      </c>
      <c r="L40" s="75">
        <f>'SCHNEIDER ELECTRIC'!D35</f>
        <v/>
      </c>
      <c r="M40" s="75">
        <f>'TOTAL ENERGIES'!D35</f>
        <v/>
      </c>
      <c r="N40" s="75">
        <f>VINCI!D35</f>
        <v/>
      </c>
      <c r="O40" s="75">
        <f>MARKET!D35</f>
        <v/>
      </c>
      <c r="P40" s="103">
        <f>INTERBANK!D34</f>
        <v/>
      </c>
      <c r="R40" s="181" t="n">
        <v>41394</v>
      </c>
      <c r="S40" s="75">
        <f>C40-$P40</f>
        <v/>
      </c>
      <c r="T40" s="75">
        <f>D40-$P40</f>
        <v/>
      </c>
      <c r="U40" s="75">
        <f>E40-$P40</f>
        <v/>
      </c>
      <c r="V40" s="75">
        <f>F40-$P40</f>
        <v/>
      </c>
      <c r="W40" s="75">
        <f>G40-$P40</f>
        <v/>
      </c>
      <c r="X40" s="75">
        <f>H40-$P40</f>
        <v/>
      </c>
      <c r="Y40" s="75">
        <f>I40-$P40</f>
        <v/>
      </c>
      <c r="Z40" s="75">
        <f>J40-$P40</f>
        <v/>
      </c>
      <c r="AA40" s="75">
        <f>K40-$P40</f>
        <v/>
      </c>
      <c r="AB40" s="75">
        <f>L40-$P40</f>
        <v/>
      </c>
      <c r="AC40" s="75">
        <f>M40-$P40</f>
        <v/>
      </c>
      <c r="AD40" s="75">
        <f>N40-$P40</f>
        <v/>
      </c>
      <c r="AE40" s="75">
        <f>O40-$P40</f>
        <v/>
      </c>
    </row>
    <row r="41" ht="16" customHeight="1">
      <c r="B41" s="181" t="n">
        <v>41425</v>
      </c>
      <c r="C41" s="75">
        <f>AIRBUS!D36</f>
        <v/>
      </c>
      <c r="D41" s="75">
        <f>BNP!D36</f>
        <v/>
      </c>
      <c r="E41" s="75">
        <f>CAPGEMINI!D36</f>
        <v/>
      </c>
      <c r="F41" s="75">
        <f>DANONE!D36</f>
        <v/>
      </c>
      <c r="G41" s="75">
        <f>ENGIE!D36</f>
        <v/>
      </c>
      <c r="H41" s="75">
        <f>'HERMES INTL'!D36</f>
        <v/>
      </c>
      <c r="I41" s="75">
        <f>'PERNOD RICARD'!D36</f>
        <v/>
      </c>
      <c r="J41" s="75">
        <f>RENAULT!D36</f>
        <v/>
      </c>
      <c r="K41" s="75">
        <f>SANOFI!D36</f>
        <v/>
      </c>
      <c r="L41" s="75">
        <f>'SCHNEIDER ELECTRIC'!D36</f>
        <v/>
      </c>
      <c r="M41" s="75">
        <f>'TOTAL ENERGIES'!D36</f>
        <v/>
      </c>
      <c r="N41" s="75">
        <f>VINCI!D36</f>
        <v/>
      </c>
      <c r="O41" s="75">
        <f>MARKET!D36</f>
        <v/>
      </c>
      <c r="P41" s="103">
        <f>INTERBANK!D35</f>
        <v/>
      </c>
      <c r="R41" s="181" t="n">
        <v>41425</v>
      </c>
      <c r="S41" s="75">
        <f>C41-$P41</f>
        <v/>
      </c>
      <c r="T41" s="75">
        <f>D41-$P41</f>
        <v/>
      </c>
      <c r="U41" s="75">
        <f>E41-$P41</f>
        <v/>
      </c>
      <c r="V41" s="75">
        <f>F41-$P41</f>
        <v/>
      </c>
      <c r="W41" s="75">
        <f>G41-$P41</f>
        <v/>
      </c>
      <c r="X41" s="75">
        <f>H41-$P41</f>
        <v/>
      </c>
      <c r="Y41" s="75">
        <f>I41-$P41</f>
        <v/>
      </c>
      <c r="Z41" s="75">
        <f>J41-$P41</f>
        <v/>
      </c>
      <c r="AA41" s="75">
        <f>K41-$P41</f>
        <v/>
      </c>
      <c r="AB41" s="75">
        <f>L41-$P41</f>
        <v/>
      </c>
      <c r="AC41" s="75">
        <f>M41-$P41</f>
        <v/>
      </c>
      <c r="AD41" s="75">
        <f>N41-$P41</f>
        <v/>
      </c>
      <c r="AE41" s="75">
        <f>O41-$P41</f>
        <v/>
      </c>
    </row>
    <row r="42" ht="16" customHeight="1">
      <c r="B42" s="181" t="n">
        <v>41455</v>
      </c>
      <c r="C42" s="75">
        <f>AIRBUS!D37</f>
        <v/>
      </c>
      <c r="D42" s="75">
        <f>BNP!D37</f>
        <v/>
      </c>
      <c r="E42" s="75">
        <f>CAPGEMINI!D37</f>
        <v/>
      </c>
      <c r="F42" s="75">
        <f>DANONE!D37</f>
        <v/>
      </c>
      <c r="G42" s="75">
        <f>ENGIE!D37</f>
        <v/>
      </c>
      <c r="H42" s="75">
        <f>'HERMES INTL'!D37</f>
        <v/>
      </c>
      <c r="I42" s="75">
        <f>'PERNOD RICARD'!D37</f>
        <v/>
      </c>
      <c r="J42" s="75">
        <f>RENAULT!D37</f>
        <v/>
      </c>
      <c r="K42" s="75">
        <f>SANOFI!D37</f>
        <v/>
      </c>
      <c r="L42" s="75">
        <f>'SCHNEIDER ELECTRIC'!D37</f>
        <v/>
      </c>
      <c r="M42" s="75">
        <f>'TOTAL ENERGIES'!D37</f>
        <v/>
      </c>
      <c r="N42" s="75">
        <f>VINCI!D37</f>
        <v/>
      </c>
      <c r="O42" s="75">
        <f>MARKET!D37</f>
        <v/>
      </c>
      <c r="P42" s="103">
        <f>INTERBANK!D36</f>
        <v/>
      </c>
      <c r="R42" s="181" t="n">
        <v>41455</v>
      </c>
      <c r="S42" s="75">
        <f>C42-$P42</f>
        <v/>
      </c>
      <c r="T42" s="75">
        <f>D42-$P42</f>
        <v/>
      </c>
      <c r="U42" s="75">
        <f>E42-$P42</f>
        <v/>
      </c>
      <c r="V42" s="75">
        <f>F42-$P42</f>
        <v/>
      </c>
      <c r="W42" s="75">
        <f>G42-$P42</f>
        <v/>
      </c>
      <c r="X42" s="75">
        <f>H42-$P42</f>
        <v/>
      </c>
      <c r="Y42" s="75">
        <f>I42-$P42</f>
        <v/>
      </c>
      <c r="Z42" s="75">
        <f>J42-$P42</f>
        <v/>
      </c>
      <c r="AA42" s="75">
        <f>K42-$P42</f>
        <v/>
      </c>
      <c r="AB42" s="75">
        <f>L42-$P42</f>
        <v/>
      </c>
      <c r="AC42" s="75">
        <f>M42-$P42</f>
        <v/>
      </c>
      <c r="AD42" s="75">
        <f>N42-$P42</f>
        <v/>
      </c>
      <c r="AE42" s="75">
        <f>O42-$P42</f>
        <v/>
      </c>
    </row>
    <row r="43" ht="16" customHeight="1">
      <c r="B43" s="181" t="n">
        <v>41486</v>
      </c>
      <c r="C43" s="75">
        <f>AIRBUS!D38</f>
        <v/>
      </c>
      <c r="D43" s="75">
        <f>BNP!D38</f>
        <v/>
      </c>
      <c r="E43" s="75">
        <f>CAPGEMINI!D38</f>
        <v/>
      </c>
      <c r="F43" s="75">
        <f>DANONE!D38</f>
        <v/>
      </c>
      <c r="G43" s="75">
        <f>ENGIE!D38</f>
        <v/>
      </c>
      <c r="H43" s="75">
        <f>'HERMES INTL'!D38</f>
        <v/>
      </c>
      <c r="I43" s="75">
        <f>'PERNOD RICARD'!D38</f>
        <v/>
      </c>
      <c r="J43" s="75">
        <f>RENAULT!D38</f>
        <v/>
      </c>
      <c r="K43" s="75">
        <f>SANOFI!D38</f>
        <v/>
      </c>
      <c r="L43" s="75">
        <f>'SCHNEIDER ELECTRIC'!D38</f>
        <v/>
      </c>
      <c r="M43" s="75">
        <f>'TOTAL ENERGIES'!D38</f>
        <v/>
      </c>
      <c r="N43" s="75">
        <f>VINCI!D38</f>
        <v/>
      </c>
      <c r="O43" s="75">
        <f>MARKET!D38</f>
        <v/>
      </c>
      <c r="P43" s="103">
        <f>INTERBANK!D37</f>
        <v/>
      </c>
      <c r="R43" s="181" t="n">
        <v>41486</v>
      </c>
      <c r="S43" s="75">
        <f>C43-$P43</f>
        <v/>
      </c>
      <c r="T43" s="75">
        <f>D43-$P43</f>
        <v/>
      </c>
      <c r="U43" s="75">
        <f>E43-$P43</f>
        <v/>
      </c>
      <c r="V43" s="75">
        <f>F43-$P43</f>
        <v/>
      </c>
      <c r="W43" s="75">
        <f>G43-$P43</f>
        <v/>
      </c>
      <c r="X43" s="75">
        <f>H43-$P43</f>
        <v/>
      </c>
      <c r="Y43" s="75">
        <f>I43-$P43</f>
        <v/>
      </c>
      <c r="Z43" s="75">
        <f>J43-$P43</f>
        <v/>
      </c>
      <c r="AA43" s="75">
        <f>K43-$P43</f>
        <v/>
      </c>
      <c r="AB43" s="75">
        <f>L43-$P43</f>
        <v/>
      </c>
      <c r="AC43" s="75">
        <f>M43-$P43</f>
        <v/>
      </c>
      <c r="AD43" s="75">
        <f>N43-$P43</f>
        <v/>
      </c>
      <c r="AE43" s="75">
        <f>O43-$P43</f>
        <v/>
      </c>
    </row>
    <row r="44" ht="16" customHeight="1">
      <c r="B44" s="181" t="n">
        <v>41517</v>
      </c>
      <c r="C44" s="75">
        <f>AIRBUS!D39</f>
        <v/>
      </c>
      <c r="D44" s="75">
        <f>BNP!D39</f>
        <v/>
      </c>
      <c r="E44" s="75">
        <f>CAPGEMINI!D39</f>
        <v/>
      </c>
      <c r="F44" s="75">
        <f>DANONE!D39</f>
        <v/>
      </c>
      <c r="G44" s="75">
        <f>ENGIE!D39</f>
        <v/>
      </c>
      <c r="H44" s="75">
        <f>'HERMES INTL'!D39</f>
        <v/>
      </c>
      <c r="I44" s="75">
        <f>'PERNOD RICARD'!D39</f>
        <v/>
      </c>
      <c r="J44" s="75">
        <f>RENAULT!D39</f>
        <v/>
      </c>
      <c r="K44" s="75">
        <f>SANOFI!D39</f>
        <v/>
      </c>
      <c r="L44" s="75">
        <f>'SCHNEIDER ELECTRIC'!D39</f>
        <v/>
      </c>
      <c r="M44" s="75">
        <f>'TOTAL ENERGIES'!D39</f>
        <v/>
      </c>
      <c r="N44" s="75">
        <f>VINCI!D39</f>
        <v/>
      </c>
      <c r="O44" s="75">
        <f>MARKET!D39</f>
        <v/>
      </c>
      <c r="P44" s="103">
        <f>INTERBANK!D38</f>
        <v/>
      </c>
      <c r="R44" s="181" t="n">
        <v>41517</v>
      </c>
      <c r="S44" s="75">
        <f>C44-$P44</f>
        <v/>
      </c>
      <c r="T44" s="75">
        <f>D44-$P44</f>
        <v/>
      </c>
      <c r="U44" s="75">
        <f>E44-$P44</f>
        <v/>
      </c>
      <c r="V44" s="75">
        <f>F44-$P44</f>
        <v/>
      </c>
      <c r="W44" s="75">
        <f>G44-$P44</f>
        <v/>
      </c>
      <c r="X44" s="75">
        <f>H44-$P44</f>
        <v/>
      </c>
      <c r="Y44" s="75">
        <f>I44-$P44</f>
        <v/>
      </c>
      <c r="Z44" s="75">
        <f>J44-$P44</f>
        <v/>
      </c>
      <c r="AA44" s="75">
        <f>K44-$P44</f>
        <v/>
      </c>
      <c r="AB44" s="75">
        <f>L44-$P44</f>
        <v/>
      </c>
      <c r="AC44" s="75">
        <f>M44-$P44</f>
        <v/>
      </c>
      <c r="AD44" s="75">
        <f>N44-$P44</f>
        <v/>
      </c>
      <c r="AE44" s="75">
        <f>O44-$P44</f>
        <v/>
      </c>
    </row>
    <row r="45" ht="16" customHeight="1">
      <c r="B45" s="181" t="n">
        <v>41547</v>
      </c>
      <c r="C45" s="75">
        <f>AIRBUS!D40</f>
        <v/>
      </c>
      <c r="D45" s="75">
        <f>BNP!D40</f>
        <v/>
      </c>
      <c r="E45" s="75">
        <f>CAPGEMINI!D40</f>
        <v/>
      </c>
      <c r="F45" s="75">
        <f>DANONE!D40</f>
        <v/>
      </c>
      <c r="G45" s="75">
        <f>ENGIE!D40</f>
        <v/>
      </c>
      <c r="H45" s="75">
        <f>'HERMES INTL'!D40</f>
        <v/>
      </c>
      <c r="I45" s="75">
        <f>'PERNOD RICARD'!D40</f>
        <v/>
      </c>
      <c r="J45" s="75">
        <f>RENAULT!D40</f>
        <v/>
      </c>
      <c r="K45" s="75">
        <f>SANOFI!D40</f>
        <v/>
      </c>
      <c r="L45" s="75">
        <f>'SCHNEIDER ELECTRIC'!D40</f>
        <v/>
      </c>
      <c r="M45" s="75">
        <f>'TOTAL ENERGIES'!D40</f>
        <v/>
      </c>
      <c r="N45" s="75">
        <f>VINCI!D40</f>
        <v/>
      </c>
      <c r="O45" s="75">
        <f>MARKET!D40</f>
        <v/>
      </c>
      <c r="P45" s="103">
        <f>INTERBANK!D39</f>
        <v/>
      </c>
      <c r="R45" s="181" t="n">
        <v>41547</v>
      </c>
      <c r="S45" s="75">
        <f>C45-$P45</f>
        <v/>
      </c>
      <c r="T45" s="75">
        <f>D45-$P45</f>
        <v/>
      </c>
      <c r="U45" s="75">
        <f>E45-$P45</f>
        <v/>
      </c>
      <c r="V45" s="75">
        <f>F45-$P45</f>
        <v/>
      </c>
      <c r="W45" s="75">
        <f>G45-$P45</f>
        <v/>
      </c>
      <c r="X45" s="75">
        <f>H45-$P45</f>
        <v/>
      </c>
      <c r="Y45" s="75">
        <f>I45-$P45</f>
        <v/>
      </c>
      <c r="Z45" s="75">
        <f>J45-$P45</f>
        <v/>
      </c>
      <c r="AA45" s="75">
        <f>K45-$P45</f>
        <v/>
      </c>
      <c r="AB45" s="75">
        <f>L45-$P45</f>
        <v/>
      </c>
      <c r="AC45" s="75">
        <f>M45-$P45</f>
        <v/>
      </c>
      <c r="AD45" s="75">
        <f>N45-$P45</f>
        <v/>
      </c>
      <c r="AE45" s="75">
        <f>O45-$P45</f>
        <v/>
      </c>
    </row>
    <row r="46" ht="16" customHeight="1">
      <c r="B46" s="181" t="n">
        <v>41578</v>
      </c>
      <c r="C46" s="75">
        <f>AIRBUS!D41</f>
        <v/>
      </c>
      <c r="D46" s="75">
        <f>BNP!D41</f>
        <v/>
      </c>
      <c r="E46" s="75">
        <f>CAPGEMINI!D41</f>
        <v/>
      </c>
      <c r="F46" s="75">
        <f>DANONE!D41</f>
        <v/>
      </c>
      <c r="G46" s="75">
        <f>ENGIE!D41</f>
        <v/>
      </c>
      <c r="H46" s="75">
        <f>'HERMES INTL'!D41</f>
        <v/>
      </c>
      <c r="I46" s="75">
        <f>'PERNOD RICARD'!D41</f>
        <v/>
      </c>
      <c r="J46" s="75">
        <f>RENAULT!D41</f>
        <v/>
      </c>
      <c r="K46" s="75">
        <f>SANOFI!D41</f>
        <v/>
      </c>
      <c r="L46" s="75">
        <f>'SCHNEIDER ELECTRIC'!D41</f>
        <v/>
      </c>
      <c r="M46" s="75">
        <f>'TOTAL ENERGIES'!D41</f>
        <v/>
      </c>
      <c r="N46" s="75">
        <f>VINCI!D41</f>
        <v/>
      </c>
      <c r="O46" s="75">
        <f>MARKET!D41</f>
        <v/>
      </c>
      <c r="P46" s="103">
        <f>INTERBANK!D40</f>
        <v/>
      </c>
      <c r="R46" s="181" t="n">
        <v>41578</v>
      </c>
      <c r="S46" s="75">
        <f>C46-$P46</f>
        <v/>
      </c>
      <c r="T46" s="75">
        <f>D46-$P46</f>
        <v/>
      </c>
      <c r="U46" s="75">
        <f>E46-$P46</f>
        <v/>
      </c>
      <c r="V46" s="75">
        <f>F46-$P46</f>
        <v/>
      </c>
      <c r="W46" s="75">
        <f>G46-$P46</f>
        <v/>
      </c>
      <c r="X46" s="75">
        <f>H46-$P46</f>
        <v/>
      </c>
      <c r="Y46" s="75">
        <f>I46-$P46</f>
        <v/>
      </c>
      <c r="Z46" s="75">
        <f>J46-$P46</f>
        <v/>
      </c>
      <c r="AA46" s="75">
        <f>K46-$P46</f>
        <v/>
      </c>
      <c r="AB46" s="75">
        <f>L46-$P46</f>
        <v/>
      </c>
      <c r="AC46" s="75">
        <f>M46-$P46</f>
        <v/>
      </c>
      <c r="AD46" s="75">
        <f>N46-$P46</f>
        <v/>
      </c>
      <c r="AE46" s="75">
        <f>O46-$P46</f>
        <v/>
      </c>
    </row>
    <row r="47" ht="16" customHeight="1">
      <c r="B47" s="181" t="n">
        <v>41608</v>
      </c>
      <c r="C47" s="75">
        <f>AIRBUS!D42</f>
        <v/>
      </c>
      <c r="D47" s="75">
        <f>BNP!D42</f>
        <v/>
      </c>
      <c r="E47" s="75">
        <f>CAPGEMINI!D42</f>
        <v/>
      </c>
      <c r="F47" s="75">
        <f>DANONE!D42</f>
        <v/>
      </c>
      <c r="G47" s="75">
        <f>ENGIE!D42</f>
        <v/>
      </c>
      <c r="H47" s="75">
        <f>'HERMES INTL'!D42</f>
        <v/>
      </c>
      <c r="I47" s="75">
        <f>'PERNOD RICARD'!D42</f>
        <v/>
      </c>
      <c r="J47" s="75">
        <f>RENAULT!D42</f>
        <v/>
      </c>
      <c r="K47" s="75">
        <f>SANOFI!D42</f>
        <v/>
      </c>
      <c r="L47" s="75">
        <f>'SCHNEIDER ELECTRIC'!D42</f>
        <v/>
      </c>
      <c r="M47" s="75">
        <f>'TOTAL ENERGIES'!D42</f>
        <v/>
      </c>
      <c r="N47" s="75">
        <f>VINCI!D42</f>
        <v/>
      </c>
      <c r="O47" s="75">
        <f>MARKET!D42</f>
        <v/>
      </c>
      <c r="P47" s="103">
        <f>INTERBANK!D41</f>
        <v/>
      </c>
      <c r="R47" s="181" t="n">
        <v>41608</v>
      </c>
      <c r="S47" s="75">
        <f>C47-$P47</f>
        <v/>
      </c>
      <c r="T47" s="75">
        <f>D47-$P47</f>
        <v/>
      </c>
      <c r="U47" s="75">
        <f>E47-$P47</f>
        <v/>
      </c>
      <c r="V47" s="75">
        <f>F47-$P47</f>
        <v/>
      </c>
      <c r="W47" s="75">
        <f>G47-$P47</f>
        <v/>
      </c>
      <c r="X47" s="75">
        <f>H47-$P47</f>
        <v/>
      </c>
      <c r="Y47" s="75">
        <f>I47-$P47</f>
        <v/>
      </c>
      <c r="Z47" s="75">
        <f>J47-$P47</f>
        <v/>
      </c>
      <c r="AA47" s="75">
        <f>K47-$P47</f>
        <v/>
      </c>
      <c r="AB47" s="75">
        <f>L47-$P47</f>
        <v/>
      </c>
      <c r="AC47" s="75">
        <f>M47-$P47</f>
        <v/>
      </c>
      <c r="AD47" s="75">
        <f>N47-$P47</f>
        <v/>
      </c>
      <c r="AE47" s="75">
        <f>O47-$P47</f>
        <v/>
      </c>
    </row>
    <row r="48" ht="16" customHeight="1">
      <c r="B48" s="181" t="n">
        <v>41639</v>
      </c>
      <c r="C48" s="75">
        <f>AIRBUS!D43</f>
        <v/>
      </c>
      <c r="D48" s="75">
        <f>BNP!D43</f>
        <v/>
      </c>
      <c r="E48" s="75">
        <f>CAPGEMINI!D43</f>
        <v/>
      </c>
      <c r="F48" s="75">
        <f>DANONE!D43</f>
        <v/>
      </c>
      <c r="G48" s="75">
        <f>ENGIE!D43</f>
        <v/>
      </c>
      <c r="H48" s="75">
        <f>'HERMES INTL'!D43</f>
        <v/>
      </c>
      <c r="I48" s="75">
        <f>'PERNOD RICARD'!D43</f>
        <v/>
      </c>
      <c r="J48" s="75">
        <f>RENAULT!D43</f>
        <v/>
      </c>
      <c r="K48" s="75">
        <f>SANOFI!D43</f>
        <v/>
      </c>
      <c r="L48" s="75">
        <f>'SCHNEIDER ELECTRIC'!D43</f>
        <v/>
      </c>
      <c r="M48" s="75">
        <f>'TOTAL ENERGIES'!D43</f>
        <v/>
      </c>
      <c r="N48" s="75">
        <f>VINCI!D43</f>
        <v/>
      </c>
      <c r="O48" s="75">
        <f>MARKET!D43</f>
        <v/>
      </c>
      <c r="P48" s="103">
        <f>INTERBANK!D42</f>
        <v/>
      </c>
      <c r="R48" s="181" t="n">
        <v>41639</v>
      </c>
      <c r="S48" s="75">
        <f>C48-$P48</f>
        <v/>
      </c>
      <c r="T48" s="75">
        <f>D48-$P48</f>
        <v/>
      </c>
      <c r="U48" s="75">
        <f>E48-$P48</f>
        <v/>
      </c>
      <c r="V48" s="75">
        <f>F48-$P48</f>
        <v/>
      </c>
      <c r="W48" s="75">
        <f>G48-$P48</f>
        <v/>
      </c>
      <c r="X48" s="75">
        <f>H48-$P48</f>
        <v/>
      </c>
      <c r="Y48" s="75">
        <f>I48-$P48</f>
        <v/>
      </c>
      <c r="Z48" s="75">
        <f>J48-$P48</f>
        <v/>
      </c>
      <c r="AA48" s="75">
        <f>K48-$P48</f>
        <v/>
      </c>
      <c r="AB48" s="75">
        <f>L48-$P48</f>
        <v/>
      </c>
      <c r="AC48" s="75">
        <f>M48-$P48</f>
        <v/>
      </c>
      <c r="AD48" s="75">
        <f>N48-$P48</f>
        <v/>
      </c>
      <c r="AE48" s="75">
        <f>O48-$P48</f>
        <v/>
      </c>
    </row>
    <row r="49" ht="16" customHeight="1">
      <c r="B49" s="181" t="n">
        <v>41670</v>
      </c>
      <c r="C49" s="75">
        <f>AIRBUS!D44</f>
        <v/>
      </c>
      <c r="D49" s="75">
        <f>BNP!D44</f>
        <v/>
      </c>
      <c r="E49" s="75">
        <f>CAPGEMINI!D44</f>
        <v/>
      </c>
      <c r="F49" s="75">
        <f>DANONE!D44</f>
        <v/>
      </c>
      <c r="G49" s="75">
        <f>ENGIE!D44</f>
        <v/>
      </c>
      <c r="H49" s="75">
        <f>'HERMES INTL'!D44</f>
        <v/>
      </c>
      <c r="I49" s="75">
        <f>'PERNOD RICARD'!D44</f>
        <v/>
      </c>
      <c r="J49" s="75">
        <f>RENAULT!D44</f>
        <v/>
      </c>
      <c r="K49" s="75">
        <f>SANOFI!D44</f>
        <v/>
      </c>
      <c r="L49" s="75">
        <f>'SCHNEIDER ELECTRIC'!D44</f>
        <v/>
      </c>
      <c r="M49" s="75">
        <f>'TOTAL ENERGIES'!D44</f>
        <v/>
      </c>
      <c r="N49" s="75">
        <f>VINCI!D44</f>
        <v/>
      </c>
      <c r="O49" s="75">
        <f>MARKET!D44</f>
        <v/>
      </c>
      <c r="P49" s="103">
        <f>INTERBANK!D43</f>
        <v/>
      </c>
      <c r="R49" s="181" t="n">
        <v>41670</v>
      </c>
      <c r="S49" s="75">
        <f>C49-$P49</f>
        <v/>
      </c>
      <c r="T49" s="75">
        <f>D49-$P49</f>
        <v/>
      </c>
      <c r="U49" s="75">
        <f>E49-$P49</f>
        <v/>
      </c>
      <c r="V49" s="75">
        <f>F49-$P49</f>
        <v/>
      </c>
      <c r="W49" s="75">
        <f>G49-$P49</f>
        <v/>
      </c>
      <c r="X49" s="75">
        <f>H49-$P49</f>
        <v/>
      </c>
      <c r="Y49" s="75">
        <f>I49-$P49</f>
        <v/>
      </c>
      <c r="Z49" s="75">
        <f>J49-$P49</f>
        <v/>
      </c>
      <c r="AA49" s="75">
        <f>K49-$P49</f>
        <v/>
      </c>
      <c r="AB49" s="75">
        <f>L49-$P49</f>
        <v/>
      </c>
      <c r="AC49" s="75">
        <f>M49-$P49</f>
        <v/>
      </c>
      <c r="AD49" s="75">
        <f>N49-$P49</f>
        <v/>
      </c>
      <c r="AE49" s="75">
        <f>O49-$P49</f>
        <v/>
      </c>
    </row>
    <row r="50" ht="16" customHeight="1">
      <c r="B50" s="181" t="n">
        <v>41698</v>
      </c>
      <c r="C50" s="75">
        <f>AIRBUS!D45</f>
        <v/>
      </c>
      <c r="D50" s="75">
        <f>BNP!D45</f>
        <v/>
      </c>
      <c r="E50" s="75">
        <f>CAPGEMINI!D45</f>
        <v/>
      </c>
      <c r="F50" s="75">
        <f>DANONE!D45</f>
        <v/>
      </c>
      <c r="G50" s="75">
        <f>ENGIE!D45</f>
        <v/>
      </c>
      <c r="H50" s="75">
        <f>'HERMES INTL'!D45</f>
        <v/>
      </c>
      <c r="I50" s="75">
        <f>'PERNOD RICARD'!D45</f>
        <v/>
      </c>
      <c r="J50" s="75">
        <f>RENAULT!D45</f>
        <v/>
      </c>
      <c r="K50" s="75">
        <f>SANOFI!D45</f>
        <v/>
      </c>
      <c r="L50" s="75">
        <f>'SCHNEIDER ELECTRIC'!D45</f>
        <v/>
      </c>
      <c r="M50" s="75">
        <f>'TOTAL ENERGIES'!D45</f>
        <v/>
      </c>
      <c r="N50" s="75">
        <f>VINCI!D45</f>
        <v/>
      </c>
      <c r="O50" s="75">
        <f>MARKET!D45</f>
        <v/>
      </c>
      <c r="P50" s="103">
        <f>INTERBANK!D44</f>
        <v/>
      </c>
      <c r="R50" s="181" t="n">
        <v>41698</v>
      </c>
      <c r="S50" s="75">
        <f>C50-$P50</f>
        <v/>
      </c>
      <c r="T50" s="75">
        <f>D50-$P50</f>
        <v/>
      </c>
      <c r="U50" s="75">
        <f>E50-$P50</f>
        <v/>
      </c>
      <c r="V50" s="75">
        <f>F50-$P50</f>
        <v/>
      </c>
      <c r="W50" s="75">
        <f>G50-$P50</f>
        <v/>
      </c>
      <c r="X50" s="75">
        <f>H50-$P50</f>
        <v/>
      </c>
      <c r="Y50" s="75">
        <f>I50-$P50</f>
        <v/>
      </c>
      <c r="Z50" s="75">
        <f>J50-$P50</f>
        <v/>
      </c>
      <c r="AA50" s="75">
        <f>K50-$P50</f>
        <v/>
      </c>
      <c r="AB50" s="75">
        <f>L50-$P50</f>
        <v/>
      </c>
      <c r="AC50" s="75">
        <f>M50-$P50</f>
        <v/>
      </c>
      <c r="AD50" s="75">
        <f>N50-$P50</f>
        <v/>
      </c>
      <c r="AE50" s="75">
        <f>O50-$P50</f>
        <v/>
      </c>
    </row>
    <row r="51" ht="16" customHeight="1">
      <c r="B51" s="181" t="n">
        <v>41729</v>
      </c>
      <c r="C51" s="75">
        <f>AIRBUS!D46</f>
        <v/>
      </c>
      <c r="D51" s="75">
        <f>BNP!D46</f>
        <v/>
      </c>
      <c r="E51" s="75">
        <f>CAPGEMINI!D46</f>
        <v/>
      </c>
      <c r="F51" s="75">
        <f>DANONE!D46</f>
        <v/>
      </c>
      <c r="G51" s="75">
        <f>ENGIE!D46</f>
        <v/>
      </c>
      <c r="H51" s="75">
        <f>'HERMES INTL'!D46</f>
        <v/>
      </c>
      <c r="I51" s="75">
        <f>'PERNOD RICARD'!D46</f>
        <v/>
      </c>
      <c r="J51" s="75">
        <f>RENAULT!D46</f>
        <v/>
      </c>
      <c r="K51" s="75">
        <f>SANOFI!D46</f>
        <v/>
      </c>
      <c r="L51" s="75">
        <f>'SCHNEIDER ELECTRIC'!D46</f>
        <v/>
      </c>
      <c r="M51" s="75">
        <f>'TOTAL ENERGIES'!D46</f>
        <v/>
      </c>
      <c r="N51" s="75">
        <f>VINCI!D46</f>
        <v/>
      </c>
      <c r="O51" s="75">
        <f>MARKET!D46</f>
        <v/>
      </c>
      <c r="P51" s="103">
        <f>INTERBANK!D45</f>
        <v/>
      </c>
      <c r="R51" s="181" t="n">
        <v>41729</v>
      </c>
      <c r="S51" s="75">
        <f>C51-$P51</f>
        <v/>
      </c>
      <c r="T51" s="75">
        <f>D51-$P51</f>
        <v/>
      </c>
      <c r="U51" s="75">
        <f>E51-$P51</f>
        <v/>
      </c>
      <c r="V51" s="75">
        <f>F51-$P51</f>
        <v/>
      </c>
      <c r="W51" s="75">
        <f>G51-$P51</f>
        <v/>
      </c>
      <c r="X51" s="75">
        <f>H51-$P51</f>
        <v/>
      </c>
      <c r="Y51" s="75">
        <f>I51-$P51</f>
        <v/>
      </c>
      <c r="Z51" s="75">
        <f>J51-$P51</f>
        <v/>
      </c>
      <c r="AA51" s="75">
        <f>K51-$P51</f>
        <v/>
      </c>
      <c r="AB51" s="75">
        <f>L51-$P51</f>
        <v/>
      </c>
      <c r="AC51" s="75">
        <f>M51-$P51</f>
        <v/>
      </c>
      <c r="AD51" s="75">
        <f>N51-$P51</f>
        <v/>
      </c>
      <c r="AE51" s="75">
        <f>O51-$P51</f>
        <v/>
      </c>
    </row>
    <row r="52" ht="16" customHeight="1">
      <c r="B52" s="181" t="n">
        <v>41759</v>
      </c>
      <c r="C52" s="75">
        <f>AIRBUS!D47</f>
        <v/>
      </c>
      <c r="D52" s="75">
        <f>BNP!D47</f>
        <v/>
      </c>
      <c r="E52" s="75">
        <f>CAPGEMINI!D47</f>
        <v/>
      </c>
      <c r="F52" s="75">
        <f>DANONE!D47</f>
        <v/>
      </c>
      <c r="G52" s="75">
        <f>ENGIE!D47</f>
        <v/>
      </c>
      <c r="H52" s="75">
        <f>'HERMES INTL'!D47</f>
        <v/>
      </c>
      <c r="I52" s="75">
        <f>'PERNOD RICARD'!D47</f>
        <v/>
      </c>
      <c r="J52" s="75">
        <f>RENAULT!D47</f>
        <v/>
      </c>
      <c r="K52" s="75">
        <f>SANOFI!D47</f>
        <v/>
      </c>
      <c r="L52" s="75">
        <f>'SCHNEIDER ELECTRIC'!D47</f>
        <v/>
      </c>
      <c r="M52" s="75">
        <f>'TOTAL ENERGIES'!D47</f>
        <v/>
      </c>
      <c r="N52" s="75">
        <f>VINCI!D47</f>
        <v/>
      </c>
      <c r="O52" s="75">
        <f>MARKET!D47</f>
        <v/>
      </c>
      <c r="P52" s="103">
        <f>INTERBANK!D46</f>
        <v/>
      </c>
      <c r="R52" s="181" t="n">
        <v>41759</v>
      </c>
      <c r="S52" s="75">
        <f>C52-$P52</f>
        <v/>
      </c>
      <c r="T52" s="75">
        <f>D52-$P52</f>
        <v/>
      </c>
      <c r="U52" s="75">
        <f>E52-$P52</f>
        <v/>
      </c>
      <c r="V52" s="75">
        <f>F52-$P52</f>
        <v/>
      </c>
      <c r="W52" s="75">
        <f>G52-$P52</f>
        <v/>
      </c>
      <c r="X52" s="75">
        <f>H52-$P52</f>
        <v/>
      </c>
      <c r="Y52" s="75">
        <f>I52-$P52</f>
        <v/>
      </c>
      <c r="Z52" s="75">
        <f>J52-$P52</f>
        <v/>
      </c>
      <c r="AA52" s="75">
        <f>K52-$P52</f>
        <v/>
      </c>
      <c r="AB52" s="75">
        <f>L52-$P52</f>
        <v/>
      </c>
      <c r="AC52" s="75">
        <f>M52-$P52</f>
        <v/>
      </c>
      <c r="AD52" s="75">
        <f>N52-$P52</f>
        <v/>
      </c>
      <c r="AE52" s="75">
        <f>O52-$P52</f>
        <v/>
      </c>
    </row>
    <row r="53" ht="16" customHeight="1">
      <c r="B53" s="181" t="n">
        <v>41790</v>
      </c>
      <c r="C53" s="75">
        <f>AIRBUS!D48</f>
        <v/>
      </c>
      <c r="D53" s="75">
        <f>BNP!D48</f>
        <v/>
      </c>
      <c r="E53" s="75">
        <f>CAPGEMINI!D48</f>
        <v/>
      </c>
      <c r="F53" s="75">
        <f>DANONE!D48</f>
        <v/>
      </c>
      <c r="G53" s="75">
        <f>ENGIE!D48</f>
        <v/>
      </c>
      <c r="H53" s="75">
        <f>'HERMES INTL'!D48</f>
        <v/>
      </c>
      <c r="I53" s="75">
        <f>'PERNOD RICARD'!D48</f>
        <v/>
      </c>
      <c r="J53" s="75">
        <f>RENAULT!D48</f>
        <v/>
      </c>
      <c r="K53" s="75">
        <f>SANOFI!D48</f>
        <v/>
      </c>
      <c r="L53" s="75">
        <f>'SCHNEIDER ELECTRIC'!D48</f>
        <v/>
      </c>
      <c r="M53" s="75">
        <f>'TOTAL ENERGIES'!D48</f>
        <v/>
      </c>
      <c r="N53" s="75">
        <f>VINCI!D48</f>
        <v/>
      </c>
      <c r="O53" s="75">
        <f>MARKET!D48</f>
        <v/>
      </c>
      <c r="P53" s="103">
        <f>INTERBANK!D47</f>
        <v/>
      </c>
      <c r="R53" s="181" t="n">
        <v>41790</v>
      </c>
      <c r="S53" s="75">
        <f>C53-$P53</f>
        <v/>
      </c>
      <c r="T53" s="75">
        <f>D53-$P53</f>
        <v/>
      </c>
      <c r="U53" s="75">
        <f>E53-$P53</f>
        <v/>
      </c>
      <c r="V53" s="75">
        <f>F53-$P53</f>
        <v/>
      </c>
      <c r="W53" s="75">
        <f>G53-$P53</f>
        <v/>
      </c>
      <c r="X53" s="75">
        <f>H53-$P53</f>
        <v/>
      </c>
      <c r="Y53" s="75">
        <f>I53-$P53</f>
        <v/>
      </c>
      <c r="Z53" s="75">
        <f>J53-$P53</f>
        <v/>
      </c>
      <c r="AA53" s="75">
        <f>K53-$P53</f>
        <v/>
      </c>
      <c r="AB53" s="75">
        <f>L53-$P53</f>
        <v/>
      </c>
      <c r="AC53" s="75">
        <f>M53-$P53</f>
        <v/>
      </c>
      <c r="AD53" s="75">
        <f>N53-$P53</f>
        <v/>
      </c>
      <c r="AE53" s="75">
        <f>O53-$P53</f>
        <v/>
      </c>
    </row>
    <row r="54" ht="16" customHeight="1">
      <c r="B54" s="181" t="n">
        <v>41820</v>
      </c>
      <c r="C54" s="75">
        <f>AIRBUS!D49</f>
        <v/>
      </c>
      <c r="D54" s="75">
        <f>BNP!D49</f>
        <v/>
      </c>
      <c r="E54" s="75">
        <f>CAPGEMINI!D49</f>
        <v/>
      </c>
      <c r="F54" s="75">
        <f>DANONE!D49</f>
        <v/>
      </c>
      <c r="G54" s="75">
        <f>ENGIE!D49</f>
        <v/>
      </c>
      <c r="H54" s="75">
        <f>'HERMES INTL'!D49</f>
        <v/>
      </c>
      <c r="I54" s="75">
        <f>'PERNOD RICARD'!D49</f>
        <v/>
      </c>
      <c r="J54" s="75">
        <f>RENAULT!D49</f>
        <v/>
      </c>
      <c r="K54" s="75">
        <f>SANOFI!D49</f>
        <v/>
      </c>
      <c r="L54" s="75">
        <f>'SCHNEIDER ELECTRIC'!D49</f>
        <v/>
      </c>
      <c r="M54" s="75">
        <f>'TOTAL ENERGIES'!D49</f>
        <v/>
      </c>
      <c r="N54" s="75">
        <f>VINCI!D49</f>
        <v/>
      </c>
      <c r="O54" s="75">
        <f>MARKET!D49</f>
        <v/>
      </c>
      <c r="P54" s="103">
        <f>INTERBANK!D48</f>
        <v/>
      </c>
      <c r="R54" s="181" t="n">
        <v>41820</v>
      </c>
      <c r="S54" s="75">
        <f>C54-$P54</f>
        <v/>
      </c>
      <c r="T54" s="75">
        <f>D54-$P54</f>
        <v/>
      </c>
      <c r="U54" s="75">
        <f>E54-$P54</f>
        <v/>
      </c>
      <c r="V54" s="75">
        <f>F54-$P54</f>
        <v/>
      </c>
      <c r="W54" s="75">
        <f>G54-$P54</f>
        <v/>
      </c>
      <c r="X54" s="75">
        <f>H54-$P54</f>
        <v/>
      </c>
      <c r="Y54" s="75">
        <f>I54-$P54</f>
        <v/>
      </c>
      <c r="Z54" s="75">
        <f>J54-$P54</f>
        <v/>
      </c>
      <c r="AA54" s="75">
        <f>K54-$P54</f>
        <v/>
      </c>
      <c r="AB54" s="75">
        <f>L54-$P54</f>
        <v/>
      </c>
      <c r="AC54" s="75">
        <f>M54-$P54</f>
        <v/>
      </c>
      <c r="AD54" s="75">
        <f>N54-$P54</f>
        <v/>
      </c>
      <c r="AE54" s="75">
        <f>O54-$P54</f>
        <v/>
      </c>
    </row>
    <row r="55" ht="16" customHeight="1">
      <c r="B55" s="181" t="n">
        <v>41851</v>
      </c>
      <c r="C55" s="75">
        <f>AIRBUS!D50</f>
        <v/>
      </c>
      <c r="D55" s="75">
        <f>BNP!D50</f>
        <v/>
      </c>
      <c r="E55" s="75">
        <f>CAPGEMINI!D50</f>
        <v/>
      </c>
      <c r="F55" s="75">
        <f>DANONE!D50</f>
        <v/>
      </c>
      <c r="G55" s="75">
        <f>ENGIE!D50</f>
        <v/>
      </c>
      <c r="H55" s="75">
        <f>'HERMES INTL'!D50</f>
        <v/>
      </c>
      <c r="I55" s="75">
        <f>'PERNOD RICARD'!D50</f>
        <v/>
      </c>
      <c r="J55" s="75">
        <f>RENAULT!D50</f>
        <v/>
      </c>
      <c r="K55" s="75">
        <f>SANOFI!D50</f>
        <v/>
      </c>
      <c r="L55" s="75">
        <f>'SCHNEIDER ELECTRIC'!D50</f>
        <v/>
      </c>
      <c r="M55" s="75">
        <f>'TOTAL ENERGIES'!D50</f>
        <v/>
      </c>
      <c r="N55" s="75">
        <f>VINCI!D50</f>
        <v/>
      </c>
      <c r="O55" s="75">
        <f>MARKET!D50</f>
        <v/>
      </c>
      <c r="P55" s="103">
        <f>INTERBANK!D49</f>
        <v/>
      </c>
      <c r="R55" s="181" t="n">
        <v>41851</v>
      </c>
      <c r="S55" s="75">
        <f>C55-$P55</f>
        <v/>
      </c>
      <c r="T55" s="75">
        <f>D55-$P55</f>
        <v/>
      </c>
      <c r="U55" s="75">
        <f>E55-$P55</f>
        <v/>
      </c>
      <c r="V55" s="75">
        <f>F55-$P55</f>
        <v/>
      </c>
      <c r="W55" s="75">
        <f>G55-$P55</f>
        <v/>
      </c>
      <c r="X55" s="75">
        <f>H55-$P55</f>
        <v/>
      </c>
      <c r="Y55" s="75">
        <f>I55-$P55</f>
        <v/>
      </c>
      <c r="Z55" s="75">
        <f>J55-$P55</f>
        <v/>
      </c>
      <c r="AA55" s="75">
        <f>K55-$P55</f>
        <v/>
      </c>
      <c r="AB55" s="75">
        <f>L55-$P55</f>
        <v/>
      </c>
      <c r="AC55" s="75">
        <f>M55-$P55</f>
        <v/>
      </c>
      <c r="AD55" s="75">
        <f>N55-$P55</f>
        <v/>
      </c>
      <c r="AE55" s="75">
        <f>O55-$P55</f>
        <v/>
      </c>
    </row>
    <row r="56" ht="16" customHeight="1">
      <c r="B56" s="181" t="n">
        <v>41882</v>
      </c>
      <c r="C56" s="75">
        <f>AIRBUS!D51</f>
        <v/>
      </c>
      <c r="D56" s="75">
        <f>BNP!D51</f>
        <v/>
      </c>
      <c r="E56" s="75">
        <f>CAPGEMINI!D51</f>
        <v/>
      </c>
      <c r="F56" s="75">
        <f>DANONE!D51</f>
        <v/>
      </c>
      <c r="G56" s="75">
        <f>ENGIE!D51</f>
        <v/>
      </c>
      <c r="H56" s="75">
        <f>'HERMES INTL'!D51</f>
        <v/>
      </c>
      <c r="I56" s="75">
        <f>'PERNOD RICARD'!D51</f>
        <v/>
      </c>
      <c r="J56" s="75">
        <f>RENAULT!D51</f>
        <v/>
      </c>
      <c r="K56" s="75">
        <f>SANOFI!D51</f>
        <v/>
      </c>
      <c r="L56" s="75">
        <f>'SCHNEIDER ELECTRIC'!D51</f>
        <v/>
      </c>
      <c r="M56" s="75">
        <f>'TOTAL ENERGIES'!D51</f>
        <v/>
      </c>
      <c r="N56" s="75">
        <f>VINCI!D51</f>
        <v/>
      </c>
      <c r="O56" s="75">
        <f>MARKET!D51</f>
        <v/>
      </c>
      <c r="P56" s="103">
        <f>INTERBANK!D50</f>
        <v/>
      </c>
      <c r="R56" s="181" t="n">
        <v>41882</v>
      </c>
      <c r="S56" s="75">
        <f>C56-$P56</f>
        <v/>
      </c>
      <c r="T56" s="75">
        <f>D56-$P56</f>
        <v/>
      </c>
      <c r="U56" s="75">
        <f>E56-$P56</f>
        <v/>
      </c>
      <c r="V56" s="75">
        <f>F56-$P56</f>
        <v/>
      </c>
      <c r="W56" s="75">
        <f>G56-$P56</f>
        <v/>
      </c>
      <c r="X56" s="75">
        <f>H56-$P56</f>
        <v/>
      </c>
      <c r="Y56" s="75">
        <f>I56-$P56</f>
        <v/>
      </c>
      <c r="Z56" s="75">
        <f>J56-$P56</f>
        <v/>
      </c>
      <c r="AA56" s="75">
        <f>K56-$P56</f>
        <v/>
      </c>
      <c r="AB56" s="75">
        <f>L56-$P56</f>
        <v/>
      </c>
      <c r="AC56" s="75">
        <f>M56-$P56</f>
        <v/>
      </c>
      <c r="AD56" s="75">
        <f>N56-$P56</f>
        <v/>
      </c>
      <c r="AE56" s="75">
        <f>O56-$P56</f>
        <v/>
      </c>
    </row>
    <row r="57" ht="16" customHeight="1">
      <c r="B57" s="181" t="n">
        <v>41912</v>
      </c>
      <c r="C57" s="75">
        <f>AIRBUS!D52</f>
        <v/>
      </c>
      <c r="D57" s="75">
        <f>BNP!D52</f>
        <v/>
      </c>
      <c r="E57" s="75">
        <f>CAPGEMINI!D52</f>
        <v/>
      </c>
      <c r="F57" s="75">
        <f>DANONE!D52</f>
        <v/>
      </c>
      <c r="G57" s="75">
        <f>ENGIE!D52</f>
        <v/>
      </c>
      <c r="H57" s="75">
        <f>'HERMES INTL'!D52</f>
        <v/>
      </c>
      <c r="I57" s="75">
        <f>'PERNOD RICARD'!D52</f>
        <v/>
      </c>
      <c r="J57" s="75">
        <f>RENAULT!D52</f>
        <v/>
      </c>
      <c r="K57" s="75">
        <f>SANOFI!D52</f>
        <v/>
      </c>
      <c r="L57" s="75">
        <f>'SCHNEIDER ELECTRIC'!D52</f>
        <v/>
      </c>
      <c r="M57" s="75">
        <f>'TOTAL ENERGIES'!D52</f>
        <v/>
      </c>
      <c r="N57" s="75">
        <f>VINCI!D52</f>
        <v/>
      </c>
      <c r="O57" s="75">
        <f>MARKET!D52</f>
        <v/>
      </c>
      <c r="P57" s="103">
        <f>INTERBANK!D51</f>
        <v/>
      </c>
      <c r="R57" s="181" t="n">
        <v>41912</v>
      </c>
      <c r="S57" s="75">
        <f>C57-$P57</f>
        <v/>
      </c>
      <c r="T57" s="75">
        <f>D57-$P57</f>
        <v/>
      </c>
      <c r="U57" s="75">
        <f>E57-$P57</f>
        <v/>
      </c>
      <c r="V57" s="75">
        <f>F57-$P57</f>
        <v/>
      </c>
      <c r="W57" s="75">
        <f>G57-$P57</f>
        <v/>
      </c>
      <c r="X57" s="75">
        <f>H57-$P57</f>
        <v/>
      </c>
      <c r="Y57" s="75">
        <f>I57-$P57</f>
        <v/>
      </c>
      <c r="Z57" s="75">
        <f>J57-$P57</f>
        <v/>
      </c>
      <c r="AA57" s="75">
        <f>K57-$P57</f>
        <v/>
      </c>
      <c r="AB57" s="75">
        <f>L57-$P57</f>
        <v/>
      </c>
      <c r="AC57" s="75">
        <f>M57-$P57</f>
        <v/>
      </c>
      <c r="AD57" s="75">
        <f>N57-$P57</f>
        <v/>
      </c>
      <c r="AE57" s="75">
        <f>O57-$P57</f>
        <v/>
      </c>
    </row>
    <row r="58" ht="16" customHeight="1">
      <c r="B58" s="181" t="n">
        <v>41943</v>
      </c>
      <c r="C58" s="75">
        <f>AIRBUS!D53</f>
        <v/>
      </c>
      <c r="D58" s="75">
        <f>BNP!D53</f>
        <v/>
      </c>
      <c r="E58" s="75">
        <f>CAPGEMINI!D53</f>
        <v/>
      </c>
      <c r="F58" s="75">
        <f>DANONE!D53</f>
        <v/>
      </c>
      <c r="G58" s="75">
        <f>ENGIE!D53</f>
        <v/>
      </c>
      <c r="H58" s="75">
        <f>'HERMES INTL'!D53</f>
        <v/>
      </c>
      <c r="I58" s="75">
        <f>'PERNOD RICARD'!D53</f>
        <v/>
      </c>
      <c r="J58" s="75">
        <f>RENAULT!D53</f>
        <v/>
      </c>
      <c r="K58" s="75">
        <f>SANOFI!D53</f>
        <v/>
      </c>
      <c r="L58" s="75">
        <f>'SCHNEIDER ELECTRIC'!D53</f>
        <v/>
      </c>
      <c r="M58" s="75">
        <f>'TOTAL ENERGIES'!D53</f>
        <v/>
      </c>
      <c r="N58" s="75">
        <f>VINCI!D53</f>
        <v/>
      </c>
      <c r="O58" s="75">
        <f>MARKET!D53</f>
        <v/>
      </c>
      <c r="P58" s="103">
        <f>INTERBANK!D52</f>
        <v/>
      </c>
      <c r="R58" s="181" t="n">
        <v>41943</v>
      </c>
      <c r="S58" s="75">
        <f>C58-$P58</f>
        <v/>
      </c>
      <c r="T58" s="75">
        <f>D58-$P58</f>
        <v/>
      </c>
      <c r="U58" s="75">
        <f>E58-$P58</f>
        <v/>
      </c>
      <c r="V58" s="75">
        <f>F58-$P58</f>
        <v/>
      </c>
      <c r="W58" s="75">
        <f>G58-$P58</f>
        <v/>
      </c>
      <c r="X58" s="75">
        <f>H58-$P58</f>
        <v/>
      </c>
      <c r="Y58" s="75">
        <f>I58-$P58</f>
        <v/>
      </c>
      <c r="Z58" s="75">
        <f>J58-$P58</f>
        <v/>
      </c>
      <c r="AA58" s="75">
        <f>K58-$P58</f>
        <v/>
      </c>
      <c r="AB58" s="75">
        <f>L58-$P58</f>
        <v/>
      </c>
      <c r="AC58" s="75">
        <f>M58-$P58</f>
        <v/>
      </c>
      <c r="AD58" s="75">
        <f>N58-$P58</f>
        <v/>
      </c>
      <c r="AE58" s="75">
        <f>O58-$P58</f>
        <v/>
      </c>
    </row>
    <row r="59" ht="16" customHeight="1">
      <c r="B59" s="181" t="n">
        <v>41973</v>
      </c>
      <c r="C59" s="75">
        <f>AIRBUS!D54</f>
        <v/>
      </c>
      <c r="D59" s="75">
        <f>BNP!D54</f>
        <v/>
      </c>
      <c r="E59" s="75">
        <f>CAPGEMINI!D54</f>
        <v/>
      </c>
      <c r="F59" s="75">
        <f>DANONE!D54</f>
        <v/>
      </c>
      <c r="G59" s="75">
        <f>ENGIE!D54</f>
        <v/>
      </c>
      <c r="H59" s="75">
        <f>'HERMES INTL'!D54</f>
        <v/>
      </c>
      <c r="I59" s="75">
        <f>'PERNOD RICARD'!D54</f>
        <v/>
      </c>
      <c r="J59" s="75">
        <f>RENAULT!D54</f>
        <v/>
      </c>
      <c r="K59" s="75">
        <f>SANOFI!D54</f>
        <v/>
      </c>
      <c r="L59" s="75">
        <f>'SCHNEIDER ELECTRIC'!D54</f>
        <v/>
      </c>
      <c r="M59" s="75">
        <f>'TOTAL ENERGIES'!D54</f>
        <v/>
      </c>
      <c r="N59" s="75">
        <f>VINCI!D54</f>
        <v/>
      </c>
      <c r="O59" s="75">
        <f>MARKET!D54</f>
        <v/>
      </c>
      <c r="P59" s="103">
        <f>INTERBANK!D53</f>
        <v/>
      </c>
      <c r="R59" s="181" t="n">
        <v>41973</v>
      </c>
      <c r="S59" s="75">
        <f>C59-$P59</f>
        <v/>
      </c>
      <c r="T59" s="75">
        <f>D59-$P59</f>
        <v/>
      </c>
      <c r="U59" s="75">
        <f>E59-$P59</f>
        <v/>
      </c>
      <c r="V59" s="75">
        <f>F59-$P59</f>
        <v/>
      </c>
      <c r="W59" s="75">
        <f>G59-$P59</f>
        <v/>
      </c>
      <c r="X59" s="75">
        <f>H59-$P59</f>
        <v/>
      </c>
      <c r="Y59" s="75">
        <f>I59-$P59</f>
        <v/>
      </c>
      <c r="Z59" s="75">
        <f>J59-$P59</f>
        <v/>
      </c>
      <c r="AA59" s="75">
        <f>K59-$P59</f>
        <v/>
      </c>
      <c r="AB59" s="75">
        <f>L59-$P59</f>
        <v/>
      </c>
      <c r="AC59" s="75">
        <f>M59-$P59</f>
        <v/>
      </c>
      <c r="AD59" s="75">
        <f>N59-$P59</f>
        <v/>
      </c>
      <c r="AE59" s="75">
        <f>O59-$P59</f>
        <v/>
      </c>
    </row>
    <row r="60" ht="16" customHeight="1">
      <c r="B60" s="181" t="n">
        <v>42004</v>
      </c>
      <c r="C60" s="75">
        <f>AIRBUS!D55</f>
        <v/>
      </c>
      <c r="D60" s="75">
        <f>BNP!D55</f>
        <v/>
      </c>
      <c r="E60" s="75">
        <f>CAPGEMINI!D55</f>
        <v/>
      </c>
      <c r="F60" s="75">
        <f>DANONE!D55</f>
        <v/>
      </c>
      <c r="G60" s="75">
        <f>ENGIE!D55</f>
        <v/>
      </c>
      <c r="H60" s="75">
        <f>'HERMES INTL'!D55</f>
        <v/>
      </c>
      <c r="I60" s="75">
        <f>'PERNOD RICARD'!D55</f>
        <v/>
      </c>
      <c r="J60" s="75">
        <f>RENAULT!D55</f>
        <v/>
      </c>
      <c r="K60" s="75">
        <f>SANOFI!D55</f>
        <v/>
      </c>
      <c r="L60" s="75">
        <f>'SCHNEIDER ELECTRIC'!D55</f>
        <v/>
      </c>
      <c r="M60" s="75">
        <f>'TOTAL ENERGIES'!D55</f>
        <v/>
      </c>
      <c r="N60" s="75">
        <f>VINCI!D55</f>
        <v/>
      </c>
      <c r="O60" s="75">
        <f>MARKET!D55</f>
        <v/>
      </c>
      <c r="P60" s="103">
        <f>INTERBANK!D54</f>
        <v/>
      </c>
      <c r="R60" s="181" t="n">
        <v>42004</v>
      </c>
      <c r="S60" s="75">
        <f>C60-$P60</f>
        <v/>
      </c>
      <c r="T60" s="75">
        <f>D60-$P60</f>
        <v/>
      </c>
      <c r="U60" s="75">
        <f>E60-$P60</f>
        <v/>
      </c>
      <c r="V60" s="75">
        <f>F60-$P60</f>
        <v/>
      </c>
      <c r="W60" s="75">
        <f>G60-$P60</f>
        <v/>
      </c>
      <c r="X60" s="75">
        <f>H60-$P60</f>
        <v/>
      </c>
      <c r="Y60" s="75">
        <f>I60-$P60</f>
        <v/>
      </c>
      <c r="Z60" s="75">
        <f>J60-$P60</f>
        <v/>
      </c>
      <c r="AA60" s="75">
        <f>K60-$P60</f>
        <v/>
      </c>
      <c r="AB60" s="75">
        <f>L60-$P60</f>
        <v/>
      </c>
      <c r="AC60" s="75">
        <f>M60-$P60</f>
        <v/>
      </c>
      <c r="AD60" s="75">
        <f>N60-$P60</f>
        <v/>
      </c>
      <c r="AE60" s="75">
        <f>O60-$P60</f>
        <v/>
      </c>
    </row>
    <row r="61" ht="16" customHeight="1">
      <c r="B61" s="181" t="n">
        <v>42035</v>
      </c>
      <c r="C61" s="75">
        <f>AIRBUS!D56</f>
        <v/>
      </c>
      <c r="D61" s="75">
        <f>BNP!D56</f>
        <v/>
      </c>
      <c r="E61" s="75">
        <f>CAPGEMINI!D56</f>
        <v/>
      </c>
      <c r="F61" s="75">
        <f>DANONE!D56</f>
        <v/>
      </c>
      <c r="G61" s="75">
        <f>ENGIE!D56</f>
        <v/>
      </c>
      <c r="H61" s="75">
        <f>'HERMES INTL'!D56</f>
        <v/>
      </c>
      <c r="I61" s="75">
        <f>'PERNOD RICARD'!D56</f>
        <v/>
      </c>
      <c r="J61" s="75">
        <f>RENAULT!D56</f>
        <v/>
      </c>
      <c r="K61" s="75">
        <f>SANOFI!D56</f>
        <v/>
      </c>
      <c r="L61" s="75">
        <f>'SCHNEIDER ELECTRIC'!D56</f>
        <v/>
      </c>
      <c r="M61" s="75">
        <f>'TOTAL ENERGIES'!D56</f>
        <v/>
      </c>
      <c r="N61" s="75">
        <f>VINCI!D56</f>
        <v/>
      </c>
      <c r="O61" s="75">
        <f>MARKET!D56</f>
        <v/>
      </c>
      <c r="P61" s="103">
        <f>INTERBANK!D55</f>
        <v/>
      </c>
      <c r="R61" s="181" t="n">
        <v>42035</v>
      </c>
      <c r="S61" s="75">
        <f>C61-$P61</f>
        <v/>
      </c>
      <c r="T61" s="75">
        <f>D61-$P61</f>
        <v/>
      </c>
      <c r="U61" s="75">
        <f>E61-$P61</f>
        <v/>
      </c>
      <c r="V61" s="75">
        <f>F61-$P61</f>
        <v/>
      </c>
      <c r="W61" s="75">
        <f>G61-$P61</f>
        <v/>
      </c>
      <c r="X61" s="75">
        <f>H61-$P61</f>
        <v/>
      </c>
      <c r="Y61" s="75">
        <f>I61-$P61</f>
        <v/>
      </c>
      <c r="Z61" s="75">
        <f>J61-$P61</f>
        <v/>
      </c>
      <c r="AA61" s="75">
        <f>K61-$P61</f>
        <v/>
      </c>
      <c r="AB61" s="75">
        <f>L61-$P61</f>
        <v/>
      </c>
      <c r="AC61" s="75">
        <f>M61-$P61</f>
        <v/>
      </c>
      <c r="AD61" s="75">
        <f>N61-$P61</f>
        <v/>
      </c>
      <c r="AE61" s="75">
        <f>O61-$P61</f>
        <v/>
      </c>
    </row>
    <row r="62" ht="16" customHeight="1">
      <c r="B62" s="181" t="n">
        <v>42063</v>
      </c>
      <c r="C62" s="75">
        <f>AIRBUS!D57</f>
        <v/>
      </c>
      <c r="D62" s="75">
        <f>BNP!D57</f>
        <v/>
      </c>
      <c r="E62" s="75">
        <f>CAPGEMINI!D57</f>
        <v/>
      </c>
      <c r="F62" s="75">
        <f>DANONE!D57</f>
        <v/>
      </c>
      <c r="G62" s="75">
        <f>ENGIE!D57</f>
        <v/>
      </c>
      <c r="H62" s="75">
        <f>'HERMES INTL'!D57</f>
        <v/>
      </c>
      <c r="I62" s="75">
        <f>'PERNOD RICARD'!D57</f>
        <v/>
      </c>
      <c r="J62" s="75">
        <f>RENAULT!D57</f>
        <v/>
      </c>
      <c r="K62" s="75">
        <f>SANOFI!D57</f>
        <v/>
      </c>
      <c r="L62" s="75">
        <f>'SCHNEIDER ELECTRIC'!D57</f>
        <v/>
      </c>
      <c r="M62" s="75">
        <f>'TOTAL ENERGIES'!D57</f>
        <v/>
      </c>
      <c r="N62" s="75">
        <f>VINCI!D57</f>
        <v/>
      </c>
      <c r="O62" s="75">
        <f>MARKET!D57</f>
        <v/>
      </c>
      <c r="P62" s="103">
        <f>INTERBANK!D56</f>
        <v/>
      </c>
      <c r="R62" s="181" t="n">
        <v>42063</v>
      </c>
      <c r="S62" s="75">
        <f>C62-$P62</f>
        <v/>
      </c>
      <c r="T62" s="75">
        <f>D62-$P62</f>
        <v/>
      </c>
      <c r="U62" s="75">
        <f>E62-$P62</f>
        <v/>
      </c>
      <c r="V62" s="75">
        <f>F62-$P62</f>
        <v/>
      </c>
      <c r="W62" s="75">
        <f>G62-$P62</f>
        <v/>
      </c>
      <c r="X62" s="75">
        <f>H62-$P62</f>
        <v/>
      </c>
      <c r="Y62" s="75">
        <f>I62-$P62</f>
        <v/>
      </c>
      <c r="Z62" s="75">
        <f>J62-$P62</f>
        <v/>
      </c>
      <c r="AA62" s="75">
        <f>K62-$P62</f>
        <v/>
      </c>
      <c r="AB62" s="75">
        <f>L62-$P62</f>
        <v/>
      </c>
      <c r="AC62" s="75">
        <f>M62-$P62</f>
        <v/>
      </c>
      <c r="AD62" s="75">
        <f>N62-$P62</f>
        <v/>
      </c>
      <c r="AE62" s="75">
        <f>O62-$P62</f>
        <v/>
      </c>
    </row>
    <row r="63" ht="16" customHeight="1">
      <c r="B63" s="181" t="n">
        <v>42094</v>
      </c>
      <c r="C63" s="75">
        <f>AIRBUS!D58</f>
        <v/>
      </c>
      <c r="D63" s="75">
        <f>BNP!D58</f>
        <v/>
      </c>
      <c r="E63" s="75">
        <f>CAPGEMINI!D58</f>
        <v/>
      </c>
      <c r="F63" s="75">
        <f>DANONE!D58</f>
        <v/>
      </c>
      <c r="G63" s="75">
        <f>ENGIE!D58</f>
        <v/>
      </c>
      <c r="H63" s="75">
        <f>'HERMES INTL'!D58</f>
        <v/>
      </c>
      <c r="I63" s="75">
        <f>'PERNOD RICARD'!D58</f>
        <v/>
      </c>
      <c r="J63" s="75">
        <f>RENAULT!D58</f>
        <v/>
      </c>
      <c r="K63" s="75">
        <f>SANOFI!D58</f>
        <v/>
      </c>
      <c r="L63" s="75">
        <f>'SCHNEIDER ELECTRIC'!D58</f>
        <v/>
      </c>
      <c r="M63" s="75">
        <f>'TOTAL ENERGIES'!D58</f>
        <v/>
      </c>
      <c r="N63" s="75">
        <f>VINCI!D58</f>
        <v/>
      </c>
      <c r="O63" s="75">
        <f>MARKET!D58</f>
        <v/>
      </c>
      <c r="P63" s="103">
        <f>INTERBANK!D57</f>
        <v/>
      </c>
      <c r="R63" s="181" t="n">
        <v>42094</v>
      </c>
      <c r="S63" s="75">
        <f>C63-$P63</f>
        <v/>
      </c>
      <c r="T63" s="75">
        <f>D63-$P63</f>
        <v/>
      </c>
      <c r="U63" s="75">
        <f>E63-$P63</f>
        <v/>
      </c>
      <c r="V63" s="75">
        <f>F63-$P63</f>
        <v/>
      </c>
      <c r="W63" s="75">
        <f>G63-$P63</f>
        <v/>
      </c>
      <c r="X63" s="75">
        <f>H63-$P63</f>
        <v/>
      </c>
      <c r="Y63" s="75">
        <f>I63-$P63</f>
        <v/>
      </c>
      <c r="Z63" s="75">
        <f>J63-$P63</f>
        <v/>
      </c>
      <c r="AA63" s="75">
        <f>K63-$P63</f>
        <v/>
      </c>
      <c r="AB63" s="75">
        <f>L63-$P63</f>
        <v/>
      </c>
      <c r="AC63" s="75">
        <f>M63-$P63</f>
        <v/>
      </c>
      <c r="AD63" s="75">
        <f>N63-$P63</f>
        <v/>
      </c>
      <c r="AE63" s="75">
        <f>O63-$P63</f>
        <v/>
      </c>
    </row>
    <row r="64" ht="16" customHeight="1">
      <c r="B64" s="181" t="n">
        <v>42124</v>
      </c>
      <c r="C64" s="75">
        <f>AIRBUS!D59</f>
        <v/>
      </c>
      <c r="D64" s="75">
        <f>BNP!D59</f>
        <v/>
      </c>
      <c r="E64" s="75">
        <f>CAPGEMINI!D59</f>
        <v/>
      </c>
      <c r="F64" s="75">
        <f>DANONE!D59</f>
        <v/>
      </c>
      <c r="G64" s="75">
        <f>ENGIE!D59</f>
        <v/>
      </c>
      <c r="H64" s="75">
        <f>'HERMES INTL'!D59</f>
        <v/>
      </c>
      <c r="I64" s="75">
        <f>'PERNOD RICARD'!D59</f>
        <v/>
      </c>
      <c r="J64" s="75">
        <f>RENAULT!D59</f>
        <v/>
      </c>
      <c r="K64" s="75">
        <f>SANOFI!D59</f>
        <v/>
      </c>
      <c r="L64" s="75">
        <f>'SCHNEIDER ELECTRIC'!D59</f>
        <v/>
      </c>
      <c r="M64" s="75">
        <f>'TOTAL ENERGIES'!D59</f>
        <v/>
      </c>
      <c r="N64" s="75">
        <f>VINCI!D59</f>
        <v/>
      </c>
      <c r="O64" s="75">
        <f>MARKET!D59</f>
        <v/>
      </c>
      <c r="P64" s="103">
        <f>INTERBANK!D58</f>
        <v/>
      </c>
      <c r="R64" s="181" t="n">
        <v>42124</v>
      </c>
      <c r="S64" s="75">
        <f>C64-$P64</f>
        <v/>
      </c>
      <c r="T64" s="75">
        <f>D64-$P64</f>
        <v/>
      </c>
      <c r="U64" s="75">
        <f>E64-$P64</f>
        <v/>
      </c>
      <c r="V64" s="75">
        <f>F64-$P64</f>
        <v/>
      </c>
      <c r="W64" s="75">
        <f>G64-$P64</f>
        <v/>
      </c>
      <c r="X64" s="75">
        <f>H64-$P64</f>
        <v/>
      </c>
      <c r="Y64" s="75">
        <f>I64-$P64</f>
        <v/>
      </c>
      <c r="Z64" s="75">
        <f>J64-$P64</f>
        <v/>
      </c>
      <c r="AA64" s="75">
        <f>K64-$P64</f>
        <v/>
      </c>
      <c r="AB64" s="75">
        <f>L64-$P64</f>
        <v/>
      </c>
      <c r="AC64" s="75">
        <f>M64-$P64</f>
        <v/>
      </c>
      <c r="AD64" s="75">
        <f>N64-$P64</f>
        <v/>
      </c>
      <c r="AE64" s="75">
        <f>O64-$P64</f>
        <v/>
      </c>
    </row>
    <row r="65" ht="16" customHeight="1">
      <c r="B65" s="181" t="n">
        <v>42155</v>
      </c>
      <c r="C65" s="75">
        <f>AIRBUS!D60</f>
        <v/>
      </c>
      <c r="D65" s="75">
        <f>BNP!D60</f>
        <v/>
      </c>
      <c r="E65" s="75">
        <f>CAPGEMINI!D60</f>
        <v/>
      </c>
      <c r="F65" s="75">
        <f>DANONE!D60</f>
        <v/>
      </c>
      <c r="G65" s="75">
        <f>ENGIE!D60</f>
        <v/>
      </c>
      <c r="H65" s="75">
        <f>'HERMES INTL'!D60</f>
        <v/>
      </c>
      <c r="I65" s="75">
        <f>'PERNOD RICARD'!D60</f>
        <v/>
      </c>
      <c r="J65" s="75">
        <f>RENAULT!D60</f>
        <v/>
      </c>
      <c r="K65" s="75">
        <f>SANOFI!D60</f>
        <v/>
      </c>
      <c r="L65" s="75">
        <f>'SCHNEIDER ELECTRIC'!D60</f>
        <v/>
      </c>
      <c r="M65" s="75">
        <f>'TOTAL ENERGIES'!D60</f>
        <v/>
      </c>
      <c r="N65" s="75">
        <f>VINCI!D60</f>
        <v/>
      </c>
      <c r="O65" s="75">
        <f>MARKET!D60</f>
        <v/>
      </c>
      <c r="P65" s="103">
        <f>INTERBANK!D59</f>
        <v/>
      </c>
      <c r="R65" s="181" t="n">
        <v>42155</v>
      </c>
      <c r="S65" s="75">
        <f>C65-$P65</f>
        <v/>
      </c>
      <c r="T65" s="75">
        <f>D65-$P65</f>
        <v/>
      </c>
      <c r="U65" s="75">
        <f>E65-$P65</f>
        <v/>
      </c>
      <c r="V65" s="75">
        <f>F65-$P65</f>
        <v/>
      </c>
      <c r="W65" s="75">
        <f>G65-$P65</f>
        <v/>
      </c>
      <c r="X65" s="75">
        <f>H65-$P65</f>
        <v/>
      </c>
      <c r="Y65" s="75">
        <f>I65-$P65</f>
        <v/>
      </c>
      <c r="Z65" s="75">
        <f>J65-$P65</f>
        <v/>
      </c>
      <c r="AA65" s="75">
        <f>K65-$P65</f>
        <v/>
      </c>
      <c r="AB65" s="75">
        <f>L65-$P65</f>
        <v/>
      </c>
      <c r="AC65" s="75">
        <f>M65-$P65</f>
        <v/>
      </c>
      <c r="AD65" s="75">
        <f>N65-$P65</f>
        <v/>
      </c>
      <c r="AE65" s="75">
        <f>O65-$P65</f>
        <v/>
      </c>
    </row>
    <row r="66" ht="16" customHeight="1">
      <c r="B66" s="181" t="n">
        <v>42185</v>
      </c>
      <c r="C66" s="75">
        <f>AIRBUS!D61</f>
        <v/>
      </c>
      <c r="D66" s="75">
        <f>BNP!D61</f>
        <v/>
      </c>
      <c r="E66" s="75">
        <f>CAPGEMINI!D61</f>
        <v/>
      </c>
      <c r="F66" s="75">
        <f>DANONE!D61</f>
        <v/>
      </c>
      <c r="G66" s="75">
        <f>ENGIE!D61</f>
        <v/>
      </c>
      <c r="H66" s="75">
        <f>'HERMES INTL'!D61</f>
        <v/>
      </c>
      <c r="I66" s="75">
        <f>'PERNOD RICARD'!D61</f>
        <v/>
      </c>
      <c r="J66" s="75">
        <f>RENAULT!D61</f>
        <v/>
      </c>
      <c r="K66" s="75">
        <f>SANOFI!D61</f>
        <v/>
      </c>
      <c r="L66" s="75">
        <f>'SCHNEIDER ELECTRIC'!D61</f>
        <v/>
      </c>
      <c r="M66" s="75">
        <f>'TOTAL ENERGIES'!D61</f>
        <v/>
      </c>
      <c r="N66" s="75">
        <f>VINCI!D61</f>
        <v/>
      </c>
      <c r="O66" s="75">
        <f>MARKET!D61</f>
        <v/>
      </c>
      <c r="P66" s="103">
        <f>INTERBANK!D60</f>
        <v/>
      </c>
      <c r="R66" s="181" t="n">
        <v>42185</v>
      </c>
      <c r="S66" s="75">
        <f>C66-$P66</f>
        <v/>
      </c>
      <c r="T66" s="75">
        <f>D66-$P66</f>
        <v/>
      </c>
      <c r="U66" s="75">
        <f>E66-$P66</f>
        <v/>
      </c>
      <c r="V66" s="75">
        <f>F66-$P66</f>
        <v/>
      </c>
      <c r="W66" s="75">
        <f>G66-$P66</f>
        <v/>
      </c>
      <c r="X66" s="75">
        <f>H66-$P66</f>
        <v/>
      </c>
      <c r="Y66" s="75">
        <f>I66-$P66</f>
        <v/>
      </c>
      <c r="Z66" s="75">
        <f>J66-$P66</f>
        <v/>
      </c>
      <c r="AA66" s="75">
        <f>K66-$P66</f>
        <v/>
      </c>
      <c r="AB66" s="75">
        <f>L66-$P66</f>
        <v/>
      </c>
      <c r="AC66" s="75">
        <f>M66-$P66</f>
        <v/>
      </c>
      <c r="AD66" s="75">
        <f>N66-$P66</f>
        <v/>
      </c>
      <c r="AE66" s="75">
        <f>O66-$P66</f>
        <v/>
      </c>
    </row>
    <row r="67" ht="16" customHeight="1">
      <c r="B67" s="181" t="n">
        <v>42216</v>
      </c>
      <c r="C67" s="75">
        <f>AIRBUS!D62</f>
        <v/>
      </c>
      <c r="D67" s="75">
        <f>BNP!D62</f>
        <v/>
      </c>
      <c r="E67" s="75">
        <f>CAPGEMINI!D62</f>
        <v/>
      </c>
      <c r="F67" s="75">
        <f>DANONE!D62</f>
        <v/>
      </c>
      <c r="G67" s="75">
        <f>ENGIE!D62</f>
        <v/>
      </c>
      <c r="H67" s="75">
        <f>'HERMES INTL'!D62</f>
        <v/>
      </c>
      <c r="I67" s="75">
        <f>'PERNOD RICARD'!D62</f>
        <v/>
      </c>
      <c r="J67" s="75">
        <f>RENAULT!D62</f>
        <v/>
      </c>
      <c r="K67" s="75">
        <f>SANOFI!D62</f>
        <v/>
      </c>
      <c r="L67" s="75">
        <f>'SCHNEIDER ELECTRIC'!D62</f>
        <v/>
      </c>
      <c r="M67" s="75">
        <f>'TOTAL ENERGIES'!D62</f>
        <v/>
      </c>
      <c r="N67" s="75">
        <f>VINCI!D62</f>
        <v/>
      </c>
      <c r="O67" s="75">
        <f>MARKET!D62</f>
        <v/>
      </c>
      <c r="P67" s="103">
        <f>INTERBANK!D61</f>
        <v/>
      </c>
      <c r="R67" s="181" t="n">
        <v>42216</v>
      </c>
      <c r="S67" s="75">
        <f>C67-$P67</f>
        <v/>
      </c>
      <c r="T67" s="75">
        <f>D67-$P67</f>
        <v/>
      </c>
      <c r="U67" s="75">
        <f>E67-$P67</f>
        <v/>
      </c>
      <c r="V67" s="75">
        <f>F67-$P67</f>
        <v/>
      </c>
      <c r="W67" s="75">
        <f>G67-$P67</f>
        <v/>
      </c>
      <c r="X67" s="75">
        <f>H67-$P67</f>
        <v/>
      </c>
      <c r="Y67" s="75">
        <f>I67-$P67</f>
        <v/>
      </c>
      <c r="Z67" s="75">
        <f>J67-$P67</f>
        <v/>
      </c>
      <c r="AA67" s="75">
        <f>K67-$P67</f>
        <v/>
      </c>
      <c r="AB67" s="75">
        <f>L67-$P67</f>
        <v/>
      </c>
      <c r="AC67" s="75">
        <f>M67-$P67</f>
        <v/>
      </c>
      <c r="AD67" s="75">
        <f>N67-$P67</f>
        <v/>
      </c>
      <c r="AE67" s="75">
        <f>O67-$P67</f>
        <v/>
      </c>
    </row>
    <row r="68" ht="16" customHeight="1">
      <c r="B68" s="181" t="n">
        <v>42247</v>
      </c>
      <c r="C68" s="75">
        <f>AIRBUS!D63</f>
        <v/>
      </c>
      <c r="D68" s="75">
        <f>BNP!D63</f>
        <v/>
      </c>
      <c r="E68" s="75">
        <f>CAPGEMINI!D63</f>
        <v/>
      </c>
      <c r="F68" s="75">
        <f>DANONE!D63</f>
        <v/>
      </c>
      <c r="G68" s="75">
        <f>ENGIE!D63</f>
        <v/>
      </c>
      <c r="H68" s="75">
        <f>'HERMES INTL'!D63</f>
        <v/>
      </c>
      <c r="I68" s="75">
        <f>'PERNOD RICARD'!D63</f>
        <v/>
      </c>
      <c r="J68" s="75">
        <f>RENAULT!D63</f>
        <v/>
      </c>
      <c r="K68" s="75">
        <f>SANOFI!D63</f>
        <v/>
      </c>
      <c r="L68" s="75">
        <f>'SCHNEIDER ELECTRIC'!D63</f>
        <v/>
      </c>
      <c r="M68" s="75">
        <f>'TOTAL ENERGIES'!D63</f>
        <v/>
      </c>
      <c r="N68" s="75">
        <f>VINCI!D63</f>
        <v/>
      </c>
      <c r="O68" s="75">
        <f>MARKET!D63</f>
        <v/>
      </c>
      <c r="P68" s="103">
        <f>INTERBANK!D62</f>
        <v/>
      </c>
      <c r="R68" s="181" t="n">
        <v>42247</v>
      </c>
      <c r="S68" s="75">
        <f>C68-$P68</f>
        <v/>
      </c>
      <c r="T68" s="75">
        <f>D68-$P68</f>
        <v/>
      </c>
      <c r="U68" s="75">
        <f>E68-$P68</f>
        <v/>
      </c>
      <c r="V68" s="75">
        <f>F68-$P68</f>
        <v/>
      </c>
      <c r="W68" s="75">
        <f>G68-$P68</f>
        <v/>
      </c>
      <c r="X68" s="75">
        <f>H68-$P68</f>
        <v/>
      </c>
      <c r="Y68" s="75">
        <f>I68-$P68</f>
        <v/>
      </c>
      <c r="Z68" s="75">
        <f>J68-$P68</f>
        <v/>
      </c>
      <c r="AA68" s="75">
        <f>K68-$P68</f>
        <v/>
      </c>
      <c r="AB68" s="75">
        <f>L68-$P68</f>
        <v/>
      </c>
      <c r="AC68" s="75">
        <f>M68-$P68</f>
        <v/>
      </c>
      <c r="AD68" s="75">
        <f>N68-$P68</f>
        <v/>
      </c>
      <c r="AE68" s="75">
        <f>O68-$P68</f>
        <v/>
      </c>
    </row>
    <row r="69" ht="16" customHeight="1">
      <c r="B69" s="181" t="n">
        <v>42277</v>
      </c>
      <c r="C69" s="75">
        <f>AIRBUS!D64</f>
        <v/>
      </c>
      <c r="D69" s="75">
        <f>BNP!D64</f>
        <v/>
      </c>
      <c r="E69" s="75">
        <f>CAPGEMINI!D64</f>
        <v/>
      </c>
      <c r="F69" s="75">
        <f>DANONE!D64</f>
        <v/>
      </c>
      <c r="G69" s="75">
        <f>ENGIE!D64</f>
        <v/>
      </c>
      <c r="H69" s="75">
        <f>'HERMES INTL'!D64</f>
        <v/>
      </c>
      <c r="I69" s="75">
        <f>'PERNOD RICARD'!D64</f>
        <v/>
      </c>
      <c r="J69" s="75">
        <f>RENAULT!D64</f>
        <v/>
      </c>
      <c r="K69" s="75">
        <f>SANOFI!D64</f>
        <v/>
      </c>
      <c r="L69" s="75">
        <f>'SCHNEIDER ELECTRIC'!D64</f>
        <v/>
      </c>
      <c r="M69" s="75">
        <f>'TOTAL ENERGIES'!D64</f>
        <v/>
      </c>
      <c r="N69" s="75">
        <f>VINCI!D64</f>
        <v/>
      </c>
      <c r="O69" s="75">
        <f>MARKET!D64</f>
        <v/>
      </c>
      <c r="P69" s="103">
        <f>INTERBANK!D63</f>
        <v/>
      </c>
      <c r="R69" s="181" t="n">
        <v>42277</v>
      </c>
      <c r="S69" s="75">
        <f>C69-$P69</f>
        <v/>
      </c>
      <c r="T69" s="75">
        <f>D69-$P69</f>
        <v/>
      </c>
      <c r="U69" s="75">
        <f>E69-$P69</f>
        <v/>
      </c>
      <c r="V69" s="75">
        <f>F69-$P69</f>
        <v/>
      </c>
      <c r="W69" s="75">
        <f>G69-$P69</f>
        <v/>
      </c>
      <c r="X69" s="75">
        <f>H69-$P69</f>
        <v/>
      </c>
      <c r="Y69" s="75">
        <f>I69-$P69</f>
        <v/>
      </c>
      <c r="Z69" s="75">
        <f>J69-$P69</f>
        <v/>
      </c>
      <c r="AA69" s="75">
        <f>K69-$P69</f>
        <v/>
      </c>
      <c r="AB69" s="75">
        <f>L69-$P69</f>
        <v/>
      </c>
      <c r="AC69" s="75">
        <f>M69-$P69</f>
        <v/>
      </c>
      <c r="AD69" s="75">
        <f>N69-$P69</f>
        <v/>
      </c>
      <c r="AE69" s="75">
        <f>O69-$P69</f>
        <v/>
      </c>
    </row>
    <row r="70" ht="16" customHeight="1">
      <c r="B70" s="181" t="n">
        <v>42308</v>
      </c>
      <c r="C70" s="75">
        <f>AIRBUS!D65</f>
        <v/>
      </c>
      <c r="D70" s="75">
        <f>BNP!D65</f>
        <v/>
      </c>
      <c r="E70" s="75">
        <f>CAPGEMINI!D65</f>
        <v/>
      </c>
      <c r="F70" s="75">
        <f>DANONE!D65</f>
        <v/>
      </c>
      <c r="G70" s="75">
        <f>ENGIE!D65</f>
        <v/>
      </c>
      <c r="H70" s="75">
        <f>'HERMES INTL'!D65</f>
        <v/>
      </c>
      <c r="I70" s="75">
        <f>'PERNOD RICARD'!D65</f>
        <v/>
      </c>
      <c r="J70" s="75">
        <f>RENAULT!D65</f>
        <v/>
      </c>
      <c r="K70" s="75">
        <f>SANOFI!D65</f>
        <v/>
      </c>
      <c r="L70" s="75">
        <f>'SCHNEIDER ELECTRIC'!D65</f>
        <v/>
      </c>
      <c r="M70" s="75">
        <f>'TOTAL ENERGIES'!D65</f>
        <v/>
      </c>
      <c r="N70" s="75">
        <f>VINCI!D65</f>
        <v/>
      </c>
      <c r="O70" s="75">
        <f>MARKET!D65</f>
        <v/>
      </c>
      <c r="P70" s="103">
        <f>INTERBANK!D64</f>
        <v/>
      </c>
      <c r="R70" s="181" t="n">
        <v>42308</v>
      </c>
      <c r="S70" s="75">
        <f>C70-$P70</f>
        <v/>
      </c>
      <c r="T70" s="75">
        <f>D70-$P70</f>
        <v/>
      </c>
      <c r="U70" s="75">
        <f>E70-$P70</f>
        <v/>
      </c>
      <c r="V70" s="75">
        <f>F70-$P70</f>
        <v/>
      </c>
      <c r="W70" s="75">
        <f>G70-$P70</f>
        <v/>
      </c>
      <c r="X70" s="75">
        <f>H70-$P70</f>
        <v/>
      </c>
      <c r="Y70" s="75">
        <f>I70-$P70</f>
        <v/>
      </c>
      <c r="Z70" s="75">
        <f>J70-$P70</f>
        <v/>
      </c>
      <c r="AA70" s="75">
        <f>K70-$P70</f>
        <v/>
      </c>
      <c r="AB70" s="75">
        <f>L70-$P70</f>
        <v/>
      </c>
      <c r="AC70" s="75">
        <f>M70-$P70</f>
        <v/>
      </c>
      <c r="AD70" s="75">
        <f>N70-$P70</f>
        <v/>
      </c>
      <c r="AE70" s="75">
        <f>O70-$P70</f>
        <v/>
      </c>
    </row>
    <row r="71" ht="16" customHeight="1">
      <c r="B71" s="181" t="n">
        <v>42338</v>
      </c>
      <c r="C71" s="75">
        <f>AIRBUS!D66</f>
        <v/>
      </c>
      <c r="D71" s="75">
        <f>BNP!D66</f>
        <v/>
      </c>
      <c r="E71" s="75">
        <f>CAPGEMINI!D66</f>
        <v/>
      </c>
      <c r="F71" s="75">
        <f>DANONE!D66</f>
        <v/>
      </c>
      <c r="G71" s="75">
        <f>ENGIE!D66</f>
        <v/>
      </c>
      <c r="H71" s="75">
        <f>'HERMES INTL'!D66</f>
        <v/>
      </c>
      <c r="I71" s="75">
        <f>'PERNOD RICARD'!D66</f>
        <v/>
      </c>
      <c r="J71" s="75">
        <f>RENAULT!D66</f>
        <v/>
      </c>
      <c r="K71" s="75">
        <f>SANOFI!D66</f>
        <v/>
      </c>
      <c r="L71" s="75">
        <f>'SCHNEIDER ELECTRIC'!D66</f>
        <v/>
      </c>
      <c r="M71" s="75">
        <f>'TOTAL ENERGIES'!D66</f>
        <v/>
      </c>
      <c r="N71" s="75">
        <f>VINCI!D66</f>
        <v/>
      </c>
      <c r="O71" s="75">
        <f>MARKET!D66</f>
        <v/>
      </c>
      <c r="P71" s="103">
        <f>INTERBANK!D65</f>
        <v/>
      </c>
      <c r="R71" s="181" t="n">
        <v>42338</v>
      </c>
      <c r="S71" s="75">
        <f>C71-$P71</f>
        <v/>
      </c>
      <c r="T71" s="75">
        <f>D71-$P71</f>
        <v/>
      </c>
      <c r="U71" s="75">
        <f>E71-$P71</f>
        <v/>
      </c>
      <c r="V71" s="75">
        <f>F71-$P71</f>
        <v/>
      </c>
      <c r="W71" s="75">
        <f>G71-$P71</f>
        <v/>
      </c>
      <c r="X71" s="75">
        <f>H71-$P71</f>
        <v/>
      </c>
      <c r="Y71" s="75">
        <f>I71-$P71</f>
        <v/>
      </c>
      <c r="Z71" s="75">
        <f>J71-$P71</f>
        <v/>
      </c>
      <c r="AA71" s="75">
        <f>K71-$P71</f>
        <v/>
      </c>
      <c r="AB71" s="75">
        <f>L71-$P71</f>
        <v/>
      </c>
      <c r="AC71" s="75">
        <f>M71-$P71</f>
        <v/>
      </c>
      <c r="AD71" s="75">
        <f>N71-$P71</f>
        <v/>
      </c>
      <c r="AE71" s="75">
        <f>O71-$P71</f>
        <v/>
      </c>
    </row>
    <row r="72" ht="16" customHeight="1">
      <c r="B72" s="181" t="n">
        <v>42369</v>
      </c>
      <c r="C72" s="75">
        <f>AIRBUS!D67</f>
        <v/>
      </c>
      <c r="D72" s="75">
        <f>BNP!D67</f>
        <v/>
      </c>
      <c r="E72" s="75">
        <f>CAPGEMINI!D67</f>
        <v/>
      </c>
      <c r="F72" s="75">
        <f>DANONE!D67</f>
        <v/>
      </c>
      <c r="G72" s="75">
        <f>ENGIE!D67</f>
        <v/>
      </c>
      <c r="H72" s="75">
        <f>'HERMES INTL'!D67</f>
        <v/>
      </c>
      <c r="I72" s="75">
        <f>'PERNOD RICARD'!D67</f>
        <v/>
      </c>
      <c r="J72" s="75">
        <f>RENAULT!D67</f>
        <v/>
      </c>
      <c r="K72" s="75">
        <f>SANOFI!D67</f>
        <v/>
      </c>
      <c r="L72" s="75">
        <f>'SCHNEIDER ELECTRIC'!D67</f>
        <v/>
      </c>
      <c r="M72" s="75">
        <f>'TOTAL ENERGIES'!D67</f>
        <v/>
      </c>
      <c r="N72" s="75">
        <f>VINCI!D67</f>
        <v/>
      </c>
      <c r="O72" s="75">
        <f>MARKET!D67</f>
        <v/>
      </c>
      <c r="P72" s="103">
        <f>INTERBANK!D66</f>
        <v/>
      </c>
      <c r="R72" s="181" t="n">
        <v>42369</v>
      </c>
      <c r="S72" s="75">
        <f>C72-$P72</f>
        <v/>
      </c>
      <c r="T72" s="75">
        <f>D72-$P72</f>
        <v/>
      </c>
      <c r="U72" s="75">
        <f>E72-$P72</f>
        <v/>
      </c>
      <c r="V72" s="75">
        <f>F72-$P72</f>
        <v/>
      </c>
      <c r="W72" s="75">
        <f>G72-$P72</f>
        <v/>
      </c>
      <c r="X72" s="75">
        <f>H72-$P72</f>
        <v/>
      </c>
      <c r="Y72" s="75">
        <f>I72-$P72</f>
        <v/>
      </c>
      <c r="Z72" s="75">
        <f>J72-$P72</f>
        <v/>
      </c>
      <c r="AA72" s="75">
        <f>K72-$P72</f>
        <v/>
      </c>
      <c r="AB72" s="75">
        <f>L72-$P72</f>
        <v/>
      </c>
      <c r="AC72" s="75">
        <f>M72-$P72</f>
        <v/>
      </c>
      <c r="AD72" s="75">
        <f>N72-$P72</f>
        <v/>
      </c>
      <c r="AE72" s="75">
        <f>O72-$P72</f>
        <v/>
      </c>
    </row>
    <row r="73" ht="16" customHeight="1">
      <c r="B73" s="181" t="n">
        <v>42400</v>
      </c>
      <c r="C73" s="75">
        <f>AIRBUS!D68</f>
        <v/>
      </c>
      <c r="D73" s="75">
        <f>BNP!D68</f>
        <v/>
      </c>
      <c r="E73" s="75">
        <f>CAPGEMINI!D68</f>
        <v/>
      </c>
      <c r="F73" s="75">
        <f>DANONE!D68</f>
        <v/>
      </c>
      <c r="G73" s="75">
        <f>ENGIE!D68</f>
        <v/>
      </c>
      <c r="H73" s="75">
        <f>'HERMES INTL'!D68</f>
        <v/>
      </c>
      <c r="I73" s="75">
        <f>'PERNOD RICARD'!D68</f>
        <v/>
      </c>
      <c r="J73" s="75">
        <f>RENAULT!D68</f>
        <v/>
      </c>
      <c r="K73" s="75">
        <f>SANOFI!D68</f>
        <v/>
      </c>
      <c r="L73" s="75">
        <f>'SCHNEIDER ELECTRIC'!D68</f>
        <v/>
      </c>
      <c r="M73" s="75">
        <f>'TOTAL ENERGIES'!D68</f>
        <v/>
      </c>
      <c r="N73" s="75">
        <f>VINCI!D68</f>
        <v/>
      </c>
      <c r="O73" s="75">
        <f>MARKET!D68</f>
        <v/>
      </c>
      <c r="P73" s="103">
        <f>INTERBANK!D67</f>
        <v/>
      </c>
      <c r="R73" s="181" t="n">
        <v>42400</v>
      </c>
      <c r="S73" s="75">
        <f>C73-$P73</f>
        <v/>
      </c>
      <c r="T73" s="75">
        <f>D73-$P73</f>
        <v/>
      </c>
      <c r="U73" s="75">
        <f>E73-$P73</f>
        <v/>
      </c>
      <c r="V73" s="75">
        <f>F73-$P73</f>
        <v/>
      </c>
      <c r="W73" s="75">
        <f>G73-$P73</f>
        <v/>
      </c>
      <c r="X73" s="75">
        <f>H73-$P73</f>
        <v/>
      </c>
      <c r="Y73" s="75">
        <f>I73-$P73</f>
        <v/>
      </c>
      <c r="Z73" s="75">
        <f>J73-$P73</f>
        <v/>
      </c>
      <c r="AA73" s="75">
        <f>K73-$P73</f>
        <v/>
      </c>
      <c r="AB73" s="75">
        <f>L73-$P73</f>
        <v/>
      </c>
      <c r="AC73" s="75">
        <f>M73-$P73</f>
        <v/>
      </c>
      <c r="AD73" s="75">
        <f>N73-$P73</f>
        <v/>
      </c>
      <c r="AE73" s="75">
        <f>O73-$P73</f>
        <v/>
      </c>
    </row>
    <row r="74" ht="16" customHeight="1">
      <c r="B74" s="181" t="n">
        <v>42429</v>
      </c>
      <c r="C74" s="75">
        <f>AIRBUS!D69</f>
        <v/>
      </c>
      <c r="D74" s="75">
        <f>BNP!D69</f>
        <v/>
      </c>
      <c r="E74" s="75">
        <f>CAPGEMINI!D69</f>
        <v/>
      </c>
      <c r="F74" s="75">
        <f>DANONE!D69</f>
        <v/>
      </c>
      <c r="G74" s="75">
        <f>ENGIE!D69</f>
        <v/>
      </c>
      <c r="H74" s="75">
        <f>'HERMES INTL'!D69</f>
        <v/>
      </c>
      <c r="I74" s="75">
        <f>'PERNOD RICARD'!D69</f>
        <v/>
      </c>
      <c r="J74" s="75">
        <f>RENAULT!D69</f>
        <v/>
      </c>
      <c r="K74" s="75">
        <f>SANOFI!D69</f>
        <v/>
      </c>
      <c r="L74" s="75">
        <f>'SCHNEIDER ELECTRIC'!D69</f>
        <v/>
      </c>
      <c r="M74" s="75">
        <f>'TOTAL ENERGIES'!D69</f>
        <v/>
      </c>
      <c r="N74" s="75">
        <f>VINCI!D69</f>
        <v/>
      </c>
      <c r="O74" s="75">
        <f>MARKET!D69</f>
        <v/>
      </c>
      <c r="P74" s="103">
        <f>INTERBANK!D68</f>
        <v/>
      </c>
      <c r="R74" s="181" t="n">
        <v>42429</v>
      </c>
      <c r="S74" s="75">
        <f>C74-$P74</f>
        <v/>
      </c>
      <c r="T74" s="75">
        <f>D74-$P74</f>
        <v/>
      </c>
      <c r="U74" s="75">
        <f>E74-$P74</f>
        <v/>
      </c>
      <c r="V74" s="75">
        <f>F74-$P74</f>
        <v/>
      </c>
      <c r="W74" s="75">
        <f>G74-$P74</f>
        <v/>
      </c>
      <c r="X74" s="75">
        <f>H74-$P74</f>
        <v/>
      </c>
      <c r="Y74" s="75">
        <f>I74-$P74</f>
        <v/>
      </c>
      <c r="Z74" s="75">
        <f>J74-$P74</f>
        <v/>
      </c>
      <c r="AA74" s="75">
        <f>K74-$P74</f>
        <v/>
      </c>
      <c r="AB74" s="75">
        <f>L74-$P74</f>
        <v/>
      </c>
      <c r="AC74" s="75">
        <f>M74-$P74</f>
        <v/>
      </c>
      <c r="AD74" s="75">
        <f>N74-$P74</f>
        <v/>
      </c>
      <c r="AE74" s="75">
        <f>O74-$P74</f>
        <v/>
      </c>
    </row>
    <row r="75" ht="16" customHeight="1">
      <c r="B75" s="181" t="n">
        <v>42460</v>
      </c>
      <c r="C75" s="75">
        <f>AIRBUS!D70</f>
        <v/>
      </c>
      <c r="D75" s="75">
        <f>BNP!D70</f>
        <v/>
      </c>
      <c r="E75" s="75">
        <f>CAPGEMINI!D70</f>
        <v/>
      </c>
      <c r="F75" s="75">
        <f>DANONE!D70</f>
        <v/>
      </c>
      <c r="G75" s="75">
        <f>ENGIE!D70</f>
        <v/>
      </c>
      <c r="H75" s="75">
        <f>'HERMES INTL'!D70</f>
        <v/>
      </c>
      <c r="I75" s="75">
        <f>'PERNOD RICARD'!D70</f>
        <v/>
      </c>
      <c r="J75" s="75">
        <f>RENAULT!D70</f>
        <v/>
      </c>
      <c r="K75" s="75">
        <f>SANOFI!D70</f>
        <v/>
      </c>
      <c r="L75" s="75">
        <f>'SCHNEIDER ELECTRIC'!D70</f>
        <v/>
      </c>
      <c r="M75" s="75">
        <f>'TOTAL ENERGIES'!D70</f>
        <v/>
      </c>
      <c r="N75" s="75">
        <f>VINCI!D70</f>
        <v/>
      </c>
      <c r="O75" s="75">
        <f>MARKET!D70</f>
        <v/>
      </c>
      <c r="P75" s="103">
        <f>INTERBANK!D69</f>
        <v/>
      </c>
      <c r="R75" s="181" t="n">
        <v>42460</v>
      </c>
      <c r="S75" s="75">
        <f>C75-$P75</f>
        <v/>
      </c>
      <c r="T75" s="75">
        <f>D75-$P75</f>
        <v/>
      </c>
      <c r="U75" s="75">
        <f>E75-$P75</f>
        <v/>
      </c>
      <c r="V75" s="75">
        <f>F75-$P75</f>
        <v/>
      </c>
      <c r="W75" s="75">
        <f>G75-$P75</f>
        <v/>
      </c>
      <c r="X75" s="75">
        <f>H75-$P75</f>
        <v/>
      </c>
      <c r="Y75" s="75">
        <f>I75-$P75</f>
        <v/>
      </c>
      <c r="Z75" s="75">
        <f>J75-$P75</f>
        <v/>
      </c>
      <c r="AA75" s="75">
        <f>K75-$P75</f>
        <v/>
      </c>
      <c r="AB75" s="75">
        <f>L75-$P75</f>
        <v/>
      </c>
      <c r="AC75" s="75">
        <f>M75-$P75</f>
        <v/>
      </c>
      <c r="AD75" s="75">
        <f>N75-$P75</f>
        <v/>
      </c>
      <c r="AE75" s="75">
        <f>O75-$P75</f>
        <v/>
      </c>
    </row>
    <row r="76" ht="16" customHeight="1">
      <c r="B76" s="181" t="n">
        <v>42490</v>
      </c>
      <c r="C76" s="75">
        <f>AIRBUS!D71</f>
        <v/>
      </c>
      <c r="D76" s="75">
        <f>BNP!D71</f>
        <v/>
      </c>
      <c r="E76" s="75">
        <f>CAPGEMINI!D71</f>
        <v/>
      </c>
      <c r="F76" s="75">
        <f>DANONE!D71</f>
        <v/>
      </c>
      <c r="G76" s="75">
        <f>ENGIE!D71</f>
        <v/>
      </c>
      <c r="H76" s="75">
        <f>'HERMES INTL'!D71</f>
        <v/>
      </c>
      <c r="I76" s="75">
        <f>'PERNOD RICARD'!D71</f>
        <v/>
      </c>
      <c r="J76" s="75">
        <f>RENAULT!D71</f>
        <v/>
      </c>
      <c r="K76" s="75">
        <f>SANOFI!D71</f>
        <v/>
      </c>
      <c r="L76" s="75">
        <f>'SCHNEIDER ELECTRIC'!D71</f>
        <v/>
      </c>
      <c r="M76" s="75">
        <f>'TOTAL ENERGIES'!D71</f>
        <v/>
      </c>
      <c r="N76" s="75">
        <f>VINCI!D71</f>
        <v/>
      </c>
      <c r="O76" s="75">
        <f>MARKET!D71</f>
        <v/>
      </c>
      <c r="P76" s="103">
        <f>INTERBANK!D70</f>
        <v/>
      </c>
      <c r="R76" s="181" t="n">
        <v>42490</v>
      </c>
      <c r="S76" s="75">
        <f>C76-$P76</f>
        <v/>
      </c>
      <c r="T76" s="75">
        <f>D76-$P76</f>
        <v/>
      </c>
      <c r="U76" s="75">
        <f>E76-$P76</f>
        <v/>
      </c>
      <c r="V76" s="75">
        <f>F76-$P76</f>
        <v/>
      </c>
      <c r="W76" s="75">
        <f>G76-$P76</f>
        <v/>
      </c>
      <c r="X76" s="75">
        <f>H76-$P76</f>
        <v/>
      </c>
      <c r="Y76" s="75">
        <f>I76-$P76</f>
        <v/>
      </c>
      <c r="Z76" s="75">
        <f>J76-$P76</f>
        <v/>
      </c>
      <c r="AA76" s="75">
        <f>K76-$P76</f>
        <v/>
      </c>
      <c r="AB76" s="75">
        <f>L76-$P76</f>
        <v/>
      </c>
      <c r="AC76" s="75">
        <f>M76-$P76</f>
        <v/>
      </c>
      <c r="AD76" s="75">
        <f>N76-$P76</f>
        <v/>
      </c>
      <c r="AE76" s="75">
        <f>O76-$P76</f>
        <v/>
      </c>
    </row>
    <row r="77" ht="16" customHeight="1">
      <c r="B77" s="181" t="n">
        <v>42521</v>
      </c>
      <c r="C77" s="75">
        <f>AIRBUS!D72</f>
        <v/>
      </c>
      <c r="D77" s="75">
        <f>BNP!D72</f>
        <v/>
      </c>
      <c r="E77" s="75">
        <f>CAPGEMINI!D72</f>
        <v/>
      </c>
      <c r="F77" s="75">
        <f>DANONE!D72</f>
        <v/>
      </c>
      <c r="G77" s="75">
        <f>ENGIE!D72</f>
        <v/>
      </c>
      <c r="H77" s="75">
        <f>'HERMES INTL'!D72</f>
        <v/>
      </c>
      <c r="I77" s="75">
        <f>'PERNOD RICARD'!D72</f>
        <v/>
      </c>
      <c r="J77" s="75">
        <f>RENAULT!D72</f>
        <v/>
      </c>
      <c r="K77" s="75">
        <f>SANOFI!D72</f>
        <v/>
      </c>
      <c r="L77" s="75">
        <f>'SCHNEIDER ELECTRIC'!D72</f>
        <v/>
      </c>
      <c r="M77" s="75">
        <f>'TOTAL ENERGIES'!D72</f>
        <v/>
      </c>
      <c r="N77" s="75">
        <f>VINCI!D72</f>
        <v/>
      </c>
      <c r="O77" s="75">
        <f>MARKET!D72</f>
        <v/>
      </c>
      <c r="P77" s="103">
        <f>INTERBANK!D71</f>
        <v/>
      </c>
      <c r="R77" s="181" t="n">
        <v>42521</v>
      </c>
      <c r="S77" s="75">
        <f>C77-$P77</f>
        <v/>
      </c>
      <c r="T77" s="75">
        <f>D77-$P77</f>
        <v/>
      </c>
      <c r="U77" s="75">
        <f>E77-$P77</f>
        <v/>
      </c>
      <c r="V77" s="75">
        <f>F77-$P77</f>
        <v/>
      </c>
      <c r="W77" s="75">
        <f>G77-$P77</f>
        <v/>
      </c>
      <c r="X77" s="75">
        <f>H77-$P77</f>
        <v/>
      </c>
      <c r="Y77" s="75">
        <f>I77-$P77</f>
        <v/>
      </c>
      <c r="Z77" s="75">
        <f>J77-$P77</f>
        <v/>
      </c>
      <c r="AA77" s="75">
        <f>K77-$P77</f>
        <v/>
      </c>
      <c r="AB77" s="75">
        <f>L77-$P77</f>
        <v/>
      </c>
      <c r="AC77" s="75">
        <f>M77-$P77</f>
        <v/>
      </c>
      <c r="AD77" s="75">
        <f>N77-$P77</f>
        <v/>
      </c>
      <c r="AE77" s="75">
        <f>O77-$P77</f>
        <v/>
      </c>
    </row>
    <row r="78" ht="16" customHeight="1">
      <c r="B78" s="181" t="n">
        <v>42551</v>
      </c>
      <c r="C78" s="75">
        <f>AIRBUS!D73</f>
        <v/>
      </c>
      <c r="D78" s="75">
        <f>BNP!D73</f>
        <v/>
      </c>
      <c r="E78" s="75">
        <f>CAPGEMINI!D73</f>
        <v/>
      </c>
      <c r="F78" s="75">
        <f>DANONE!D73</f>
        <v/>
      </c>
      <c r="G78" s="75">
        <f>ENGIE!D73</f>
        <v/>
      </c>
      <c r="H78" s="75">
        <f>'HERMES INTL'!D73</f>
        <v/>
      </c>
      <c r="I78" s="75">
        <f>'PERNOD RICARD'!D73</f>
        <v/>
      </c>
      <c r="J78" s="75">
        <f>RENAULT!D73</f>
        <v/>
      </c>
      <c r="K78" s="75">
        <f>SANOFI!D73</f>
        <v/>
      </c>
      <c r="L78" s="75">
        <f>'SCHNEIDER ELECTRIC'!D73</f>
        <v/>
      </c>
      <c r="M78" s="75">
        <f>'TOTAL ENERGIES'!D73</f>
        <v/>
      </c>
      <c r="N78" s="75">
        <f>VINCI!D73</f>
        <v/>
      </c>
      <c r="O78" s="75">
        <f>MARKET!D73</f>
        <v/>
      </c>
      <c r="P78" s="103">
        <f>INTERBANK!D72</f>
        <v/>
      </c>
      <c r="R78" s="181" t="n">
        <v>42551</v>
      </c>
      <c r="S78" s="75">
        <f>C78-$P78</f>
        <v/>
      </c>
      <c r="T78" s="75">
        <f>D78-$P78</f>
        <v/>
      </c>
      <c r="U78" s="75">
        <f>E78-$P78</f>
        <v/>
      </c>
      <c r="V78" s="75">
        <f>F78-$P78</f>
        <v/>
      </c>
      <c r="W78" s="75">
        <f>G78-$P78</f>
        <v/>
      </c>
      <c r="X78" s="75">
        <f>H78-$P78</f>
        <v/>
      </c>
      <c r="Y78" s="75">
        <f>I78-$P78</f>
        <v/>
      </c>
      <c r="Z78" s="75">
        <f>J78-$P78</f>
        <v/>
      </c>
      <c r="AA78" s="75">
        <f>K78-$P78</f>
        <v/>
      </c>
      <c r="AB78" s="75">
        <f>L78-$P78</f>
        <v/>
      </c>
      <c r="AC78" s="75">
        <f>M78-$P78</f>
        <v/>
      </c>
      <c r="AD78" s="75">
        <f>N78-$P78</f>
        <v/>
      </c>
      <c r="AE78" s="75">
        <f>O78-$P78</f>
        <v/>
      </c>
    </row>
    <row r="79" ht="16" customHeight="1">
      <c r="B79" s="181" t="n">
        <v>42582</v>
      </c>
      <c r="C79" s="75">
        <f>AIRBUS!D74</f>
        <v/>
      </c>
      <c r="D79" s="75">
        <f>BNP!D74</f>
        <v/>
      </c>
      <c r="E79" s="75">
        <f>CAPGEMINI!D74</f>
        <v/>
      </c>
      <c r="F79" s="75">
        <f>DANONE!D74</f>
        <v/>
      </c>
      <c r="G79" s="75">
        <f>ENGIE!D74</f>
        <v/>
      </c>
      <c r="H79" s="75">
        <f>'HERMES INTL'!D74</f>
        <v/>
      </c>
      <c r="I79" s="75">
        <f>'PERNOD RICARD'!D74</f>
        <v/>
      </c>
      <c r="J79" s="75">
        <f>RENAULT!D74</f>
        <v/>
      </c>
      <c r="K79" s="75">
        <f>SANOFI!D74</f>
        <v/>
      </c>
      <c r="L79" s="75">
        <f>'SCHNEIDER ELECTRIC'!D74</f>
        <v/>
      </c>
      <c r="M79" s="75">
        <f>'TOTAL ENERGIES'!D74</f>
        <v/>
      </c>
      <c r="N79" s="75">
        <f>VINCI!D74</f>
        <v/>
      </c>
      <c r="O79" s="75">
        <f>MARKET!D74</f>
        <v/>
      </c>
      <c r="P79" s="103">
        <f>INTERBANK!D73</f>
        <v/>
      </c>
      <c r="R79" s="181" t="n">
        <v>42582</v>
      </c>
      <c r="S79" s="75">
        <f>C79-$P79</f>
        <v/>
      </c>
      <c r="T79" s="75">
        <f>D79-$P79</f>
        <v/>
      </c>
      <c r="U79" s="75">
        <f>E79-$P79</f>
        <v/>
      </c>
      <c r="V79" s="75">
        <f>F79-$P79</f>
        <v/>
      </c>
      <c r="W79" s="75">
        <f>G79-$P79</f>
        <v/>
      </c>
      <c r="X79" s="75">
        <f>H79-$P79</f>
        <v/>
      </c>
      <c r="Y79" s="75">
        <f>I79-$P79</f>
        <v/>
      </c>
      <c r="Z79" s="75">
        <f>J79-$P79</f>
        <v/>
      </c>
      <c r="AA79" s="75">
        <f>K79-$P79</f>
        <v/>
      </c>
      <c r="AB79" s="75">
        <f>L79-$P79</f>
        <v/>
      </c>
      <c r="AC79" s="75">
        <f>M79-$P79</f>
        <v/>
      </c>
      <c r="AD79" s="75">
        <f>N79-$P79</f>
        <v/>
      </c>
      <c r="AE79" s="75">
        <f>O79-$P79</f>
        <v/>
      </c>
    </row>
    <row r="80" ht="16" customHeight="1">
      <c r="B80" s="181" t="n">
        <v>42613</v>
      </c>
      <c r="C80" s="75">
        <f>AIRBUS!D75</f>
        <v/>
      </c>
      <c r="D80" s="75">
        <f>BNP!D75</f>
        <v/>
      </c>
      <c r="E80" s="75">
        <f>CAPGEMINI!D75</f>
        <v/>
      </c>
      <c r="F80" s="75">
        <f>DANONE!D75</f>
        <v/>
      </c>
      <c r="G80" s="75">
        <f>ENGIE!D75</f>
        <v/>
      </c>
      <c r="H80" s="75">
        <f>'HERMES INTL'!D75</f>
        <v/>
      </c>
      <c r="I80" s="75">
        <f>'PERNOD RICARD'!D75</f>
        <v/>
      </c>
      <c r="J80" s="75">
        <f>RENAULT!D75</f>
        <v/>
      </c>
      <c r="K80" s="75">
        <f>SANOFI!D75</f>
        <v/>
      </c>
      <c r="L80" s="75">
        <f>'SCHNEIDER ELECTRIC'!D75</f>
        <v/>
      </c>
      <c r="M80" s="75">
        <f>'TOTAL ENERGIES'!D75</f>
        <v/>
      </c>
      <c r="N80" s="75">
        <f>VINCI!D75</f>
        <v/>
      </c>
      <c r="O80" s="75">
        <f>MARKET!D75</f>
        <v/>
      </c>
      <c r="P80" s="103">
        <f>INTERBANK!D74</f>
        <v/>
      </c>
      <c r="R80" s="181" t="n">
        <v>42613</v>
      </c>
      <c r="S80" s="75">
        <f>C80-$P80</f>
        <v/>
      </c>
      <c r="T80" s="75">
        <f>D80-$P80</f>
        <v/>
      </c>
      <c r="U80" s="75">
        <f>E80-$P80</f>
        <v/>
      </c>
      <c r="V80" s="75">
        <f>F80-$P80</f>
        <v/>
      </c>
      <c r="W80" s="75">
        <f>G80-$P80</f>
        <v/>
      </c>
      <c r="X80" s="75">
        <f>H80-$P80</f>
        <v/>
      </c>
      <c r="Y80" s="75">
        <f>I80-$P80</f>
        <v/>
      </c>
      <c r="Z80" s="75">
        <f>J80-$P80</f>
        <v/>
      </c>
      <c r="AA80" s="75">
        <f>K80-$P80</f>
        <v/>
      </c>
      <c r="AB80" s="75">
        <f>L80-$P80</f>
        <v/>
      </c>
      <c r="AC80" s="75">
        <f>M80-$P80</f>
        <v/>
      </c>
      <c r="AD80" s="75">
        <f>N80-$P80</f>
        <v/>
      </c>
      <c r="AE80" s="75">
        <f>O80-$P80</f>
        <v/>
      </c>
    </row>
    <row r="81" ht="16" customHeight="1">
      <c r="B81" s="181" t="n">
        <v>42643</v>
      </c>
      <c r="C81" s="75">
        <f>AIRBUS!D76</f>
        <v/>
      </c>
      <c r="D81" s="75">
        <f>BNP!D76</f>
        <v/>
      </c>
      <c r="E81" s="75">
        <f>CAPGEMINI!D76</f>
        <v/>
      </c>
      <c r="F81" s="75">
        <f>DANONE!D76</f>
        <v/>
      </c>
      <c r="G81" s="75">
        <f>ENGIE!D76</f>
        <v/>
      </c>
      <c r="H81" s="75">
        <f>'HERMES INTL'!D76</f>
        <v/>
      </c>
      <c r="I81" s="75">
        <f>'PERNOD RICARD'!D76</f>
        <v/>
      </c>
      <c r="J81" s="75">
        <f>RENAULT!D76</f>
        <v/>
      </c>
      <c r="K81" s="75">
        <f>SANOFI!D76</f>
        <v/>
      </c>
      <c r="L81" s="75">
        <f>'SCHNEIDER ELECTRIC'!D76</f>
        <v/>
      </c>
      <c r="M81" s="75">
        <f>'TOTAL ENERGIES'!D76</f>
        <v/>
      </c>
      <c r="N81" s="75">
        <f>VINCI!D76</f>
        <v/>
      </c>
      <c r="O81" s="75">
        <f>MARKET!D76</f>
        <v/>
      </c>
      <c r="P81" s="103">
        <f>INTERBANK!D75</f>
        <v/>
      </c>
      <c r="R81" s="181" t="n">
        <v>42643</v>
      </c>
      <c r="S81" s="75">
        <f>C81-$P81</f>
        <v/>
      </c>
      <c r="T81" s="75">
        <f>D81-$P81</f>
        <v/>
      </c>
      <c r="U81" s="75">
        <f>E81-$P81</f>
        <v/>
      </c>
      <c r="V81" s="75">
        <f>F81-$P81</f>
        <v/>
      </c>
      <c r="W81" s="75">
        <f>G81-$P81</f>
        <v/>
      </c>
      <c r="X81" s="75">
        <f>H81-$P81</f>
        <v/>
      </c>
      <c r="Y81" s="75">
        <f>I81-$P81</f>
        <v/>
      </c>
      <c r="Z81" s="75">
        <f>J81-$P81</f>
        <v/>
      </c>
      <c r="AA81" s="75">
        <f>K81-$P81</f>
        <v/>
      </c>
      <c r="AB81" s="75">
        <f>L81-$P81</f>
        <v/>
      </c>
      <c r="AC81" s="75">
        <f>M81-$P81</f>
        <v/>
      </c>
      <c r="AD81" s="75">
        <f>N81-$P81</f>
        <v/>
      </c>
      <c r="AE81" s="75">
        <f>O81-$P81</f>
        <v/>
      </c>
    </row>
    <row r="82" ht="16" customHeight="1">
      <c r="B82" s="181" t="n">
        <v>42674</v>
      </c>
      <c r="C82" s="75">
        <f>AIRBUS!D77</f>
        <v/>
      </c>
      <c r="D82" s="75">
        <f>BNP!D77</f>
        <v/>
      </c>
      <c r="E82" s="75">
        <f>CAPGEMINI!D77</f>
        <v/>
      </c>
      <c r="F82" s="75">
        <f>DANONE!D77</f>
        <v/>
      </c>
      <c r="G82" s="75">
        <f>ENGIE!D77</f>
        <v/>
      </c>
      <c r="H82" s="75">
        <f>'HERMES INTL'!D77</f>
        <v/>
      </c>
      <c r="I82" s="75">
        <f>'PERNOD RICARD'!D77</f>
        <v/>
      </c>
      <c r="J82" s="75">
        <f>RENAULT!D77</f>
        <v/>
      </c>
      <c r="K82" s="75">
        <f>SANOFI!D77</f>
        <v/>
      </c>
      <c r="L82" s="75">
        <f>'SCHNEIDER ELECTRIC'!D77</f>
        <v/>
      </c>
      <c r="M82" s="75">
        <f>'TOTAL ENERGIES'!D77</f>
        <v/>
      </c>
      <c r="N82" s="75">
        <f>VINCI!D77</f>
        <v/>
      </c>
      <c r="O82" s="75">
        <f>MARKET!D77</f>
        <v/>
      </c>
      <c r="P82" s="103">
        <f>INTERBANK!D76</f>
        <v/>
      </c>
      <c r="R82" s="181" t="n">
        <v>42674</v>
      </c>
      <c r="S82" s="75">
        <f>C82-$P82</f>
        <v/>
      </c>
      <c r="T82" s="75">
        <f>D82-$P82</f>
        <v/>
      </c>
      <c r="U82" s="75">
        <f>E82-$P82</f>
        <v/>
      </c>
      <c r="V82" s="75">
        <f>F82-$P82</f>
        <v/>
      </c>
      <c r="W82" s="75">
        <f>G82-$P82</f>
        <v/>
      </c>
      <c r="X82" s="75">
        <f>H82-$P82</f>
        <v/>
      </c>
      <c r="Y82" s="75">
        <f>I82-$P82</f>
        <v/>
      </c>
      <c r="Z82" s="75">
        <f>J82-$P82</f>
        <v/>
      </c>
      <c r="AA82" s="75">
        <f>K82-$P82</f>
        <v/>
      </c>
      <c r="AB82" s="75">
        <f>L82-$P82</f>
        <v/>
      </c>
      <c r="AC82" s="75">
        <f>M82-$P82</f>
        <v/>
      </c>
      <c r="AD82" s="75">
        <f>N82-$P82</f>
        <v/>
      </c>
      <c r="AE82" s="75">
        <f>O82-$P82</f>
        <v/>
      </c>
    </row>
    <row r="83" ht="16" customHeight="1">
      <c r="B83" s="181" t="n">
        <v>42704</v>
      </c>
      <c r="C83" s="75">
        <f>AIRBUS!D78</f>
        <v/>
      </c>
      <c r="D83" s="75">
        <f>BNP!D78</f>
        <v/>
      </c>
      <c r="E83" s="75">
        <f>CAPGEMINI!D78</f>
        <v/>
      </c>
      <c r="F83" s="75">
        <f>DANONE!D78</f>
        <v/>
      </c>
      <c r="G83" s="75">
        <f>ENGIE!D78</f>
        <v/>
      </c>
      <c r="H83" s="75">
        <f>'HERMES INTL'!D78</f>
        <v/>
      </c>
      <c r="I83" s="75">
        <f>'PERNOD RICARD'!D78</f>
        <v/>
      </c>
      <c r="J83" s="75">
        <f>RENAULT!D78</f>
        <v/>
      </c>
      <c r="K83" s="75">
        <f>SANOFI!D78</f>
        <v/>
      </c>
      <c r="L83" s="75">
        <f>'SCHNEIDER ELECTRIC'!D78</f>
        <v/>
      </c>
      <c r="M83" s="75">
        <f>'TOTAL ENERGIES'!D78</f>
        <v/>
      </c>
      <c r="N83" s="75">
        <f>VINCI!D78</f>
        <v/>
      </c>
      <c r="O83" s="75">
        <f>MARKET!D78</f>
        <v/>
      </c>
      <c r="P83" s="103">
        <f>INTERBANK!D77</f>
        <v/>
      </c>
      <c r="R83" s="181" t="n">
        <v>42704</v>
      </c>
      <c r="S83" s="75">
        <f>C83-$P83</f>
        <v/>
      </c>
      <c r="T83" s="75">
        <f>D83-$P83</f>
        <v/>
      </c>
      <c r="U83" s="75">
        <f>E83-$P83</f>
        <v/>
      </c>
      <c r="V83" s="75">
        <f>F83-$P83</f>
        <v/>
      </c>
      <c r="W83" s="75">
        <f>G83-$P83</f>
        <v/>
      </c>
      <c r="X83" s="75">
        <f>H83-$P83</f>
        <v/>
      </c>
      <c r="Y83" s="75">
        <f>I83-$P83</f>
        <v/>
      </c>
      <c r="Z83" s="75">
        <f>J83-$P83</f>
        <v/>
      </c>
      <c r="AA83" s="75">
        <f>K83-$P83</f>
        <v/>
      </c>
      <c r="AB83" s="75">
        <f>L83-$P83</f>
        <v/>
      </c>
      <c r="AC83" s="75">
        <f>M83-$P83</f>
        <v/>
      </c>
      <c r="AD83" s="75">
        <f>N83-$P83</f>
        <v/>
      </c>
      <c r="AE83" s="75">
        <f>O83-$P83</f>
        <v/>
      </c>
    </row>
    <row r="84" ht="16" customHeight="1">
      <c r="B84" s="181" t="n">
        <v>42735</v>
      </c>
      <c r="C84" s="75">
        <f>AIRBUS!D79</f>
        <v/>
      </c>
      <c r="D84" s="75">
        <f>BNP!D79</f>
        <v/>
      </c>
      <c r="E84" s="75">
        <f>CAPGEMINI!D79</f>
        <v/>
      </c>
      <c r="F84" s="75">
        <f>DANONE!D79</f>
        <v/>
      </c>
      <c r="G84" s="75">
        <f>ENGIE!D79</f>
        <v/>
      </c>
      <c r="H84" s="75">
        <f>'HERMES INTL'!D79</f>
        <v/>
      </c>
      <c r="I84" s="75">
        <f>'PERNOD RICARD'!D79</f>
        <v/>
      </c>
      <c r="J84" s="75">
        <f>RENAULT!D79</f>
        <v/>
      </c>
      <c r="K84" s="75">
        <f>SANOFI!D79</f>
        <v/>
      </c>
      <c r="L84" s="75">
        <f>'SCHNEIDER ELECTRIC'!D79</f>
        <v/>
      </c>
      <c r="M84" s="75">
        <f>'TOTAL ENERGIES'!D79</f>
        <v/>
      </c>
      <c r="N84" s="75">
        <f>VINCI!D79</f>
        <v/>
      </c>
      <c r="O84" s="75">
        <f>MARKET!D79</f>
        <v/>
      </c>
      <c r="P84" s="103">
        <f>INTERBANK!D78</f>
        <v/>
      </c>
      <c r="R84" s="181" t="n">
        <v>42735</v>
      </c>
      <c r="S84" s="75">
        <f>C84-$P84</f>
        <v/>
      </c>
      <c r="T84" s="75">
        <f>D84-$P84</f>
        <v/>
      </c>
      <c r="U84" s="75">
        <f>E84-$P84</f>
        <v/>
      </c>
      <c r="V84" s="75">
        <f>F84-$P84</f>
        <v/>
      </c>
      <c r="W84" s="75">
        <f>G84-$P84</f>
        <v/>
      </c>
      <c r="X84" s="75">
        <f>H84-$P84</f>
        <v/>
      </c>
      <c r="Y84" s="75">
        <f>I84-$P84</f>
        <v/>
      </c>
      <c r="Z84" s="75">
        <f>J84-$P84</f>
        <v/>
      </c>
      <c r="AA84" s="75">
        <f>K84-$P84</f>
        <v/>
      </c>
      <c r="AB84" s="75">
        <f>L84-$P84</f>
        <v/>
      </c>
      <c r="AC84" s="75">
        <f>M84-$P84</f>
        <v/>
      </c>
      <c r="AD84" s="75">
        <f>N84-$P84</f>
        <v/>
      </c>
      <c r="AE84" s="75">
        <f>O84-$P84</f>
        <v/>
      </c>
    </row>
    <row r="85" ht="16" customHeight="1">
      <c r="B85" s="181" t="n">
        <v>42766</v>
      </c>
      <c r="C85" s="75">
        <f>AIRBUS!D80</f>
        <v/>
      </c>
      <c r="D85" s="75">
        <f>BNP!D80</f>
        <v/>
      </c>
      <c r="E85" s="75">
        <f>CAPGEMINI!D80</f>
        <v/>
      </c>
      <c r="F85" s="75">
        <f>DANONE!D80</f>
        <v/>
      </c>
      <c r="G85" s="75">
        <f>ENGIE!D80</f>
        <v/>
      </c>
      <c r="H85" s="75">
        <f>'HERMES INTL'!D80</f>
        <v/>
      </c>
      <c r="I85" s="75">
        <f>'PERNOD RICARD'!D80</f>
        <v/>
      </c>
      <c r="J85" s="75">
        <f>RENAULT!D80</f>
        <v/>
      </c>
      <c r="K85" s="75">
        <f>SANOFI!D80</f>
        <v/>
      </c>
      <c r="L85" s="75">
        <f>'SCHNEIDER ELECTRIC'!D80</f>
        <v/>
      </c>
      <c r="M85" s="75">
        <f>'TOTAL ENERGIES'!D80</f>
        <v/>
      </c>
      <c r="N85" s="75">
        <f>VINCI!D80</f>
        <v/>
      </c>
      <c r="O85" s="75">
        <f>MARKET!D80</f>
        <v/>
      </c>
      <c r="P85" s="103">
        <f>INTERBANK!D79</f>
        <v/>
      </c>
      <c r="R85" s="181" t="n">
        <v>42766</v>
      </c>
      <c r="S85" s="75">
        <f>C85-$P85</f>
        <v/>
      </c>
      <c r="T85" s="75">
        <f>D85-$P85</f>
        <v/>
      </c>
      <c r="U85" s="75">
        <f>E85-$P85</f>
        <v/>
      </c>
      <c r="V85" s="75">
        <f>F85-$P85</f>
        <v/>
      </c>
      <c r="W85" s="75">
        <f>G85-$P85</f>
        <v/>
      </c>
      <c r="X85" s="75">
        <f>H85-$P85</f>
        <v/>
      </c>
      <c r="Y85" s="75">
        <f>I85-$P85</f>
        <v/>
      </c>
      <c r="Z85" s="75">
        <f>J85-$P85</f>
        <v/>
      </c>
      <c r="AA85" s="75">
        <f>K85-$P85</f>
        <v/>
      </c>
      <c r="AB85" s="75">
        <f>L85-$P85</f>
        <v/>
      </c>
      <c r="AC85" s="75">
        <f>M85-$P85</f>
        <v/>
      </c>
      <c r="AD85" s="75">
        <f>N85-$P85</f>
        <v/>
      </c>
      <c r="AE85" s="75">
        <f>O85-$P85</f>
        <v/>
      </c>
    </row>
    <row r="86" ht="16" customHeight="1">
      <c r="B86" s="181" t="n">
        <v>42794</v>
      </c>
      <c r="C86" s="75">
        <f>AIRBUS!D81</f>
        <v/>
      </c>
      <c r="D86" s="75">
        <f>BNP!D81</f>
        <v/>
      </c>
      <c r="E86" s="75">
        <f>CAPGEMINI!D81</f>
        <v/>
      </c>
      <c r="F86" s="75">
        <f>DANONE!D81</f>
        <v/>
      </c>
      <c r="G86" s="75">
        <f>ENGIE!D81</f>
        <v/>
      </c>
      <c r="H86" s="75">
        <f>'HERMES INTL'!D81</f>
        <v/>
      </c>
      <c r="I86" s="75">
        <f>'PERNOD RICARD'!D81</f>
        <v/>
      </c>
      <c r="J86" s="75">
        <f>RENAULT!D81</f>
        <v/>
      </c>
      <c r="K86" s="75">
        <f>SANOFI!D81</f>
        <v/>
      </c>
      <c r="L86" s="75">
        <f>'SCHNEIDER ELECTRIC'!D81</f>
        <v/>
      </c>
      <c r="M86" s="75">
        <f>'TOTAL ENERGIES'!D81</f>
        <v/>
      </c>
      <c r="N86" s="75">
        <f>VINCI!D81</f>
        <v/>
      </c>
      <c r="O86" s="75">
        <f>MARKET!D81</f>
        <v/>
      </c>
      <c r="P86" s="103">
        <f>INTERBANK!D80</f>
        <v/>
      </c>
      <c r="R86" s="181" t="n">
        <v>42794</v>
      </c>
      <c r="S86" s="75">
        <f>C86-$P86</f>
        <v/>
      </c>
      <c r="T86" s="75">
        <f>D86-$P86</f>
        <v/>
      </c>
      <c r="U86" s="75">
        <f>E86-$P86</f>
        <v/>
      </c>
      <c r="V86" s="75">
        <f>F86-$P86</f>
        <v/>
      </c>
      <c r="W86" s="75">
        <f>G86-$P86</f>
        <v/>
      </c>
      <c r="X86" s="75">
        <f>H86-$P86</f>
        <v/>
      </c>
      <c r="Y86" s="75">
        <f>I86-$P86</f>
        <v/>
      </c>
      <c r="Z86" s="75">
        <f>J86-$P86</f>
        <v/>
      </c>
      <c r="AA86" s="75">
        <f>K86-$P86</f>
        <v/>
      </c>
      <c r="AB86" s="75">
        <f>L86-$P86</f>
        <v/>
      </c>
      <c r="AC86" s="75">
        <f>M86-$P86</f>
        <v/>
      </c>
      <c r="AD86" s="75">
        <f>N86-$P86</f>
        <v/>
      </c>
      <c r="AE86" s="75">
        <f>O86-$P86</f>
        <v/>
      </c>
    </row>
    <row r="87" ht="16" customHeight="1">
      <c r="B87" s="181" t="n">
        <v>42825</v>
      </c>
      <c r="C87" s="75">
        <f>AIRBUS!D82</f>
        <v/>
      </c>
      <c r="D87" s="75">
        <f>BNP!D82</f>
        <v/>
      </c>
      <c r="E87" s="75">
        <f>CAPGEMINI!D82</f>
        <v/>
      </c>
      <c r="F87" s="75">
        <f>DANONE!D82</f>
        <v/>
      </c>
      <c r="G87" s="75">
        <f>ENGIE!D82</f>
        <v/>
      </c>
      <c r="H87" s="75">
        <f>'HERMES INTL'!D82</f>
        <v/>
      </c>
      <c r="I87" s="75">
        <f>'PERNOD RICARD'!D82</f>
        <v/>
      </c>
      <c r="J87" s="75">
        <f>RENAULT!D82</f>
        <v/>
      </c>
      <c r="K87" s="75">
        <f>SANOFI!D82</f>
        <v/>
      </c>
      <c r="L87" s="75">
        <f>'SCHNEIDER ELECTRIC'!D82</f>
        <v/>
      </c>
      <c r="M87" s="75">
        <f>'TOTAL ENERGIES'!D82</f>
        <v/>
      </c>
      <c r="N87" s="75">
        <f>VINCI!D82</f>
        <v/>
      </c>
      <c r="O87" s="75">
        <f>MARKET!D82</f>
        <v/>
      </c>
      <c r="P87" s="103">
        <f>INTERBANK!D81</f>
        <v/>
      </c>
      <c r="R87" s="181" t="n">
        <v>42825</v>
      </c>
      <c r="S87" s="75">
        <f>C87-$P87</f>
        <v/>
      </c>
      <c r="T87" s="75">
        <f>D87-$P87</f>
        <v/>
      </c>
      <c r="U87" s="75">
        <f>E87-$P87</f>
        <v/>
      </c>
      <c r="V87" s="75">
        <f>F87-$P87</f>
        <v/>
      </c>
      <c r="W87" s="75">
        <f>G87-$P87</f>
        <v/>
      </c>
      <c r="X87" s="75">
        <f>H87-$P87</f>
        <v/>
      </c>
      <c r="Y87" s="75">
        <f>I87-$P87</f>
        <v/>
      </c>
      <c r="Z87" s="75">
        <f>J87-$P87</f>
        <v/>
      </c>
      <c r="AA87" s="75">
        <f>K87-$P87</f>
        <v/>
      </c>
      <c r="AB87" s="75">
        <f>L87-$P87</f>
        <v/>
      </c>
      <c r="AC87" s="75">
        <f>M87-$P87</f>
        <v/>
      </c>
      <c r="AD87" s="75">
        <f>N87-$P87</f>
        <v/>
      </c>
      <c r="AE87" s="75">
        <f>O87-$P87</f>
        <v/>
      </c>
    </row>
    <row r="88" ht="16" customHeight="1">
      <c r="B88" s="181" t="n">
        <v>42855</v>
      </c>
      <c r="C88" s="75">
        <f>AIRBUS!D83</f>
        <v/>
      </c>
      <c r="D88" s="75">
        <f>BNP!D83</f>
        <v/>
      </c>
      <c r="E88" s="75">
        <f>CAPGEMINI!D83</f>
        <v/>
      </c>
      <c r="F88" s="75">
        <f>DANONE!D83</f>
        <v/>
      </c>
      <c r="G88" s="75">
        <f>ENGIE!D83</f>
        <v/>
      </c>
      <c r="H88" s="75">
        <f>'HERMES INTL'!D83</f>
        <v/>
      </c>
      <c r="I88" s="75">
        <f>'PERNOD RICARD'!D83</f>
        <v/>
      </c>
      <c r="J88" s="75">
        <f>RENAULT!D83</f>
        <v/>
      </c>
      <c r="K88" s="75">
        <f>SANOFI!D83</f>
        <v/>
      </c>
      <c r="L88" s="75">
        <f>'SCHNEIDER ELECTRIC'!D83</f>
        <v/>
      </c>
      <c r="M88" s="75">
        <f>'TOTAL ENERGIES'!D83</f>
        <v/>
      </c>
      <c r="N88" s="75">
        <f>VINCI!D83</f>
        <v/>
      </c>
      <c r="O88" s="75">
        <f>MARKET!D83</f>
        <v/>
      </c>
      <c r="P88" s="103">
        <f>INTERBANK!D82</f>
        <v/>
      </c>
      <c r="R88" s="181" t="n">
        <v>42855</v>
      </c>
      <c r="S88" s="75">
        <f>C88-$P88</f>
        <v/>
      </c>
      <c r="T88" s="75">
        <f>D88-$P88</f>
        <v/>
      </c>
      <c r="U88" s="75">
        <f>E88-$P88</f>
        <v/>
      </c>
      <c r="V88" s="75">
        <f>F88-$P88</f>
        <v/>
      </c>
      <c r="W88" s="75">
        <f>G88-$P88</f>
        <v/>
      </c>
      <c r="X88" s="75">
        <f>H88-$P88</f>
        <v/>
      </c>
      <c r="Y88" s="75">
        <f>I88-$P88</f>
        <v/>
      </c>
      <c r="Z88" s="75">
        <f>J88-$P88</f>
        <v/>
      </c>
      <c r="AA88" s="75">
        <f>K88-$P88</f>
        <v/>
      </c>
      <c r="AB88" s="75">
        <f>L88-$P88</f>
        <v/>
      </c>
      <c r="AC88" s="75">
        <f>M88-$P88</f>
        <v/>
      </c>
      <c r="AD88" s="75">
        <f>N88-$P88</f>
        <v/>
      </c>
      <c r="AE88" s="75">
        <f>O88-$P88</f>
        <v/>
      </c>
    </row>
    <row r="89" ht="16" customHeight="1">
      <c r="B89" s="181" t="n">
        <v>42886</v>
      </c>
      <c r="C89" s="75">
        <f>AIRBUS!D84</f>
        <v/>
      </c>
      <c r="D89" s="75">
        <f>BNP!D84</f>
        <v/>
      </c>
      <c r="E89" s="75">
        <f>CAPGEMINI!D84</f>
        <v/>
      </c>
      <c r="F89" s="75">
        <f>DANONE!D84</f>
        <v/>
      </c>
      <c r="G89" s="75">
        <f>ENGIE!D84</f>
        <v/>
      </c>
      <c r="H89" s="75">
        <f>'HERMES INTL'!D84</f>
        <v/>
      </c>
      <c r="I89" s="75">
        <f>'PERNOD RICARD'!D84</f>
        <v/>
      </c>
      <c r="J89" s="75">
        <f>RENAULT!D84</f>
        <v/>
      </c>
      <c r="K89" s="75">
        <f>SANOFI!D84</f>
        <v/>
      </c>
      <c r="L89" s="75">
        <f>'SCHNEIDER ELECTRIC'!D84</f>
        <v/>
      </c>
      <c r="M89" s="75">
        <f>'TOTAL ENERGIES'!D84</f>
        <v/>
      </c>
      <c r="N89" s="75">
        <f>VINCI!D84</f>
        <v/>
      </c>
      <c r="O89" s="75">
        <f>MARKET!D84</f>
        <v/>
      </c>
      <c r="P89" s="103">
        <f>INTERBANK!D83</f>
        <v/>
      </c>
      <c r="R89" s="181" t="n">
        <v>42886</v>
      </c>
      <c r="S89" s="75">
        <f>C89-$P89</f>
        <v/>
      </c>
      <c r="T89" s="75">
        <f>D89-$P89</f>
        <v/>
      </c>
      <c r="U89" s="75">
        <f>E89-$P89</f>
        <v/>
      </c>
      <c r="V89" s="75">
        <f>F89-$P89</f>
        <v/>
      </c>
      <c r="W89" s="75">
        <f>G89-$P89</f>
        <v/>
      </c>
      <c r="X89" s="75">
        <f>H89-$P89</f>
        <v/>
      </c>
      <c r="Y89" s="75">
        <f>I89-$P89</f>
        <v/>
      </c>
      <c r="Z89" s="75">
        <f>J89-$P89</f>
        <v/>
      </c>
      <c r="AA89" s="75">
        <f>K89-$P89</f>
        <v/>
      </c>
      <c r="AB89" s="75">
        <f>L89-$P89</f>
        <v/>
      </c>
      <c r="AC89" s="75">
        <f>M89-$P89</f>
        <v/>
      </c>
      <c r="AD89" s="75">
        <f>N89-$P89</f>
        <v/>
      </c>
      <c r="AE89" s="75">
        <f>O89-$P89</f>
        <v/>
      </c>
    </row>
    <row r="90" ht="16" customHeight="1">
      <c r="B90" s="181" t="n">
        <v>42916</v>
      </c>
      <c r="C90" s="75">
        <f>AIRBUS!D85</f>
        <v/>
      </c>
      <c r="D90" s="75">
        <f>BNP!D85</f>
        <v/>
      </c>
      <c r="E90" s="75">
        <f>CAPGEMINI!D85</f>
        <v/>
      </c>
      <c r="F90" s="75">
        <f>DANONE!D85</f>
        <v/>
      </c>
      <c r="G90" s="75">
        <f>ENGIE!D85</f>
        <v/>
      </c>
      <c r="H90" s="75">
        <f>'HERMES INTL'!D85</f>
        <v/>
      </c>
      <c r="I90" s="75">
        <f>'PERNOD RICARD'!D85</f>
        <v/>
      </c>
      <c r="J90" s="75">
        <f>RENAULT!D85</f>
        <v/>
      </c>
      <c r="K90" s="75">
        <f>SANOFI!D85</f>
        <v/>
      </c>
      <c r="L90" s="75">
        <f>'SCHNEIDER ELECTRIC'!D85</f>
        <v/>
      </c>
      <c r="M90" s="75">
        <f>'TOTAL ENERGIES'!D85</f>
        <v/>
      </c>
      <c r="N90" s="75">
        <f>VINCI!D85</f>
        <v/>
      </c>
      <c r="O90" s="75">
        <f>MARKET!D85</f>
        <v/>
      </c>
      <c r="P90" s="103">
        <f>INTERBANK!D84</f>
        <v/>
      </c>
      <c r="R90" s="181" t="n">
        <v>42916</v>
      </c>
      <c r="S90" s="75">
        <f>C90-$P90</f>
        <v/>
      </c>
      <c r="T90" s="75">
        <f>D90-$P90</f>
        <v/>
      </c>
      <c r="U90" s="75">
        <f>E90-$P90</f>
        <v/>
      </c>
      <c r="V90" s="75">
        <f>F90-$P90</f>
        <v/>
      </c>
      <c r="W90" s="75">
        <f>G90-$P90</f>
        <v/>
      </c>
      <c r="X90" s="75">
        <f>H90-$P90</f>
        <v/>
      </c>
      <c r="Y90" s="75">
        <f>I90-$P90</f>
        <v/>
      </c>
      <c r="Z90" s="75">
        <f>J90-$P90</f>
        <v/>
      </c>
      <c r="AA90" s="75">
        <f>K90-$P90</f>
        <v/>
      </c>
      <c r="AB90" s="75">
        <f>L90-$P90</f>
        <v/>
      </c>
      <c r="AC90" s="75">
        <f>M90-$P90</f>
        <v/>
      </c>
      <c r="AD90" s="75">
        <f>N90-$P90</f>
        <v/>
      </c>
      <c r="AE90" s="75">
        <f>O90-$P90</f>
        <v/>
      </c>
    </row>
    <row r="91" ht="16" customHeight="1">
      <c r="B91" s="181" t="n">
        <v>42947</v>
      </c>
      <c r="C91" s="75">
        <f>AIRBUS!D86</f>
        <v/>
      </c>
      <c r="D91" s="75">
        <f>BNP!D86</f>
        <v/>
      </c>
      <c r="E91" s="75">
        <f>CAPGEMINI!D86</f>
        <v/>
      </c>
      <c r="F91" s="75">
        <f>DANONE!D86</f>
        <v/>
      </c>
      <c r="G91" s="75">
        <f>ENGIE!D86</f>
        <v/>
      </c>
      <c r="H91" s="75">
        <f>'HERMES INTL'!D86</f>
        <v/>
      </c>
      <c r="I91" s="75">
        <f>'PERNOD RICARD'!D86</f>
        <v/>
      </c>
      <c r="J91" s="75">
        <f>RENAULT!D86</f>
        <v/>
      </c>
      <c r="K91" s="75">
        <f>SANOFI!D86</f>
        <v/>
      </c>
      <c r="L91" s="75">
        <f>'SCHNEIDER ELECTRIC'!D86</f>
        <v/>
      </c>
      <c r="M91" s="75">
        <f>'TOTAL ENERGIES'!D86</f>
        <v/>
      </c>
      <c r="N91" s="75">
        <f>VINCI!D86</f>
        <v/>
      </c>
      <c r="O91" s="75">
        <f>MARKET!D86</f>
        <v/>
      </c>
      <c r="P91" s="103">
        <f>INTERBANK!D85</f>
        <v/>
      </c>
      <c r="R91" s="181" t="n">
        <v>42947</v>
      </c>
      <c r="S91" s="75">
        <f>C91-$P91</f>
        <v/>
      </c>
      <c r="T91" s="75">
        <f>D91-$P91</f>
        <v/>
      </c>
      <c r="U91" s="75">
        <f>E91-$P91</f>
        <v/>
      </c>
      <c r="V91" s="75">
        <f>F91-$P91</f>
        <v/>
      </c>
      <c r="W91" s="75">
        <f>G91-$P91</f>
        <v/>
      </c>
      <c r="X91" s="75">
        <f>H91-$P91</f>
        <v/>
      </c>
      <c r="Y91" s="75">
        <f>I91-$P91</f>
        <v/>
      </c>
      <c r="Z91" s="75">
        <f>J91-$P91</f>
        <v/>
      </c>
      <c r="AA91" s="75">
        <f>K91-$P91</f>
        <v/>
      </c>
      <c r="AB91" s="75">
        <f>L91-$P91</f>
        <v/>
      </c>
      <c r="AC91" s="75">
        <f>M91-$P91</f>
        <v/>
      </c>
      <c r="AD91" s="75">
        <f>N91-$P91</f>
        <v/>
      </c>
      <c r="AE91" s="75">
        <f>O91-$P91</f>
        <v/>
      </c>
    </row>
    <row r="92" ht="16" customHeight="1">
      <c r="B92" s="181" t="n">
        <v>42978</v>
      </c>
      <c r="C92" s="75">
        <f>AIRBUS!D87</f>
        <v/>
      </c>
      <c r="D92" s="75">
        <f>BNP!D87</f>
        <v/>
      </c>
      <c r="E92" s="75">
        <f>CAPGEMINI!D87</f>
        <v/>
      </c>
      <c r="F92" s="75">
        <f>DANONE!D87</f>
        <v/>
      </c>
      <c r="G92" s="75">
        <f>ENGIE!D87</f>
        <v/>
      </c>
      <c r="H92" s="75">
        <f>'HERMES INTL'!D87</f>
        <v/>
      </c>
      <c r="I92" s="75">
        <f>'PERNOD RICARD'!D87</f>
        <v/>
      </c>
      <c r="J92" s="75">
        <f>RENAULT!D87</f>
        <v/>
      </c>
      <c r="K92" s="75">
        <f>SANOFI!D87</f>
        <v/>
      </c>
      <c r="L92" s="75">
        <f>'SCHNEIDER ELECTRIC'!D87</f>
        <v/>
      </c>
      <c r="M92" s="75">
        <f>'TOTAL ENERGIES'!D87</f>
        <v/>
      </c>
      <c r="N92" s="75">
        <f>VINCI!D87</f>
        <v/>
      </c>
      <c r="O92" s="75">
        <f>MARKET!D87</f>
        <v/>
      </c>
      <c r="P92" s="103">
        <f>INTERBANK!D86</f>
        <v/>
      </c>
      <c r="R92" s="181" t="n">
        <v>42978</v>
      </c>
      <c r="S92" s="75">
        <f>C92-$P92</f>
        <v/>
      </c>
      <c r="T92" s="75">
        <f>D92-$P92</f>
        <v/>
      </c>
      <c r="U92" s="75">
        <f>E92-$P92</f>
        <v/>
      </c>
      <c r="V92" s="75">
        <f>F92-$P92</f>
        <v/>
      </c>
      <c r="W92" s="75">
        <f>G92-$P92</f>
        <v/>
      </c>
      <c r="X92" s="75">
        <f>H92-$P92</f>
        <v/>
      </c>
      <c r="Y92" s="75">
        <f>I92-$P92</f>
        <v/>
      </c>
      <c r="Z92" s="75">
        <f>J92-$P92</f>
        <v/>
      </c>
      <c r="AA92" s="75">
        <f>K92-$P92</f>
        <v/>
      </c>
      <c r="AB92" s="75">
        <f>L92-$P92</f>
        <v/>
      </c>
      <c r="AC92" s="75">
        <f>M92-$P92</f>
        <v/>
      </c>
      <c r="AD92" s="75">
        <f>N92-$P92</f>
        <v/>
      </c>
      <c r="AE92" s="75">
        <f>O92-$P92</f>
        <v/>
      </c>
    </row>
    <row r="93" ht="16" customHeight="1">
      <c r="B93" s="181" t="n">
        <v>43008</v>
      </c>
      <c r="C93" s="75">
        <f>AIRBUS!D88</f>
        <v/>
      </c>
      <c r="D93" s="75">
        <f>BNP!D88</f>
        <v/>
      </c>
      <c r="E93" s="75">
        <f>CAPGEMINI!D88</f>
        <v/>
      </c>
      <c r="F93" s="75">
        <f>DANONE!D88</f>
        <v/>
      </c>
      <c r="G93" s="75">
        <f>ENGIE!D88</f>
        <v/>
      </c>
      <c r="H93" s="75">
        <f>'HERMES INTL'!D88</f>
        <v/>
      </c>
      <c r="I93" s="75">
        <f>'PERNOD RICARD'!D88</f>
        <v/>
      </c>
      <c r="J93" s="75">
        <f>RENAULT!D88</f>
        <v/>
      </c>
      <c r="K93" s="75">
        <f>SANOFI!D88</f>
        <v/>
      </c>
      <c r="L93" s="75">
        <f>'SCHNEIDER ELECTRIC'!D88</f>
        <v/>
      </c>
      <c r="M93" s="75">
        <f>'TOTAL ENERGIES'!D88</f>
        <v/>
      </c>
      <c r="N93" s="75">
        <f>VINCI!D88</f>
        <v/>
      </c>
      <c r="O93" s="75">
        <f>MARKET!D88</f>
        <v/>
      </c>
      <c r="P93" s="103">
        <f>INTERBANK!D87</f>
        <v/>
      </c>
      <c r="R93" s="181" t="n">
        <v>43008</v>
      </c>
      <c r="S93" s="75">
        <f>C93-$P93</f>
        <v/>
      </c>
      <c r="T93" s="75">
        <f>D93-$P93</f>
        <v/>
      </c>
      <c r="U93" s="75">
        <f>E93-$P93</f>
        <v/>
      </c>
      <c r="V93" s="75">
        <f>F93-$P93</f>
        <v/>
      </c>
      <c r="W93" s="75">
        <f>G93-$P93</f>
        <v/>
      </c>
      <c r="X93" s="75">
        <f>H93-$P93</f>
        <v/>
      </c>
      <c r="Y93" s="75">
        <f>I93-$P93</f>
        <v/>
      </c>
      <c r="Z93" s="75">
        <f>J93-$P93</f>
        <v/>
      </c>
      <c r="AA93" s="75">
        <f>K93-$P93</f>
        <v/>
      </c>
      <c r="AB93" s="75">
        <f>L93-$P93</f>
        <v/>
      </c>
      <c r="AC93" s="75">
        <f>M93-$P93</f>
        <v/>
      </c>
      <c r="AD93" s="75">
        <f>N93-$P93</f>
        <v/>
      </c>
      <c r="AE93" s="75">
        <f>O93-$P93</f>
        <v/>
      </c>
    </row>
    <row r="94" ht="16" customHeight="1">
      <c r="B94" s="181" t="n">
        <v>43039</v>
      </c>
      <c r="C94" s="75">
        <f>AIRBUS!D89</f>
        <v/>
      </c>
      <c r="D94" s="75">
        <f>BNP!D89</f>
        <v/>
      </c>
      <c r="E94" s="75">
        <f>CAPGEMINI!D89</f>
        <v/>
      </c>
      <c r="F94" s="75">
        <f>DANONE!D89</f>
        <v/>
      </c>
      <c r="G94" s="75">
        <f>ENGIE!D89</f>
        <v/>
      </c>
      <c r="H94" s="75">
        <f>'HERMES INTL'!D89</f>
        <v/>
      </c>
      <c r="I94" s="75">
        <f>'PERNOD RICARD'!D89</f>
        <v/>
      </c>
      <c r="J94" s="75">
        <f>RENAULT!D89</f>
        <v/>
      </c>
      <c r="K94" s="75">
        <f>SANOFI!D89</f>
        <v/>
      </c>
      <c r="L94" s="75">
        <f>'SCHNEIDER ELECTRIC'!D89</f>
        <v/>
      </c>
      <c r="M94" s="75">
        <f>'TOTAL ENERGIES'!D89</f>
        <v/>
      </c>
      <c r="N94" s="75">
        <f>VINCI!D89</f>
        <v/>
      </c>
      <c r="O94" s="75">
        <f>MARKET!D89</f>
        <v/>
      </c>
      <c r="P94" s="103">
        <f>INTERBANK!D88</f>
        <v/>
      </c>
      <c r="R94" s="181" t="n">
        <v>43039</v>
      </c>
      <c r="S94" s="75">
        <f>C94-$P94</f>
        <v/>
      </c>
      <c r="T94" s="75">
        <f>D94-$P94</f>
        <v/>
      </c>
      <c r="U94" s="75">
        <f>E94-$P94</f>
        <v/>
      </c>
      <c r="V94" s="75">
        <f>F94-$P94</f>
        <v/>
      </c>
      <c r="W94" s="75">
        <f>G94-$P94</f>
        <v/>
      </c>
      <c r="X94" s="75">
        <f>H94-$P94</f>
        <v/>
      </c>
      <c r="Y94" s="75">
        <f>I94-$P94</f>
        <v/>
      </c>
      <c r="Z94" s="75">
        <f>J94-$P94</f>
        <v/>
      </c>
      <c r="AA94" s="75">
        <f>K94-$P94</f>
        <v/>
      </c>
      <c r="AB94" s="75">
        <f>L94-$P94</f>
        <v/>
      </c>
      <c r="AC94" s="75">
        <f>M94-$P94</f>
        <v/>
      </c>
      <c r="AD94" s="75">
        <f>N94-$P94</f>
        <v/>
      </c>
      <c r="AE94" s="75">
        <f>O94-$P94</f>
        <v/>
      </c>
    </row>
    <row r="95" ht="16" customHeight="1">
      <c r="B95" s="181" t="n">
        <v>43069</v>
      </c>
      <c r="C95" s="75">
        <f>AIRBUS!D90</f>
        <v/>
      </c>
      <c r="D95" s="75">
        <f>BNP!D90</f>
        <v/>
      </c>
      <c r="E95" s="75">
        <f>CAPGEMINI!D90</f>
        <v/>
      </c>
      <c r="F95" s="75">
        <f>DANONE!D90</f>
        <v/>
      </c>
      <c r="G95" s="75">
        <f>ENGIE!D90</f>
        <v/>
      </c>
      <c r="H95" s="75">
        <f>'HERMES INTL'!D90</f>
        <v/>
      </c>
      <c r="I95" s="75">
        <f>'PERNOD RICARD'!D90</f>
        <v/>
      </c>
      <c r="J95" s="75">
        <f>RENAULT!D90</f>
        <v/>
      </c>
      <c r="K95" s="75">
        <f>SANOFI!D90</f>
        <v/>
      </c>
      <c r="L95" s="75">
        <f>'SCHNEIDER ELECTRIC'!D90</f>
        <v/>
      </c>
      <c r="M95" s="75">
        <f>'TOTAL ENERGIES'!D90</f>
        <v/>
      </c>
      <c r="N95" s="75">
        <f>VINCI!D90</f>
        <v/>
      </c>
      <c r="O95" s="75">
        <f>MARKET!D90</f>
        <v/>
      </c>
      <c r="P95" s="103">
        <f>INTERBANK!D89</f>
        <v/>
      </c>
      <c r="R95" s="181" t="n">
        <v>43069</v>
      </c>
      <c r="S95" s="75">
        <f>C95-$P95</f>
        <v/>
      </c>
      <c r="T95" s="75">
        <f>D95-$P95</f>
        <v/>
      </c>
      <c r="U95" s="75">
        <f>E95-$P95</f>
        <v/>
      </c>
      <c r="V95" s="75">
        <f>F95-$P95</f>
        <v/>
      </c>
      <c r="W95" s="75">
        <f>G95-$P95</f>
        <v/>
      </c>
      <c r="X95" s="75">
        <f>H95-$P95</f>
        <v/>
      </c>
      <c r="Y95" s="75">
        <f>I95-$P95</f>
        <v/>
      </c>
      <c r="Z95" s="75">
        <f>J95-$P95</f>
        <v/>
      </c>
      <c r="AA95" s="75">
        <f>K95-$P95</f>
        <v/>
      </c>
      <c r="AB95" s="75">
        <f>L95-$P95</f>
        <v/>
      </c>
      <c r="AC95" s="75">
        <f>M95-$P95</f>
        <v/>
      </c>
      <c r="AD95" s="75">
        <f>N95-$P95</f>
        <v/>
      </c>
      <c r="AE95" s="75">
        <f>O95-$P95</f>
        <v/>
      </c>
    </row>
    <row r="96" ht="16" customHeight="1">
      <c r="B96" s="181" t="n">
        <v>43100</v>
      </c>
      <c r="C96" s="75">
        <f>AIRBUS!D91</f>
        <v/>
      </c>
      <c r="D96" s="75">
        <f>BNP!D91</f>
        <v/>
      </c>
      <c r="E96" s="75">
        <f>CAPGEMINI!D91</f>
        <v/>
      </c>
      <c r="F96" s="75">
        <f>DANONE!D91</f>
        <v/>
      </c>
      <c r="G96" s="75">
        <f>ENGIE!D91</f>
        <v/>
      </c>
      <c r="H96" s="75">
        <f>'HERMES INTL'!D91</f>
        <v/>
      </c>
      <c r="I96" s="75">
        <f>'PERNOD RICARD'!D91</f>
        <v/>
      </c>
      <c r="J96" s="75">
        <f>RENAULT!D91</f>
        <v/>
      </c>
      <c r="K96" s="75">
        <f>SANOFI!D91</f>
        <v/>
      </c>
      <c r="L96" s="75">
        <f>'SCHNEIDER ELECTRIC'!D91</f>
        <v/>
      </c>
      <c r="M96" s="75">
        <f>'TOTAL ENERGIES'!D91</f>
        <v/>
      </c>
      <c r="N96" s="75">
        <f>VINCI!D91</f>
        <v/>
      </c>
      <c r="O96" s="75">
        <f>MARKET!D91</f>
        <v/>
      </c>
      <c r="P96" s="103">
        <f>INTERBANK!D90</f>
        <v/>
      </c>
      <c r="R96" s="181" t="n">
        <v>43100</v>
      </c>
      <c r="S96" s="75">
        <f>C96-$P96</f>
        <v/>
      </c>
      <c r="T96" s="75">
        <f>D96-$P96</f>
        <v/>
      </c>
      <c r="U96" s="75">
        <f>E96-$P96</f>
        <v/>
      </c>
      <c r="V96" s="75">
        <f>F96-$P96</f>
        <v/>
      </c>
      <c r="W96" s="75">
        <f>G96-$P96</f>
        <v/>
      </c>
      <c r="X96" s="75">
        <f>H96-$P96</f>
        <v/>
      </c>
      <c r="Y96" s="75">
        <f>I96-$P96</f>
        <v/>
      </c>
      <c r="Z96" s="75">
        <f>J96-$P96</f>
        <v/>
      </c>
      <c r="AA96" s="75">
        <f>K96-$P96</f>
        <v/>
      </c>
      <c r="AB96" s="75">
        <f>L96-$P96</f>
        <v/>
      </c>
      <c r="AC96" s="75">
        <f>M96-$P96</f>
        <v/>
      </c>
      <c r="AD96" s="75">
        <f>N96-$P96</f>
        <v/>
      </c>
      <c r="AE96" s="75">
        <f>O96-$P96</f>
        <v/>
      </c>
    </row>
    <row r="97" ht="16" customHeight="1">
      <c r="B97" s="181" t="n">
        <v>43131</v>
      </c>
      <c r="C97" s="75">
        <f>AIRBUS!D92</f>
        <v/>
      </c>
      <c r="D97" s="75">
        <f>BNP!D92</f>
        <v/>
      </c>
      <c r="E97" s="75">
        <f>CAPGEMINI!D92</f>
        <v/>
      </c>
      <c r="F97" s="75">
        <f>DANONE!D92</f>
        <v/>
      </c>
      <c r="G97" s="75">
        <f>ENGIE!D92</f>
        <v/>
      </c>
      <c r="H97" s="75">
        <f>'HERMES INTL'!D92</f>
        <v/>
      </c>
      <c r="I97" s="75">
        <f>'PERNOD RICARD'!D92</f>
        <v/>
      </c>
      <c r="J97" s="75">
        <f>RENAULT!D92</f>
        <v/>
      </c>
      <c r="K97" s="75">
        <f>SANOFI!D92</f>
        <v/>
      </c>
      <c r="L97" s="75">
        <f>'SCHNEIDER ELECTRIC'!D92</f>
        <v/>
      </c>
      <c r="M97" s="75">
        <f>'TOTAL ENERGIES'!D92</f>
        <v/>
      </c>
      <c r="N97" s="75">
        <f>VINCI!D92</f>
        <v/>
      </c>
      <c r="O97" s="75">
        <f>MARKET!D92</f>
        <v/>
      </c>
      <c r="P97" s="103">
        <f>INTERBANK!D91</f>
        <v/>
      </c>
      <c r="R97" s="181" t="n">
        <v>43131</v>
      </c>
      <c r="S97" s="75">
        <f>C97-$P97</f>
        <v/>
      </c>
      <c r="T97" s="75">
        <f>D97-$P97</f>
        <v/>
      </c>
      <c r="U97" s="75">
        <f>E97-$P97</f>
        <v/>
      </c>
      <c r="V97" s="75">
        <f>F97-$P97</f>
        <v/>
      </c>
      <c r="W97" s="75">
        <f>G97-$P97</f>
        <v/>
      </c>
      <c r="X97" s="75">
        <f>H97-$P97</f>
        <v/>
      </c>
      <c r="Y97" s="75">
        <f>I97-$P97</f>
        <v/>
      </c>
      <c r="Z97" s="75">
        <f>J97-$P97</f>
        <v/>
      </c>
      <c r="AA97" s="75">
        <f>K97-$P97</f>
        <v/>
      </c>
      <c r="AB97" s="75">
        <f>L97-$P97</f>
        <v/>
      </c>
      <c r="AC97" s="75">
        <f>M97-$P97</f>
        <v/>
      </c>
      <c r="AD97" s="75">
        <f>N97-$P97</f>
        <v/>
      </c>
      <c r="AE97" s="75">
        <f>O97-$P97</f>
        <v/>
      </c>
    </row>
    <row r="98" ht="16" customHeight="1">
      <c r="B98" s="181" t="n">
        <v>43159</v>
      </c>
      <c r="C98" s="75">
        <f>AIRBUS!D93</f>
        <v/>
      </c>
      <c r="D98" s="75">
        <f>BNP!D93</f>
        <v/>
      </c>
      <c r="E98" s="75">
        <f>CAPGEMINI!D93</f>
        <v/>
      </c>
      <c r="F98" s="75">
        <f>DANONE!D93</f>
        <v/>
      </c>
      <c r="G98" s="75">
        <f>ENGIE!D93</f>
        <v/>
      </c>
      <c r="H98" s="75">
        <f>'HERMES INTL'!D93</f>
        <v/>
      </c>
      <c r="I98" s="75">
        <f>'PERNOD RICARD'!D93</f>
        <v/>
      </c>
      <c r="J98" s="75">
        <f>RENAULT!D93</f>
        <v/>
      </c>
      <c r="K98" s="75">
        <f>SANOFI!D93</f>
        <v/>
      </c>
      <c r="L98" s="75">
        <f>'SCHNEIDER ELECTRIC'!D93</f>
        <v/>
      </c>
      <c r="M98" s="75">
        <f>'TOTAL ENERGIES'!D93</f>
        <v/>
      </c>
      <c r="N98" s="75">
        <f>VINCI!D93</f>
        <v/>
      </c>
      <c r="O98" s="75">
        <f>MARKET!D93</f>
        <v/>
      </c>
      <c r="P98" s="103">
        <f>INTERBANK!D92</f>
        <v/>
      </c>
      <c r="R98" s="181" t="n">
        <v>43159</v>
      </c>
      <c r="S98" s="75">
        <f>C98-$P98</f>
        <v/>
      </c>
      <c r="T98" s="75">
        <f>D98-$P98</f>
        <v/>
      </c>
      <c r="U98" s="75">
        <f>E98-$P98</f>
        <v/>
      </c>
      <c r="V98" s="75">
        <f>F98-$P98</f>
        <v/>
      </c>
      <c r="W98" s="75">
        <f>G98-$P98</f>
        <v/>
      </c>
      <c r="X98" s="75">
        <f>H98-$P98</f>
        <v/>
      </c>
      <c r="Y98" s="75">
        <f>I98-$P98</f>
        <v/>
      </c>
      <c r="Z98" s="75">
        <f>J98-$P98</f>
        <v/>
      </c>
      <c r="AA98" s="75">
        <f>K98-$P98</f>
        <v/>
      </c>
      <c r="AB98" s="75">
        <f>L98-$P98</f>
        <v/>
      </c>
      <c r="AC98" s="75">
        <f>M98-$P98</f>
        <v/>
      </c>
      <c r="AD98" s="75">
        <f>N98-$P98</f>
        <v/>
      </c>
      <c r="AE98" s="75">
        <f>O98-$P98</f>
        <v/>
      </c>
    </row>
    <row r="99" ht="16" customHeight="1">
      <c r="B99" s="181" t="n">
        <v>43190</v>
      </c>
      <c r="C99" s="75">
        <f>AIRBUS!D94</f>
        <v/>
      </c>
      <c r="D99" s="75">
        <f>BNP!D94</f>
        <v/>
      </c>
      <c r="E99" s="75">
        <f>CAPGEMINI!D94</f>
        <v/>
      </c>
      <c r="F99" s="75">
        <f>DANONE!D94</f>
        <v/>
      </c>
      <c r="G99" s="75">
        <f>ENGIE!D94</f>
        <v/>
      </c>
      <c r="H99" s="75">
        <f>'HERMES INTL'!D94</f>
        <v/>
      </c>
      <c r="I99" s="75">
        <f>'PERNOD RICARD'!D94</f>
        <v/>
      </c>
      <c r="J99" s="75">
        <f>RENAULT!D94</f>
        <v/>
      </c>
      <c r="K99" s="75">
        <f>SANOFI!D94</f>
        <v/>
      </c>
      <c r="L99" s="75">
        <f>'SCHNEIDER ELECTRIC'!D94</f>
        <v/>
      </c>
      <c r="M99" s="75">
        <f>'TOTAL ENERGIES'!D94</f>
        <v/>
      </c>
      <c r="N99" s="75">
        <f>VINCI!D94</f>
        <v/>
      </c>
      <c r="O99" s="75">
        <f>MARKET!D94</f>
        <v/>
      </c>
      <c r="P99" s="103">
        <f>INTERBANK!D93</f>
        <v/>
      </c>
      <c r="R99" s="181" t="n">
        <v>43190</v>
      </c>
      <c r="S99" s="75">
        <f>C99-$P99</f>
        <v/>
      </c>
      <c r="T99" s="75">
        <f>D99-$P99</f>
        <v/>
      </c>
      <c r="U99" s="75">
        <f>E99-$P99</f>
        <v/>
      </c>
      <c r="V99" s="75">
        <f>F99-$P99</f>
        <v/>
      </c>
      <c r="W99" s="75">
        <f>G99-$P99</f>
        <v/>
      </c>
      <c r="X99" s="75">
        <f>H99-$P99</f>
        <v/>
      </c>
      <c r="Y99" s="75">
        <f>I99-$P99</f>
        <v/>
      </c>
      <c r="Z99" s="75">
        <f>J99-$P99</f>
        <v/>
      </c>
      <c r="AA99" s="75">
        <f>K99-$P99</f>
        <v/>
      </c>
      <c r="AB99" s="75">
        <f>L99-$P99</f>
        <v/>
      </c>
      <c r="AC99" s="75">
        <f>M99-$P99</f>
        <v/>
      </c>
      <c r="AD99" s="75">
        <f>N99-$P99</f>
        <v/>
      </c>
      <c r="AE99" s="75">
        <f>O99-$P99</f>
        <v/>
      </c>
    </row>
    <row r="100" ht="16" customHeight="1">
      <c r="B100" s="181" t="n">
        <v>43220</v>
      </c>
      <c r="C100" s="75">
        <f>AIRBUS!D95</f>
        <v/>
      </c>
      <c r="D100" s="75">
        <f>BNP!D95</f>
        <v/>
      </c>
      <c r="E100" s="75">
        <f>CAPGEMINI!D95</f>
        <v/>
      </c>
      <c r="F100" s="75">
        <f>DANONE!D95</f>
        <v/>
      </c>
      <c r="G100" s="75">
        <f>ENGIE!D95</f>
        <v/>
      </c>
      <c r="H100" s="75">
        <f>'HERMES INTL'!D95</f>
        <v/>
      </c>
      <c r="I100" s="75">
        <f>'PERNOD RICARD'!D95</f>
        <v/>
      </c>
      <c r="J100" s="75">
        <f>RENAULT!D95</f>
        <v/>
      </c>
      <c r="K100" s="75">
        <f>SANOFI!D95</f>
        <v/>
      </c>
      <c r="L100" s="75">
        <f>'SCHNEIDER ELECTRIC'!D95</f>
        <v/>
      </c>
      <c r="M100" s="75">
        <f>'TOTAL ENERGIES'!D95</f>
        <v/>
      </c>
      <c r="N100" s="75">
        <f>VINCI!D95</f>
        <v/>
      </c>
      <c r="O100" s="75">
        <f>MARKET!D95</f>
        <v/>
      </c>
      <c r="P100" s="103">
        <f>INTERBANK!D94</f>
        <v/>
      </c>
      <c r="R100" s="181" t="n">
        <v>43220</v>
      </c>
      <c r="S100" s="75">
        <f>C100-$P100</f>
        <v/>
      </c>
      <c r="T100" s="75">
        <f>D100-$P100</f>
        <v/>
      </c>
      <c r="U100" s="75">
        <f>E100-$P100</f>
        <v/>
      </c>
      <c r="V100" s="75">
        <f>F100-$P100</f>
        <v/>
      </c>
      <c r="W100" s="75">
        <f>G100-$P100</f>
        <v/>
      </c>
      <c r="X100" s="75">
        <f>H100-$P100</f>
        <v/>
      </c>
      <c r="Y100" s="75">
        <f>I100-$P100</f>
        <v/>
      </c>
      <c r="Z100" s="75">
        <f>J100-$P100</f>
        <v/>
      </c>
      <c r="AA100" s="75">
        <f>K100-$P100</f>
        <v/>
      </c>
      <c r="AB100" s="75">
        <f>L100-$P100</f>
        <v/>
      </c>
      <c r="AC100" s="75">
        <f>M100-$P100</f>
        <v/>
      </c>
      <c r="AD100" s="75">
        <f>N100-$P100</f>
        <v/>
      </c>
      <c r="AE100" s="75">
        <f>O100-$P100</f>
        <v/>
      </c>
    </row>
    <row r="101" ht="16" customHeight="1">
      <c r="B101" s="181" t="n">
        <v>43251</v>
      </c>
      <c r="C101" s="75">
        <f>AIRBUS!D96</f>
        <v/>
      </c>
      <c r="D101" s="75">
        <f>BNP!D96</f>
        <v/>
      </c>
      <c r="E101" s="75">
        <f>CAPGEMINI!D96</f>
        <v/>
      </c>
      <c r="F101" s="75">
        <f>DANONE!D96</f>
        <v/>
      </c>
      <c r="G101" s="75">
        <f>ENGIE!D96</f>
        <v/>
      </c>
      <c r="H101" s="75">
        <f>'HERMES INTL'!D96</f>
        <v/>
      </c>
      <c r="I101" s="75">
        <f>'PERNOD RICARD'!D96</f>
        <v/>
      </c>
      <c r="J101" s="75">
        <f>RENAULT!D96</f>
        <v/>
      </c>
      <c r="K101" s="75">
        <f>SANOFI!D96</f>
        <v/>
      </c>
      <c r="L101" s="75">
        <f>'SCHNEIDER ELECTRIC'!D96</f>
        <v/>
      </c>
      <c r="M101" s="75">
        <f>'TOTAL ENERGIES'!D96</f>
        <v/>
      </c>
      <c r="N101" s="75">
        <f>VINCI!D96</f>
        <v/>
      </c>
      <c r="O101" s="75">
        <f>MARKET!D96</f>
        <v/>
      </c>
      <c r="P101" s="103">
        <f>INTERBANK!D95</f>
        <v/>
      </c>
      <c r="R101" s="181" t="n">
        <v>43251</v>
      </c>
      <c r="S101" s="75">
        <f>C101-$P101</f>
        <v/>
      </c>
      <c r="T101" s="75">
        <f>D101-$P101</f>
        <v/>
      </c>
      <c r="U101" s="75">
        <f>E101-$P101</f>
        <v/>
      </c>
      <c r="V101" s="75">
        <f>F101-$P101</f>
        <v/>
      </c>
      <c r="W101" s="75">
        <f>G101-$P101</f>
        <v/>
      </c>
      <c r="X101" s="75">
        <f>H101-$P101</f>
        <v/>
      </c>
      <c r="Y101" s="75">
        <f>I101-$P101</f>
        <v/>
      </c>
      <c r="Z101" s="75">
        <f>J101-$P101</f>
        <v/>
      </c>
      <c r="AA101" s="75">
        <f>K101-$P101</f>
        <v/>
      </c>
      <c r="AB101" s="75">
        <f>L101-$P101</f>
        <v/>
      </c>
      <c r="AC101" s="75">
        <f>M101-$P101</f>
        <v/>
      </c>
      <c r="AD101" s="75">
        <f>N101-$P101</f>
        <v/>
      </c>
      <c r="AE101" s="75">
        <f>O101-$P101</f>
        <v/>
      </c>
    </row>
    <row r="102" ht="16" customHeight="1">
      <c r="B102" s="181" t="n">
        <v>43281</v>
      </c>
      <c r="C102" s="75">
        <f>AIRBUS!D97</f>
        <v/>
      </c>
      <c r="D102" s="75">
        <f>BNP!D97</f>
        <v/>
      </c>
      <c r="E102" s="75">
        <f>CAPGEMINI!D97</f>
        <v/>
      </c>
      <c r="F102" s="75">
        <f>DANONE!D97</f>
        <v/>
      </c>
      <c r="G102" s="75">
        <f>ENGIE!D97</f>
        <v/>
      </c>
      <c r="H102" s="75">
        <f>'HERMES INTL'!D97</f>
        <v/>
      </c>
      <c r="I102" s="75">
        <f>'PERNOD RICARD'!D97</f>
        <v/>
      </c>
      <c r="J102" s="75">
        <f>RENAULT!D97</f>
        <v/>
      </c>
      <c r="K102" s="75">
        <f>SANOFI!D97</f>
        <v/>
      </c>
      <c r="L102" s="75">
        <f>'SCHNEIDER ELECTRIC'!D97</f>
        <v/>
      </c>
      <c r="M102" s="75">
        <f>'TOTAL ENERGIES'!D97</f>
        <v/>
      </c>
      <c r="N102" s="75">
        <f>VINCI!D97</f>
        <v/>
      </c>
      <c r="O102" s="75">
        <f>MARKET!D97</f>
        <v/>
      </c>
      <c r="P102" s="103">
        <f>INTERBANK!D96</f>
        <v/>
      </c>
      <c r="R102" s="181" t="n">
        <v>43281</v>
      </c>
      <c r="S102" s="75">
        <f>C102-$P102</f>
        <v/>
      </c>
      <c r="T102" s="75">
        <f>D102-$P102</f>
        <v/>
      </c>
      <c r="U102" s="75">
        <f>E102-$P102</f>
        <v/>
      </c>
      <c r="V102" s="75">
        <f>F102-$P102</f>
        <v/>
      </c>
      <c r="W102" s="75">
        <f>G102-$P102</f>
        <v/>
      </c>
      <c r="X102" s="75">
        <f>H102-$P102</f>
        <v/>
      </c>
      <c r="Y102" s="75">
        <f>I102-$P102</f>
        <v/>
      </c>
      <c r="Z102" s="75">
        <f>J102-$P102</f>
        <v/>
      </c>
      <c r="AA102" s="75">
        <f>K102-$P102</f>
        <v/>
      </c>
      <c r="AB102" s="75">
        <f>L102-$P102</f>
        <v/>
      </c>
      <c r="AC102" s="75">
        <f>M102-$P102</f>
        <v/>
      </c>
      <c r="AD102" s="75">
        <f>N102-$P102</f>
        <v/>
      </c>
      <c r="AE102" s="75">
        <f>O102-$P102</f>
        <v/>
      </c>
    </row>
    <row r="103" ht="16" customHeight="1">
      <c r="B103" s="181" t="n">
        <v>43312</v>
      </c>
      <c r="C103" s="75">
        <f>AIRBUS!D98</f>
        <v/>
      </c>
      <c r="D103" s="75">
        <f>BNP!D98</f>
        <v/>
      </c>
      <c r="E103" s="75">
        <f>CAPGEMINI!D98</f>
        <v/>
      </c>
      <c r="F103" s="75">
        <f>DANONE!D98</f>
        <v/>
      </c>
      <c r="G103" s="75">
        <f>ENGIE!D98</f>
        <v/>
      </c>
      <c r="H103" s="75">
        <f>'HERMES INTL'!D98</f>
        <v/>
      </c>
      <c r="I103" s="75">
        <f>'PERNOD RICARD'!D98</f>
        <v/>
      </c>
      <c r="J103" s="75">
        <f>RENAULT!D98</f>
        <v/>
      </c>
      <c r="K103" s="75">
        <f>SANOFI!D98</f>
        <v/>
      </c>
      <c r="L103" s="75">
        <f>'SCHNEIDER ELECTRIC'!D98</f>
        <v/>
      </c>
      <c r="M103" s="75">
        <f>'TOTAL ENERGIES'!D98</f>
        <v/>
      </c>
      <c r="N103" s="75">
        <f>VINCI!D98</f>
        <v/>
      </c>
      <c r="O103" s="75">
        <f>MARKET!D98</f>
        <v/>
      </c>
      <c r="P103" s="103">
        <f>INTERBANK!D97</f>
        <v/>
      </c>
      <c r="R103" s="181" t="n">
        <v>43312</v>
      </c>
      <c r="S103" s="75">
        <f>C103-$P103</f>
        <v/>
      </c>
      <c r="T103" s="75">
        <f>D103-$P103</f>
        <v/>
      </c>
      <c r="U103" s="75">
        <f>E103-$P103</f>
        <v/>
      </c>
      <c r="V103" s="75">
        <f>F103-$P103</f>
        <v/>
      </c>
      <c r="W103" s="75">
        <f>G103-$P103</f>
        <v/>
      </c>
      <c r="X103" s="75">
        <f>H103-$P103</f>
        <v/>
      </c>
      <c r="Y103" s="75">
        <f>I103-$P103</f>
        <v/>
      </c>
      <c r="Z103" s="75">
        <f>J103-$P103</f>
        <v/>
      </c>
      <c r="AA103" s="75">
        <f>K103-$P103</f>
        <v/>
      </c>
      <c r="AB103" s="75">
        <f>L103-$P103</f>
        <v/>
      </c>
      <c r="AC103" s="75">
        <f>M103-$P103</f>
        <v/>
      </c>
      <c r="AD103" s="75">
        <f>N103-$P103</f>
        <v/>
      </c>
      <c r="AE103" s="75">
        <f>O103-$P103</f>
        <v/>
      </c>
    </row>
    <row r="104" ht="16" customHeight="1">
      <c r="B104" s="181" t="n">
        <v>43343</v>
      </c>
      <c r="C104" s="75">
        <f>AIRBUS!D99</f>
        <v/>
      </c>
      <c r="D104" s="75">
        <f>BNP!D99</f>
        <v/>
      </c>
      <c r="E104" s="75">
        <f>CAPGEMINI!D99</f>
        <v/>
      </c>
      <c r="F104" s="75">
        <f>DANONE!D99</f>
        <v/>
      </c>
      <c r="G104" s="75">
        <f>ENGIE!D99</f>
        <v/>
      </c>
      <c r="H104" s="75">
        <f>'HERMES INTL'!D99</f>
        <v/>
      </c>
      <c r="I104" s="75">
        <f>'PERNOD RICARD'!D99</f>
        <v/>
      </c>
      <c r="J104" s="75">
        <f>RENAULT!D99</f>
        <v/>
      </c>
      <c r="K104" s="75">
        <f>SANOFI!D99</f>
        <v/>
      </c>
      <c r="L104" s="75">
        <f>'SCHNEIDER ELECTRIC'!D99</f>
        <v/>
      </c>
      <c r="M104" s="75">
        <f>'TOTAL ENERGIES'!D99</f>
        <v/>
      </c>
      <c r="N104" s="75">
        <f>VINCI!D99</f>
        <v/>
      </c>
      <c r="O104" s="75">
        <f>MARKET!D99</f>
        <v/>
      </c>
      <c r="P104" s="103">
        <f>INTERBANK!D98</f>
        <v/>
      </c>
      <c r="R104" s="181" t="n">
        <v>43343</v>
      </c>
      <c r="S104" s="75">
        <f>C104-$P104</f>
        <v/>
      </c>
      <c r="T104" s="75">
        <f>D104-$P104</f>
        <v/>
      </c>
      <c r="U104" s="75">
        <f>E104-$P104</f>
        <v/>
      </c>
      <c r="V104" s="75">
        <f>F104-$P104</f>
        <v/>
      </c>
      <c r="W104" s="75">
        <f>G104-$P104</f>
        <v/>
      </c>
      <c r="X104" s="75">
        <f>H104-$P104</f>
        <v/>
      </c>
      <c r="Y104" s="75">
        <f>I104-$P104</f>
        <v/>
      </c>
      <c r="Z104" s="75">
        <f>J104-$P104</f>
        <v/>
      </c>
      <c r="AA104" s="75">
        <f>K104-$P104</f>
        <v/>
      </c>
      <c r="AB104" s="75">
        <f>L104-$P104</f>
        <v/>
      </c>
      <c r="AC104" s="75">
        <f>M104-$P104</f>
        <v/>
      </c>
      <c r="AD104" s="75">
        <f>N104-$P104</f>
        <v/>
      </c>
      <c r="AE104" s="75">
        <f>O104-$P104</f>
        <v/>
      </c>
    </row>
    <row r="105" ht="16" customHeight="1">
      <c r="B105" s="181" t="n">
        <v>43373</v>
      </c>
      <c r="C105" s="75">
        <f>AIRBUS!D100</f>
        <v/>
      </c>
      <c r="D105" s="75">
        <f>BNP!D100</f>
        <v/>
      </c>
      <c r="E105" s="75">
        <f>CAPGEMINI!D100</f>
        <v/>
      </c>
      <c r="F105" s="75">
        <f>DANONE!D100</f>
        <v/>
      </c>
      <c r="G105" s="75">
        <f>ENGIE!D100</f>
        <v/>
      </c>
      <c r="H105" s="75">
        <f>'HERMES INTL'!D100</f>
        <v/>
      </c>
      <c r="I105" s="75">
        <f>'PERNOD RICARD'!D100</f>
        <v/>
      </c>
      <c r="J105" s="75">
        <f>RENAULT!D100</f>
        <v/>
      </c>
      <c r="K105" s="75">
        <f>SANOFI!D100</f>
        <v/>
      </c>
      <c r="L105" s="75">
        <f>'SCHNEIDER ELECTRIC'!D100</f>
        <v/>
      </c>
      <c r="M105" s="75">
        <f>'TOTAL ENERGIES'!D100</f>
        <v/>
      </c>
      <c r="N105" s="75">
        <f>VINCI!D100</f>
        <v/>
      </c>
      <c r="O105" s="75">
        <f>MARKET!D100</f>
        <v/>
      </c>
      <c r="P105" s="103">
        <f>INTERBANK!D99</f>
        <v/>
      </c>
      <c r="R105" s="181" t="n">
        <v>43373</v>
      </c>
      <c r="S105" s="75">
        <f>C105-$P105</f>
        <v/>
      </c>
      <c r="T105" s="75">
        <f>D105-$P105</f>
        <v/>
      </c>
      <c r="U105" s="75">
        <f>E105-$P105</f>
        <v/>
      </c>
      <c r="V105" s="75">
        <f>F105-$P105</f>
        <v/>
      </c>
      <c r="W105" s="75">
        <f>G105-$P105</f>
        <v/>
      </c>
      <c r="X105" s="75">
        <f>H105-$P105</f>
        <v/>
      </c>
      <c r="Y105" s="75">
        <f>I105-$P105</f>
        <v/>
      </c>
      <c r="Z105" s="75">
        <f>J105-$P105</f>
        <v/>
      </c>
      <c r="AA105" s="75">
        <f>K105-$P105</f>
        <v/>
      </c>
      <c r="AB105" s="75">
        <f>L105-$P105</f>
        <v/>
      </c>
      <c r="AC105" s="75">
        <f>M105-$P105</f>
        <v/>
      </c>
      <c r="AD105" s="75">
        <f>N105-$P105</f>
        <v/>
      </c>
      <c r="AE105" s="75">
        <f>O105-$P105</f>
        <v/>
      </c>
    </row>
    <row r="106" ht="16" customHeight="1">
      <c r="B106" s="181" t="n">
        <v>43404</v>
      </c>
      <c r="C106" s="75">
        <f>AIRBUS!D101</f>
        <v/>
      </c>
      <c r="D106" s="75">
        <f>BNP!D101</f>
        <v/>
      </c>
      <c r="E106" s="75">
        <f>CAPGEMINI!D101</f>
        <v/>
      </c>
      <c r="F106" s="75">
        <f>DANONE!D101</f>
        <v/>
      </c>
      <c r="G106" s="75">
        <f>ENGIE!D101</f>
        <v/>
      </c>
      <c r="H106" s="75">
        <f>'HERMES INTL'!D101</f>
        <v/>
      </c>
      <c r="I106" s="75">
        <f>'PERNOD RICARD'!D101</f>
        <v/>
      </c>
      <c r="J106" s="75">
        <f>RENAULT!D101</f>
        <v/>
      </c>
      <c r="K106" s="75">
        <f>SANOFI!D101</f>
        <v/>
      </c>
      <c r="L106" s="75">
        <f>'SCHNEIDER ELECTRIC'!D101</f>
        <v/>
      </c>
      <c r="M106" s="75">
        <f>'TOTAL ENERGIES'!D101</f>
        <v/>
      </c>
      <c r="N106" s="75">
        <f>VINCI!D101</f>
        <v/>
      </c>
      <c r="O106" s="75">
        <f>MARKET!D101</f>
        <v/>
      </c>
      <c r="P106" s="103">
        <f>INTERBANK!D100</f>
        <v/>
      </c>
      <c r="R106" s="181" t="n">
        <v>43404</v>
      </c>
      <c r="S106" s="75">
        <f>C106-$P106</f>
        <v/>
      </c>
      <c r="T106" s="75">
        <f>D106-$P106</f>
        <v/>
      </c>
      <c r="U106" s="75">
        <f>E106-$P106</f>
        <v/>
      </c>
      <c r="V106" s="75">
        <f>F106-$P106</f>
        <v/>
      </c>
      <c r="W106" s="75">
        <f>G106-$P106</f>
        <v/>
      </c>
      <c r="X106" s="75">
        <f>H106-$P106</f>
        <v/>
      </c>
      <c r="Y106" s="75">
        <f>I106-$P106</f>
        <v/>
      </c>
      <c r="Z106" s="75">
        <f>J106-$P106</f>
        <v/>
      </c>
      <c r="AA106" s="75">
        <f>K106-$P106</f>
        <v/>
      </c>
      <c r="AB106" s="75">
        <f>L106-$P106</f>
        <v/>
      </c>
      <c r="AC106" s="75">
        <f>M106-$P106</f>
        <v/>
      </c>
      <c r="AD106" s="75">
        <f>N106-$P106</f>
        <v/>
      </c>
      <c r="AE106" s="75">
        <f>O106-$P106</f>
        <v/>
      </c>
    </row>
    <row r="107" ht="16" customHeight="1">
      <c r="B107" s="181" t="n">
        <v>43434</v>
      </c>
      <c r="C107" s="75">
        <f>AIRBUS!D102</f>
        <v/>
      </c>
      <c r="D107" s="75">
        <f>BNP!D102</f>
        <v/>
      </c>
      <c r="E107" s="75">
        <f>CAPGEMINI!D102</f>
        <v/>
      </c>
      <c r="F107" s="75">
        <f>DANONE!D102</f>
        <v/>
      </c>
      <c r="G107" s="75">
        <f>ENGIE!D102</f>
        <v/>
      </c>
      <c r="H107" s="75">
        <f>'HERMES INTL'!D102</f>
        <v/>
      </c>
      <c r="I107" s="75">
        <f>'PERNOD RICARD'!D102</f>
        <v/>
      </c>
      <c r="J107" s="75">
        <f>RENAULT!D102</f>
        <v/>
      </c>
      <c r="K107" s="75">
        <f>SANOFI!D102</f>
        <v/>
      </c>
      <c r="L107" s="75">
        <f>'SCHNEIDER ELECTRIC'!D102</f>
        <v/>
      </c>
      <c r="M107" s="75">
        <f>'TOTAL ENERGIES'!D102</f>
        <v/>
      </c>
      <c r="N107" s="75">
        <f>VINCI!D102</f>
        <v/>
      </c>
      <c r="O107" s="75">
        <f>MARKET!D102</f>
        <v/>
      </c>
      <c r="P107" s="103">
        <f>INTERBANK!D101</f>
        <v/>
      </c>
      <c r="R107" s="181" t="n">
        <v>43434</v>
      </c>
      <c r="S107" s="75">
        <f>C107-$P107</f>
        <v/>
      </c>
      <c r="T107" s="75">
        <f>D107-$P107</f>
        <v/>
      </c>
      <c r="U107" s="75">
        <f>E107-$P107</f>
        <v/>
      </c>
      <c r="V107" s="75">
        <f>F107-$P107</f>
        <v/>
      </c>
      <c r="W107" s="75">
        <f>G107-$P107</f>
        <v/>
      </c>
      <c r="X107" s="75">
        <f>H107-$P107</f>
        <v/>
      </c>
      <c r="Y107" s="75">
        <f>I107-$P107</f>
        <v/>
      </c>
      <c r="Z107" s="75">
        <f>J107-$P107</f>
        <v/>
      </c>
      <c r="AA107" s="75">
        <f>K107-$P107</f>
        <v/>
      </c>
      <c r="AB107" s="75">
        <f>L107-$P107</f>
        <v/>
      </c>
      <c r="AC107" s="75">
        <f>M107-$P107</f>
        <v/>
      </c>
      <c r="AD107" s="75">
        <f>N107-$P107</f>
        <v/>
      </c>
      <c r="AE107" s="75">
        <f>O107-$P107</f>
        <v/>
      </c>
    </row>
    <row r="108" ht="16" customHeight="1">
      <c r="B108" s="181" t="n">
        <v>43465</v>
      </c>
      <c r="C108" s="75">
        <f>AIRBUS!D103</f>
        <v/>
      </c>
      <c r="D108" s="75">
        <f>BNP!D103</f>
        <v/>
      </c>
      <c r="E108" s="75">
        <f>CAPGEMINI!D103</f>
        <v/>
      </c>
      <c r="F108" s="75">
        <f>DANONE!D103</f>
        <v/>
      </c>
      <c r="G108" s="75">
        <f>ENGIE!D103</f>
        <v/>
      </c>
      <c r="H108" s="75">
        <f>'HERMES INTL'!D103</f>
        <v/>
      </c>
      <c r="I108" s="75">
        <f>'PERNOD RICARD'!D103</f>
        <v/>
      </c>
      <c r="J108" s="75">
        <f>RENAULT!D103</f>
        <v/>
      </c>
      <c r="K108" s="75">
        <f>SANOFI!D103</f>
        <v/>
      </c>
      <c r="L108" s="75">
        <f>'SCHNEIDER ELECTRIC'!D103</f>
        <v/>
      </c>
      <c r="M108" s="75">
        <f>'TOTAL ENERGIES'!D103</f>
        <v/>
      </c>
      <c r="N108" s="75">
        <f>VINCI!D103</f>
        <v/>
      </c>
      <c r="O108" s="75">
        <f>MARKET!D103</f>
        <v/>
      </c>
      <c r="P108" s="103">
        <f>INTERBANK!D102</f>
        <v/>
      </c>
      <c r="R108" s="181" t="n">
        <v>43465</v>
      </c>
      <c r="S108" s="75">
        <f>C108-$P108</f>
        <v/>
      </c>
      <c r="T108" s="75">
        <f>D108-$P108</f>
        <v/>
      </c>
      <c r="U108" s="75">
        <f>E108-$P108</f>
        <v/>
      </c>
      <c r="V108" s="75">
        <f>F108-$P108</f>
        <v/>
      </c>
      <c r="W108" s="75">
        <f>G108-$P108</f>
        <v/>
      </c>
      <c r="X108" s="75">
        <f>H108-$P108</f>
        <v/>
      </c>
      <c r="Y108" s="75">
        <f>I108-$P108</f>
        <v/>
      </c>
      <c r="Z108" s="75">
        <f>J108-$P108</f>
        <v/>
      </c>
      <c r="AA108" s="75">
        <f>K108-$P108</f>
        <v/>
      </c>
      <c r="AB108" s="75">
        <f>L108-$P108</f>
        <v/>
      </c>
      <c r="AC108" s="75">
        <f>M108-$P108</f>
        <v/>
      </c>
      <c r="AD108" s="75">
        <f>N108-$P108</f>
        <v/>
      </c>
      <c r="AE108" s="75">
        <f>O108-$P108</f>
        <v/>
      </c>
    </row>
    <row r="109" ht="16" customHeight="1">
      <c r="B109" s="181" t="n">
        <v>43496</v>
      </c>
      <c r="C109" s="75">
        <f>AIRBUS!D104</f>
        <v/>
      </c>
      <c r="D109" s="75">
        <f>BNP!D104</f>
        <v/>
      </c>
      <c r="E109" s="75">
        <f>CAPGEMINI!D104</f>
        <v/>
      </c>
      <c r="F109" s="75">
        <f>DANONE!D104</f>
        <v/>
      </c>
      <c r="G109" s="75">
        <f>ENGIE!D104</f>
        <v/>
      </c>
      <c r="H109" s="75">
        <f>'HERMES INTL'!D104</f>
        <v/>
      </c>
      <c r="I109" s="75">
        <f>'PERNOD RICARD'!D104</f>
        <v/>
      </c>
      <c r="J109" s="75">
        <f>RENAULT!D104</f>
        <v/>
      </c>
      <c r="K109" s="75">
        <f>SANOFI!D104</f>
        <v/>
      </c>
      <c r="L109" s="75">
        <f>'SCHNEIDER ELECTRIC'!D104</f>
        <v/>
      </c>
      <c r="M109" s="75">
        <f>'TOTAL ENERGIES'!D104</f>
        <v/>
      </c>
      <c r="N109" s="75">
        <f>VINCI!D104</f>
        <v/>
      </c>
      <c r="O109" s="75">
        <f>MARKET!D104</f>
        <v/>
      </c>
      <c r="P109" s="103">
        <f>INTERBANK!D103</f>
        <v/>
      </c>
      <c r="R109" s="181" t="n">
        <v>43496</v>
      </c>
      <c r="S109" s="75">
        <f>C109-$P109</f>
        <v/>
      </c>
      <c r="T109" s="75">
        <f>D109-$P109</f>
        <v/>
      </c>
      <c r="U109" s="75">
        <f>E109-$P109</f>
        <v/>
      </c>
      <c r="V109" s="75">
        <f>F109-$P109</f>
        <v/>
      </c>
      <c r="W109" s="75">
        <f>G109-$P109</f>
        <v/>
      </c>
      <c r="X109" s="75">
        <f>H109-$P109</f>
        <v/>
      </c>
      <c r="Y109" s="75">
        <f>I109-$P109</f>
        <v/>
      </c>
      <c r="Z109" s="75">
        <f>J109-$P109</f>
        <v/>
      </c>
      <c r="AA109" s="75">
        <f>K109-$P109</f>
        <v/>
      </c>
      <c r="AB109" s="75">
        <f>L109-$P109</f>
        <v/>
      </c>
      <c r="AC109" s="75">
        <f>M109-$P109</f>
        <v/>
      </c>
      <c r="AD109" s="75">
        <f>N109-$P109</f>
        <v/>
      </c>
      <c r="AE109" s="75">
        <f>O109-$P109</f>
        <v/>
      </c>
    </row>
    <row r="110" ht="16" customHeight="1">
      <c r="B110" s="181" t="n">
        <v>43524</v>
      </c>
      <c r="C110" s="75">
        <f>AIRBUS!D105</f>
        <v/>
      </c>
      <c r="D110" s="75">
        <f>BNP!D105</f>
        <v/>
      </c>
      <c r="E110" s="75">
        <f>CAPGEMINI!D105</f>
        <v/>
      </c>
      <c r="F110" s="75">
        <f>DANONE!D105</f>
        <v/>
      </c>
      <c r="G110" s="75">
        <f>ENGIE!D105</f>
        <v/>
      </c>
      <c r="H110" s="75">
        <f>'HERMES INTL'!D105</f>
        <v/>
      </c>
      <c r="I110" s="75">
        <f>'PERNOD RICARD'!D105</f>
        <v/>
      </c>
      <c r="J110" s="75">
        <f>RENAULT!D105</f>
        <v/>
      </c>
      <c r="K110" s="75">
        <f>SANOFI!D105</f>
        <v/>
      </c>
      <c r="L110" s="75">
        <f>'SCHNEIDER ELECTRIC'!D105</f>
        <v/>
      </c>
      <c r="M110" s="75">
        <f>'TOTAL ENERGIES'!D105</f>
        <v/>
      </c>
      <c r="N110" s="75">
        <f>VINCI!D105</f>
        <v/>
      </c>
      <c r="O110" s="75">
        <f>MARKET!D105</f>
        <v/>
      </c>
      <c r="P110" s="103">
        <f>INTERBANK!D104</f>
        <v/>
      </c>
      <c r="R110" s="181" t="n">
        <v>43524</v>
      </c>
      <c r="S110" s="75">
        <f>C110-$P110</f>
        <v/>
      </c>
      <c r="T110" s="75">
        <f>D110-$P110</f>
        <v/>
      </c>
      <c r="U110" s="75">
        <f>E110-$P110</f>
        <v/>
      </c>
      <c r="V110" s="75">
        <f>F110-$P110</f>
        <v/>
      </c>
      <c r="W110" s="75">
        <f>G110-$P110</f>
        <v/>
      </c>
      <c r="X110" s="75">
        <f>H110-$P110</f>
        <v/>
      </c>
      <c r="Y110" s="75">
        <f>I110-$P110</f>
        <v/>
      </c>
      <c r="Z110" s="75">
        <f>J110-$P110</f>
        <v/>
      </c>
      <c r="AA110" s="75">
        <f>K110-$P110</f>
        <v/>
      </c>
      <c r="AB110" s="75">
        <f>L110-$P110</f>
        <v/>
      </c>
      <c r="AC110" s="75">
        <f>M110-$P110</f>
        <v/>
      </c>
      <c r="AD110" s="75">
        <f>N110-$P110</f>
        <v/>
      </c>
      <c r="AE110" s="75">
        <f>O110-$P110</f>
        <v/>
      </c>
    </row>
    <row r="111" ht="16" customHeight="1">
      <c r="B111" s="181" t="n">
        <v>43555</v>
      </c>
      <c r="C111" s="75">
        <f>AIRBUS!D106</f>
        <v/>
      </c>
      <c r="D111" s="75">
        <f>BNP!D106</f>
        <v/>
      </c>
      <c r="E111" s="75">
        <f>CAPGEMINI!D106</f>
        <v/>
      </c>
      <c r="F111" s="75">
        <f>DANONE!D106</f>
        <v/>
      </c>
      <c r="G111" s="75">
        <f>ENGIE!D106</f>
        <v/>
      </c>
      <c r="H111" s="75">
        <f>'HERMES INTL'!D106</f>
        <v/>
      </c>
      <c r="I111" s="75">
        <f>'PERNOD RICARD'!D106</f>
        <v/>
      </c>
      <c r="J111" s="75">
        <f>RENAULT!D106</f>
        <v/>
      </c>
      <c r="K111" s="75">
        <f>SANOFI!D106</f>
        <v/>
      </c>
      <c r="L111" s="75">
        <f>'SCHNEIDER ELECTRIC'!D106</f>
        <v/>
      </c>
      <c r="M111" s="75">
        <f>'TOTAL ENERGIES'!D106</f>
        <v/>
      </c>
      <c r="N111" s="75">
        <f>VINCI!D106</f>
        <v/>
      </c>
      <c r="O111" s="75">
        <f>MARKET!D106</f>
        <v/>
      </c>
      <c r="P111" s="103">
        <f>INTERBANK!D105</f>
        <v/>
      </c>
      <c r="R111" s="181" t="n">
        <v>43555</v>
      </c>
      <c r="S111" s="75">
        <f>C111-$P111</f>
        <v/>
      </c>
      <c r="T111" s="75">
        <f>D111-$P111</f>
        <v/>
      </c>
      <c r="U111" s="75">
        <f>E111-$P111</f>
        <v/>
      </c>
      <c r="V111" s="75">
        <f>F111-$P111</f>
        <v/>
      </c>
      <c r="W111" s="75">
        <f>G111-$P111</f>
        <v/>
      </c>
      <c r="X111" s="75">
        <f>H111-$P111</f>
        <v/>
      </c>
      <c r="Y111" s="75">
        <f>I111-$P111</f>
        <v/>
      </c>
      <c r="Z111" s="75">
        <f>J111-$P111</f>
        <v/>
      </c>
      <c r="AA111" s="75">
        <f>K111-$P111</f>
        <v/>
      </c>
      <c r="AB111" s="75">
        <f>L111-$P111</f>
        <v/>
      </c>
      <c r="AC111" s="75">
        <f>M111-$P111</f>
        <v/>
      </c>
      <c r="AD111" s="75">
        <f>N111-$P111</f>
        <v/>
      </c>
      <c r="AE111" s="75">
        <f>O111-$P111</f>
        <v/>
      </c>
    </row>
    <row r="112" ht="16" customHeight="1">
      <c r="B112" s="181" t="n">
        <v>43585</v>
      </c>
      <c r="C112" s="75">
        <f>AIRBUS!D107</f>
        <v/>
      </c>
      <c r="D112" s="75">
        <f>BNP!D107</f>
        <v/>
      </c>
      <c r="E112" s="75">
        <f>CAPGEMINI!D107</f>
        <v/>
      </c>
      <c r="F112" s="75">
        <f>DANONE!D107</f>
        <v/>
      </c>
      <c r="G112" s="75">
        <f>ENGIE!D107</f>
        <v/>
      </c>
      <c r="H112" s="75">
        <f>'HERMES INTL'!D107</f>
        <v/>
      </c>
      <c r="I112" s="75">
        <f>'PERNOD RICARD'!D107</f>
        <v/>
      </c>
      <c r="J112" s="75">
        <f>RENAULT!D107</f>
        <v/>
      </c>
      <c r="K112" s="75">
        <f>SANOFI!D107</f>
        <v/>
      </c>
      <c r="L112" s="75">
        <f>'SCHNEIDER ELECTRIC'!D107</f>
        <v/>
      </c>
      <c r="M112" s="75">
        <f>'TOTAL ENERGIES'!D107</f>
        <v/>
      </c>
      <c r="N112" s="75">
        <f>VINCI!D107</f>
        <v/>
      </c>
      <c r="O112" s="75">
        <f>MARKET!D107</f>
        <v/>
      </c>
      <c r="P112" s="103">
        <f>INTERBANK!D106</f>
        <v/>
      </c>
      <c r="R112" s="181" t="n">
        <v>43585</v>
      </c>
      <c r="S112" s="75">
        <f>C112-$P112</f>
        <v/>
      </c>
      <c r="T112" s="75">
        <f>D112-$P112</f>
        <v/>
      </c>
      <c r="U112" s="75">
        <f>E112-$P112</f>
        <v/>
      </c>
      <c r="V112" s="75">
        <f>F112-$P112</f>
        <v/>
      </c>
      <c r="W112" s="75">
        <f>G112-$P112</f>
        <v/>
      </c>
      <c r="X112" s="75">
        <f>H112-$P112</f>
        <v/>
      </c>
      <c r="Y112" s="75">
        <f>I112-$P112</f>
        <v/>
      </c>
      <c r="Z112" s="75">
        <f>J112-$P112</f>
        <v/>
      </c>
      <c r="AA112" s="75">
        <f>K112-$P112</f>
        <v/>
      </c>
      <c r="AB112" s="75">
        <f>L112-$P112</f>
        <v/>
      </c>
      <c r="AC112" s="75">
        <f>M112-$P112</f>
        <v/>
      </c>
      <c r="AD112" s="75">
        <f>N112-$P112</f>
        <v/>
      </c>
      <c r="AE112" s="75">
        <f>O112-$P112</f>
        <v/>
      </c>
    </row>
    <row r="113" ht="16" customHeight="1">
      <c r="B113" s="181" t="n">
        <v>43616</v>
      </c>
      <c r="C113" s="75">
        <f>AIRBUS!D108</f>
        <v/>
      </c>
      <c r="D113" s="75">
        <f>BNP!D108</f>
        <v/>
      </c>
      <c r="E113" s="75">
        <f>CAPGEMINI!D108</f>
        <v/>
      </c>
      <c r="F113" s="75">
        <f>DANONE!D108</f>
        <v/>
      </c>
      <c r="G113" s="75">
        <f>ENGIE!D108</f>
        <v/>
      </c>
      <c r="H113" s="75">
        <f>'HERMES INTL'!D108</f>
        <v/>
      </c>
      <c r="I113" s="75">
        <f>'PERNOD RICARD'!D108</f>
        <v/>
      </c>
      <c r="J113" s="75">
        <f>RENAULT!D108</f>
        <v/>
      </c>
      <c r="K113" s="75">
        <f>SANOFI!D108</f>
        <v/>
      </c>
      <c r="L113" s="75">
        <f>'SCHNEIDER ELECTRIC'!D108</f>
        <v/>
      </c>
      <c r="M113" s="75">
        <f>'TOTAL ENERGIES'!D108</f>
        <v/>
      </c>
      <c r="N113" s="75">
        <f>VINCI!D108</f>
        <v/>
      </c>
      <c r="O113" s="75">
        <f>MARKET!D108</f>
        <v/>
      </c>
      <c r="P113" s="103">
        <f>INTERBANK!D107</f>
        <v/>
      </c>
      <c r="R113" s="181" t="n">
        <v>43616</v>
      </c>
      <c r="S113" s="75">
        <f>C113-$P113</f>
        <v/>
      </c>
      <c r="T113" s="75">
        <f>D113-$P113</f>
        <v/>
      </c>
      <c r="U113" s="75">
        <f>E113-$P113</f>
        <v/>
      </c>
      <c r="V113" s="75">
        <f>F113-$P113</f>
        <v/>
      </c>
      <c r="W113" s="75">
        <f>G113-$P113</f>
        <v/>
      </c>
      <c r="X113" s="75">
        <f>H113-$P113</f>
        <v/>
      </c>
      <c r="Y113" s="75">
        <f>I113-$P113</f>
        <v/>
      </c>
      <c r="Z113" s="75">
        <f>J113-$P113</f>
        <v/>
      </c>
      <c r="AA113" s="75">
        <f>K113-$P113</f>
        <v/>
      </c>
      <c r="AB113" s="75">
        <f>L113-$P113</f>
        <v/>
      </c>
      <c r="AC113" s="75">
        <f>M113-$P113</f>
        <v/>
      </c>
      <c r="AD113" s="75">
        <f>N113-$P113</f>
        <v/>
      </c>
      <c r="AE113" s="75">
        <f>O113-$P113</f>
        <v/>
      </c>
    </row>
    <row r="114" ht="16" customHeight="1">
      <c r="B114" s="181" t="n">
        <v>43646</v>
      </c>
      <c r="C114" s="75">
        <f>AIRBUS!D109</f>
        <v/>
      </c>
      <c r="D114" s="75">
        <f>BNP!D109</f>
        <v/>
      </c>
      <c r="E114" s="75">
        <f>CAPGEMINI!D109</f>
        <v/>
      </c>
      <c r="F114" s="75">
        <f>DANONE!D109</f>
        <v/>
      </c>
      <c r="G114" s="75">
        <f>ENGIE!D109</f>
        <v/>
      </c>
      <c r="H114" s="75">
        <f>'HERMES INTL'!D109</f>
        <v/>
      </c>
      <c r="I114" s="75">
        <f>'PERNOD RICARD'!D109</f>
        <v/>
      </c>
      <c r="J114" s="75">
        <f>RENAULT!D109</f>
        <v/>
      </c>
      <c r="K114" s="75">
        <f>SANOFI!D109</f>
        <v/>
      </c>
      <c r="L114" s="75">
        <f>'SCHNEIDER ELECTRIC'!D109</f>
        <v/>
      </c>
      <c r="M114" s="75">
        <f>'TOTAL ENERGIES'!D109</f>
        <v/>
      </c>
      <c r="N114" s="75">
        <f>VINCI!D109</f>
        <v/>
      </c>
      <c r="O114" s="75">
        <f>MARKET!D109</f>
        <v/>
      </c>
      <c r="P114" s="103">
        <f>INTERBANK!D108</f>
        <v/>
      </c>
      <c r="R114" s="181" t="n">
        <v>43646</v>
      </c>
      <c r="S114" s="75">
        <f>C114-$P114</f>
        <v/>
      </c>
      <c r="T114" s="75">
        <f>D114-$P114</f>
        <v/>
      </c>
      <c r="U114" s="75">
        <f>E114-$P114</f>
        <v/>
      </c>
      <c r="V114" s="75">
        <f>F114-$P114</f>
        <v/>
      </c>
      <c r="W114" s="75">
        <f>G114-$P114</f>
        <v/>
      </c>
      <c r="X114" s="75">
        <f>H114-$P114</f>
        <v/>
      </c>
      <c r="Y114" s="75">
        <f>I114-$P114</f>
        <v/>
      </c>
      <c r="Z114" s="75">
        <f>J114-$P114</f>
        <v/>
      </c>
      <c r="AA114" s="75">
        <f>K114-$P114</f>
        <v/>
      </c>
      <c r="AB114" s="75">
        <f>L114-$P114</f>
        <v/>
      </c>
      <c r="AC114" s="75">
        <f>M114-$P114</f>
        <v/>
      </c>
      <c r="AD114" s="75">
        <f>N114-$P114</f>
        <v/>
      </c>
      <c r="AE114" s="75">
        <f>O114-$P114</f>
        <v/>
      </c>
    </row>
    <row r="115" ht="16" customHeight="1">
      <c r="B115" s="181" t="n">
        <v>43677</v>
      </c>
      <c r="C115" s="75">
        <f>AIRBUS!D110</f>
        <v/>
      </c>
      <c r="D115" s="75">
        <f>BNP!D110</f>
        <v/>
      </c>
      <c r="E115" s="75">
        <f>CAPGEMINI!D110</f>
        <v/>
      </c>
      <c r="F115" s="75">
        <f>DANONE!D110</f>
        <v/>
      </c>
      <c r="G115" s="75">
        <f>ENGIE!D110</f>
        <v/>
      </c>
      <c r="H115" s="75">
        <f>'HERMES INTL'!D110</f>
        <v/>
      </c>
      <c r="I115" s="75">
        <f>'PERNOD RICARD'!D110</f>
        <v/>
      </c>
      <c r="J115" s="75">
        <f>RENAULT!D110</f>
        <v/>
      </c>
      <c r="K115" s="75">
        <f>SANOFI!D110</f>
        <v/>
      </c>
      <c r="L115" s="75">
        <f>'SCHNEIDER ELECTRIC'!D110</f>
        <v/>
      </c>
      <c r="M115" s="75">
        <f>'TOTAL ENERGIES'!D110</f>
        <v/>
      </c>
      <c r="N115" s="75">
        <f>VINCI!D110</f>
        <v/>
      </c>
      <c r="O115" s="75">
        <f>MARKET!D110</f>
        <v/>
      </c>
      <c r="P115" s="103">
        <f>INTERBANK!D109</f>
        <v/>
      </c>
      <c r="R115" s="181" t="n">
        <v>43677</v>
      </c>
      <c r="S115" s="75">
        <f>C115-$P115</f>
        <v/>
      </c>
      <c r="T115" s="75">
        <f>D115-$P115</f>
        <v/>
      </c>
      <c r="U115" s="75">
        <f>E115-$P115</f>
        <v/>
      </c>
      <c r="V115" s="75">
        <f>F115-$P115</f>
        <v/>
      </c>
      <c r="W115" s="75">
        <f>G115-$P115</f>
        <v/>
      </c>
      <c r="X115" s="75">
        <f>H115-$P115</f>
        <v/>
      </c>
      <c r="Y115" s="75">
        <f>I115-$P115</f>
        <v/>
      </c>
      <c r="Z115" s="75">
        <f>J115-$P115</f>
        <v/>
      </c>
      <c r="AA115" s="75">
        <f>K115-$P115</f>
        <v/>
      </c>
      <c r="AB115" s="75">
        <f>L115-$P115</f>
        <v/>
      </c>
      <c r="AC115" s="75">
        <f>M115-$P115</f>
        <v/>
      </c>
      <c r="AD115" s="75">
        <f>N115-$P115</f>
        <v/>
      </c>
      <c r="AE115" s="75">
        <f>O115-$P115</f>
        <v/>
      </c>
    </row>
    <row r="116" ht="16" customHeight="1">
      <c r="B116" s="181" t="n">
        <v>43708</v>
      </c>
      <c r="C116" s="75">
        <f>AIRBUS!D111</f>
        <v/>
      </c>
      <c r="D116" s="75">
        <f>BNP!D111</f>
        <v/>
      </c>
      <c r="E116" s="75">
        <f>CAPGEMINI!D111</f>
        <v/>
      </c>
      <c r="F116" s="75">
        <f>DANONE!D111</f>
        <v/>
      </c>
      <c r="G116" s="75">
        <f>ENGIE!D111</f>
        <v/>
      </c>
      <c r="H116" s="75">
        <f>'HERMES INTL'!D111</f>
        <v/>
      </c>
      <c r="I116" s="75">
        <f>'PERNOD RICARD'!D111</f>
        <v/>
      </c>
      <c r="J116" s="75">
        <f>RENAULT!D111</f>
        <v/>
      </c>
      <c r="K116" s="75">
        <f>SANOFI!D111</f>
        <v/>
      </c>
      <c r="L116" s="75">
        <f>'SCHNEIDER ELECTRIC'!D111</f>
        <v/>
      </c>
      <c r="M116" s="75">
        <f>'TOTAL ENERGIES'!D111</f>
        <v/>
      </c>
      <c r="N116" s="75">
        <f>VINCI!D111</f>
        <v/>
      </c>
      <c r="O116" s="75">
        <f>MARKET!D111</f>
        <v/>
      </c>
      <c r="P116" s="103">
        <f>INTERBANK!D110</f>
        <v/>
      </c>
      <c r="R116" s="181" t="n">
        <v>43708</v>
      </c>
      <c r="S116" s="75">
        <f>C116-$P116</f>
        <v/>
      </c>
      <c r="T116" s="75">
        <f>D116-$P116</f>
        <v/>
      </c>
      <c r="U116" s="75">
        <f>E116-$P116</f>
        <v/>
      </c>
      <c r="V116" s="75">
        <f>F116-$P116</f>
        <v/>
      </c>
      <c r="W116" s="75">
        <f>G116-$P116</f>
        <v/>
      </c>
      <c r="X116" s="75">
        <f>H116-$P116</f>
        <v/>
      </c>
      <c r="Y116" s="75">
        <f>I116-$P116</f>
        <v/>
      </c>
      <c r="Z116" s="75">
        <f>J116-$P116</f>
        <v/>
      </c>
      <c r="AA116" s="75">
        <f>K116-$P116</f>
        <v/>
      </c>
      <c r="AB116" s="75">
        <f>L116-$P116</f>
        <v/>
      </c>
      <c r="AC116" s="75">
        <f>M116-$P116</f>
        <v/>
      </c>
      <c r="AD116" s="75">
        <f>N116-$P116</f>
        <v/>
      </c>
      <c r="AE116" s="75">
        <f>O116-$P116</f>
        <v/>
      </c>
    </row>
    <row r="117" ht="16" customHeight="1">
      <c r="B117" s="181" t="n">
        <v>43738</v>
      </c>
      <c r="C117" s="75">
        <f>AIRBUS!D112</f>
        <v/>
      </c>
      <c r="D117" s="75">
        <f>BNP!D112</f>
        <v/>
      </c>
      <c r="E117" s="75">
        <f>CAPGEMINI!D112</f>
        <v/>
      </c>
      <c r="F117" s="75">
        <f>DANONE!D112</f>
        <v/>
      </c>
      <c r="G117" s="75">
        <f>ENGIE!D112</f>
        <v/>
      </c>
      <c r="H117" s="75">
        <f>'HERMES INTL'!D112</f>
        <v/>
      </c>
      <c r="I117" s="75">
        <f>'PERNOD RICARD'!D112</f>
        <v/>
      </c>
      <c r="J117" s="75">
        <f>RENAULT!D112</f>
        <v/>
      </c>
      <c r="K117" s="75">
        <f>SANOFI!D112</f>
        <v/>
      </c>
      <c r="L117" s="75">
        <f>'SCHNEIDER ELECTRIC'!D112</f>
        <v/>
      </c>
      <c r="M117" s="75">
        <f>'TOTAL ENERGIES'!D112</f>
        <v/>
      </c>
      <c r="N117" s="75">
        <f>VINCI!D112</f>
        <v/>
      </c>
      <c r="O117" s="75">
        <f>MARKET!D112</f>
        <v/>
      </c>
      <c r="P117" s="103">
        <f>INTERBANK!D111</f>
        <v/>
      </c>
      <c r="R117" s="181" t="n">
        <v>43738</v>
      </c>
      <c r="S117" s="75">
        <f>C117-$P117</f>
        <v/>
      </c>
      <c r="T117" s="75">
        <f>D117-$P117</f>
        <v/>
      </c>
      <c r="U117" s="75">
        <f>E117-$P117</f>
        <v/>
      </c>
      <c r="V117" s="75">
        <f>F117-$P117</f>
        <v/>
      </c>
      <c r="W117" s="75">
        <f>G117-$P117</f>
        <v/>
      </c>
      <c r="X117" s="75">
        <f>H117-$P117</f>
        <v/>
      </c>
      <c r="Y117" s="75">
        <f>I117-$P117</f>
        <v/>
      </c>
      <c r="Z117" s="75">
        <f>J117-$P117</f>
        <v/>
      </c>
      <c r="AA117" s="75">
        <f>K117-$P117</f>
        <v/>
      </c>
      <c r="AB117" s="75">
        <f>L117-$P117</f>
        <v/>
      </c>
      <c r="AC117" s="75">
        <f>M117-$P117</f>
        <v/>
      </c>
      <c r="AD117" s="75">
        <f>N117-$P117</f>
        <v/>
      </c>
      <c r="AE117" s="75">
        <f>O117-$P117</f>
        <v/>
      </c>
    </row>
    <row r="118" ht="16" customHeight="1">
      <c r="B118" s="181" t="n">
        <v>43769</v>
      </c>
      <c r="C118" s="75">
        <f>AIRBUS!D113</f>
        <v/>
      </c>
      <c r="D118" s="75">
        <f>BNP!D113</f>
        <v/>
      </c>
      <c r="E118" s="75">
        <f>CAPGEMINI!D113</f>
        <v/>
      </c>
      <c r="F118" s="75">
        <f>DANONE!D113</f>
        <v/>
      </c>
      <c r="G118" s="75">
        <f>ENGIE!D113</f>
        <v/>
      </c>
      <c r="H118" s="75">
        <f>'HERMES INTL'!D113</f>
        <v/>
      </c>
      <c r="I118" s="75">
        <f>'PERNOD RICARD'!D113</f>
        <v/>
      </c>
      <c r="J118" s="75">
        <f>RENAULT!D113</f>
        <v/>
      </c>
      <c r="K118" s="75">
        <f>SANOFI!D113</f>
        <v/>
      </c>
      <c r="L118" s="75">
        <f>'SCHNEIDER ELECTRIC'!D113</f>
        <v/>
      </c>
      <c r="M118" s="75">
        <f>'TOTAL ENERGIES'!D113</f>
        <v/>
      </c>
      <c r="N118" s="75">
        <f>VINCI!D113</f>
        <v/>
      </c>
      <c r="O118" s="75">
        <f>MARKET!D113</f>
        <v/>
      </c>
      <c r="P118" s="103">
        <f>INTERBANK!D112</f>
        <v/>
      </c>
      <c r="R118" s="181" t="n">
        <v>43769</v>
      </c>
      <c r="S118" s="75">
        <f>C118-$P118</f>
        <v/>
      </c>
      <c r="T118" s="75">
        <f>D118-$P118</f>
        <v/>
      </c>
      <c r="U118" s="75">
        <f>E118-$P118</f>
        <v/>
      </c>
      <c r="V118" s="75">
        <f>F118-$P118</f>
        <v/>
      </c>
      <c r="W118" s="75">
        <f>G118-$P118</f>
        <v/>
      </c>
      <c r="X118" s="75">
        <f>H118-$P118</f>
        <v/>
      </c>
      <c r="Y118" s="75">
        <f>I118-$P118</f>
        <v/>
      </c>
      <c r="Z118" s="75">
        <f>J118-$P118</f>
        <v/>
      </c>
      <c r="AA118" s="75">
        <f>K118-$P118</f>
        <v/>
      </c>
      <c r="AB118" s="75">
        <f>L118-$P118</f>
        <v/>
      </c>
      <c r="AC118" s="75">
        <f>M118-$P118</f>
        <v/>
      </c>
      <c r="AD118" s="75">
        <f>N118-$P118</f>
        <v/>
      </c>
      <c r="AE118" s="75">
        <f>O118-$P118</f>
        <v/>
      </c>
    </row>
    <row r="119" ht="16" customHeight="1">
      <c r="B119" s="181" t="n">
        <v>43799</v>
      </c>
      <c r="C119" s="75">
        <f>AIRBUS!D114</f>
        <v/>
      </c>
      <c r="D119" s="75">
        <f>BNP!D114</f>
        <v/>
      </c>
      <c r="E119" s="75">
        <f>CAPGEMINI!D114</f>
        <v/>
      </c>
      <c r="F119" s="75">
        <f>DANONE!D114</f>
        <v/>
      </c>
      <c r="G119" s="75">
        <f>ENGIE!D114</f>
        <v/>
      </c>
      <c r="H119" s="75">
        <f>'HERMES INTL'!D114</f>
        <v/>
      </c>
      <c r="I119" s="75">
        <f>'PERNOD RICARD'!D114</f>
        <v/>
      </c>
      <c r="J119" s="75">
        <f>RENAULT!D114</f>
        <v/>
      </c>
      <c r="K119" s="75">
        <f>SANOFI!D114</f>
        <v/>
      </c>
      <c r="L119" s="75">
        <f>'SCHNEIDER ELECTRIC'!D114</f>
        <v/>
      </c>
      <c r="M119" s="75">
        <f>'TOTAL ENERGIES'!D114</f>
        <v/>
      </c>
      <c r="N119" s="75">
        <f>VINCI!D114</f>
        <v/>
      </c>
      <c r="O119" s="75">
        <f>MARKET!D114</f>
        <v/>
      </c>
      <c r="P119" s="103">
        <f>INTERBANK!D113</f>
        <v/>
      </c>
      <c r="R119" s="181" t="n">
        <v>43799</v>
      </c>
      <c r="S119" s="75">
        <f>C119-$P119</f>
        <v/>
      </c>
      <c r="T119" s="75">
        <f>D119-$P119</f>
        <v/>
      </c>
      <c r="U119" s="75">
        <f>E119-$P119</f>
        <v/>
      </c>
      <c r="V119" s="75">
        <f>F119-$P119</f>
        <v/>
      </c>
      <c r="W119" s="75">
        <f>G119-$P119</f>
        <v/>
      </c>
      <c r="X119" s="75">
        <f>H119-$P119</f>
        <v/>
      </c>
      <c r="Y119" s="75">
        <f>I119-$P119</f>
        <v/>
      </c>
      <c r="Z119" s="75">
        <f>J119-$P119</f>
        <v/>
      </c>
      <c r="AA119" s="75">
        <f>K119-$P119</f>
        <v/>
      </c>
      <c r="AB119" s="75">
        <f>L119-$P119</f>
        <v/>
      </c>
      <c r="AC119" s="75">
        <f>M119-$P119</f>
        <v/>
      </c>
      <c r="AD119" s="75">
        <f>N119-$P119</f>
        <v/>
      </c>
      <c r="AE119" s="75">
        <f>O119-$P119</f>
        <v/>
      </c>
    </row>
    <row r="120" ht="16" customHeight="1">
      <c r="B120" s="181" t="n">
        <v>43830</v>
      </c>
      <c r="C120" s="75">
        <f>AIRBUS!D115</f>
        <v/>
      </c>
      <c r="D120" s="75">
        <f>BNP!D115</f>
        <v/>
      </c>
      <c r="E120" s="75">
        <f>CAPGEMINI!D115</f>
        <v/>
      </c>
      <c r="F120" s="75">
        <f>DANONE!D115</f>
        <v/>
      </c>
      <c r="G120" s="75">
        <f>ENGIE!D115</f>
        <v/>
      </c>
      <c r="H120" s="75">
        <f>'HERMES INTL'!D115</f>
        <v/>
      </c>
      <c r="I120" s="75">
        <f>'PERNOD RICARD'!D115</f>
        <v/>
      </c>
      <c r="J120" s="75">
        <f>RENAULT!D115</f>
        <v/>
      </c>
      <c r="K120" s="75">
        <f>SANOFI!D115</f>
        <v/>
      </c>
      <c r="L120" s="75">
        <f>'SCHNEIDER ELECTRIC'!D115</f>
        <v/>
      </c>
      <c r="M120" s="75">
        <f>'TOTAL ENERGIES'!D115</f>
        <v/>
      </c>
      <c r="N120" s="75">
        <f>VINCI!D115</f>
        <v/>
      </c>
      <c r="O120" s="75">
        <f>MARKET!D115</f>
        <v/>
      </c>
      <c r="P120" s="103">
        <f>INTERBANK!D114</f>
        <v/>
      </c>
      <c r="R120" s="181" t="n">
        <v>43830</v>
      </c>
      <c r="S120" s="75">
        <f>C120-$P120</f>
        <v/>
      </c>
      <c r="T120" s="75">
        <f>D120-$P120</f>
        <v/>
      </c>
      <c r="U120" s="75">
        <f>E120-$P120</f>
        <v/>
      </c>
      <c r="V120" s="75">
        <f>F120-$P120</f>
        <v/>
      </c>
      <c r="W120" s="75">
        <f>G120-$P120</f>
        <v/>
      </c>
      <c r="X120" s="75">
        <f>H120-$P120</f>
        <v/>
      </c>
      <c r="Y120" s="75">
        <f>I120-$P120</f>
        <v/>
      </c>
      <c r="Z120" s="75">
        <f>J120-$P120</f>
        <v/>
      </c>
      <c r="AA120" s="75">
        <f>K120-$P120</f>
        <v/>
      </c>
      <c r="AB120" s="75">
        <f>L120-$P120</f>
        <v/>
      </c>
      <c r="AC120" s="75">
        <f>M120-$P120</f>
        <v/>
      </c>
      <c r="AD120" s="75">
        <f>N120-$P120</f>
        <v/>
      </c>
      <c r="AE120" s="75">
        <f>O120-$P120</f>
        <v/>
      </c>
    </row>
    <row r="121" ht="16" customHeight="1">
      <c r="B121" s="181" t="n">
        <v>43861</v>
      </c>
      <c r="C121" s="75">
        <f>AIRBUS!D116</f>
        <v/>
      </c>
      <c r="D121" s="75">
        <f>BNP!D116</f>
        <v/>
      </c>
      <c r="E121" s="75">
        <f>CAPGEMINI!D116</f>
        <v/>
      </c>
      <c r="F121" s="75">
        <f>DANONE!D116</f>
        <v/>
      </c>
      <c r="G121" s="75">
        <f>ENGIE!D116</f>
        <v/>
      </c>
      <c r="H121" s="75">
        <f>'HERMES INTL'!D116</f>
        <v/>
      </c>
      <c r="I121" s="75">
        <f>'PERNOD RICARD'!D116</f>
        <v/>
      </c>
      <c r="J121" s="75">
        <f>RENAULT!D116</f>
        <v/>
      </c>
      <c r="K121" s="75">
        <f>SANOFI!D116</f>
        <v/>
      </c>
      <c r="L121" s="75">
        <f>'SCHNEIDER ELECTRIC'!D116</f>
        <v/>
      </c>
      <c r="M121" s="75">
        <f>'TOTAL ENERGIES'!D116</f>
        <v/>
      </c>
      <c r="N121" s="75">
        <f>VINCI!D116</f>
        <v/>
      </c>
      <c r="O121" s="75">
        <f>MARKET!D116</f>
        <v/>
      </c>
      <c r="P121" s="103">
        <f>INTERBANK!D115</f>
        <v/>
      </c>
      <c r="R121" s="181" t="n">
        <v>43861</v>
      </c>
      <c r="S121" s="75">
        <f>C121-$P121</f>
        <v/>
      </c>
      <c r="T121" s="75">
        <f>D121-$P121</f>
        <v/>
      </c>
      <c r="U121" s="75">
        <f>E121-$P121</f>
        <v/>
      </c>
      <c r="V121" s="75">
        <f>F121-$P121</f>
        <v/>
      </c>
      <c r="W121" s="75">
        <f>G121-$P121</f>
        <v/>
      </c>
      <c r="X121" s="75">
        <f>H121-$P121</f>
        <v/>
      </c>
      <c r="Y121" s="75">
        <f>I121-$P121</f>
        <v/>
      </c>
      <c r="Z121" s="75">
        <f>J121-$P121</f>
        <v/>
      </c>
      <c r="AA121" s="75">
        <f>K121-$P121</f>
        <v/>
      </c>
      <c r="AB121" s="75">
        <f>L121-$P121</f>
        <v/>
      </c>
      <c r="AC121" s="75">
        <f>M121-$P121</f>
        <v/>
      </c>
      <c r="AD121" s="75">
        <f>N121-$P121</f>
        <v/>
      </c>
      <c r="AE121" s="75">
        <f>O121-$P121</f>
        <v/>
      </c>
    </row>
    <row r="122" ht="16" customHeight="1">
      <c r="B122" s="181" t="n">
        <v>43890</v>
      </c>
      <c r="C122" s="75">
        <f>AIRBUS!D117</f>
        <v/>
      </c>
      <c r="D122" s="75">
        <f>BNP!D117</f>
        <v/>
      </c>
      <c r="E122" s="75">
        <f>CAPGEMINI!D117</f>
        <v/>
      </c>
      <c r="F122" s="75">
        <f>DANONE!D117</f>
        <v/>
      </c>
      <c r="G122" s="75">
        <f>ENGIE!D117</f>
        <v/>
      </c>
      <c r="H122" s="75">
        <f>'HERMES INTL'!D117</f>
        <v/>
      </c>
      <c r="I122" s="75">
        <f>'PERNOD RICARD'!D117</f>
        <v/>
      </c>
      <c r="J122" s="75">
        <f>RENAULT!D117</f>
        <v/>
      </c>
      <c r="K122" s="75">
        <f>SANOFI!D117</f>
        <v/>
      </c>
      <c r="L122" s="75">
        <f>'SCHNEIDER ELECTRIC'!D117</f>
        <v/>
      </c>
      <c r="M122" s="75">
        <f>'TOTAL ENERGIES'!D117</f>
        <v/>
      </c>
      <c r="N122" s="75">
        <f>VINCI!D117</f>
        <v/>
      </c>
      <c r="O122" s="75">
        <f>MARKET!D117</f>
        <v/>
      </c>
      <c r="P122" s="103">
        <f>INTERBANK!D116</f>
        <v/>
      </c>
      <c r="R122" s="181" t="n">
        <v>43890</v>
      </c>
      <c r="S122" s="75">
        <f>C122-$P122</f>
        <v/>
      </c>
      <c r="T122" s="75">
        <f>D122-$P122</f>
        <v/>
      </c>
      <c r="U122" s="75">
        <f>E122-$P122</f>
        <v/>
      </c>
      <c r="V122" s="75">
        <f>F122-$P122</f>
        <v/>
      </c>
      <c r="W122" s="75">
        <f>G122-$P122</f>
        <v/>
      </c>
      <c r="X122" s="75">
        <f>H122-$P122</f>
        <v/>
      </c>
      <c r="Y122" s="75">
        <f>I122-$P122</f>
        <v/>
      </c>
      <c r="Z122" s="75">
        <f>J122-$P122</f>
        <v/>
      </c>
      <c r="AA122" s="75">
        <f>K122-$P122</f>
        <v/>
      </c>
      <c r="AB122" s="75">
        <f>L122-$P122</f>
        <v/>
      </c>
      <c r="AC122" s="75">
        <f>M122-$P122</f>
        <v/>
      </c>
      <c r="AD122" s="75">
        <f>N122-$P122</f>
        <v/>
      </c>
      <c r="AE122" s="75">
        <f>O122-$P122</f>
        <v/>
      </c>
    </row>
    <row r="123" ht="16" customHeight="1">
      <c r="B123" s="181" t="n">
        <v>43921</v>
      </c>
      <c r="C123" s="75">
        <f>AIRBUS!D118</f>
        <v/>
      </c>
      <c r="D123" s="75">
        <f>BNP!D118</f>
        <v/>
      </c>
      <c r="E123" s="75">
        <f>CAPGEMINI!D118</f>
        <v/>
      </c>
      <c r="F123" s="75">
        <f>DANONE!D118</f>
        <v/>
      </c>
      <c r="G123" s="75">
        <f>ENGIE!D118</f>
        <v/>
      </c>
      <c r="H123" s="75">
        <f>'HERMES INTL'!D118</f>
        <v/>
      </c>
      <c r="I123" s="75">
        <f>'PERNOD RICARD'!D118</f>
        <v/>
      </c>
      <c r="J123" s="75">
        <f>RENAULT!D118</f>
        <v/>
      </c>
      <c r="K123" s="75">
        <f>SANOFI!D118</f>
        <v/>
      </c>
      <c r="L123" s="75">
        <f>'SCHNEIDER ELECTRIC'!D118</f>
        <v/>
      </c>
      <c r="M123" s="75">
        <f>'TOTAL ENERGIES'!D118</f>
        <v/>
      </c>
      <c r="N123" s="75">
        <f>VINCI!D118</f>
        <v/>
      </c>
      <c r="O123" s="75">
        <f>MARKET!D118</f>
        <v/>
      </c>
      <c r="P123" s="103">
        <f>INTERBANK!D117</f>
        <v/>
      </c>
      <c r="R123" s="181" t="n">
        <v>43921</v>
      </c>
      <c r="S123" s="75">
        <f>C123-$P123</f>
        <v/>
      </c>
      <c r="T123" s="75">
        <f>D123-$P123</f>
        <v/>
      </c>
      <c r="U123" s="75">
        <f>E123-$P123</f>
        <v/>
      </c>
      <c r="V123" s="75">
        <f>F123-$P123</f>
        <v/>
      </c>
      <c r="W123" s="75">
        <f>G123-$P123</f>
        <v/>
      </c>
      <c r="X123" s="75">
        <f>H123-$P123</f>
        <v/>
      </c>
      <c r="Y123" s="75">
        <f>I123-$P123</f>
        <v/>
      </c>
      <c r="Z123" s="75">
        <f>J123-$P123</f>
        <v/>
      </c>
      <c r="AA123" s="75">
        <f>K123-$P123</f>
        <v/>
      </c>
      <c r="AB123" s="75">
        <f>L123-$P123</f>
        <v/>
      </c>
      <c r="AC123" s="75">
        <f>M123-$P123</f>
        <v/>
      </c>
      <c r="AD123" s="75">
        <f>N123-$P123</f>
        <v/>
      </c>
      <c r="AE123" s="75">
        <f>O123-$P123</f>
        <v/>
      </c>
    </row>
    <row r="124" ht="16" customHeight="1">
      <c r="B124" s="181" t="n">
        <v>43951</v>
      </c>
      <c r="C124" s="75">
        <f>AIRBUS!D119</f>
        <v/>
      </c>
      <c r="D124" s="75">
        <f>BNP!D119</f>
        <v/>
      </c>
      <c r="E124" s="75">
        <f>CAPGEMINI!D119</f>
        <v/>
      </c>
      <c r="F124" s="75">
        <f>DANONE!D119</f>
        <v/>
      </c>
      <c r="G124" s="75">
        <f>ENGIE!D119</f>
        <v/>
      </c>
      <c r="H124" s="75">
        <f>'HERMES INTL'!D119</f>
        <v/>
      </c>
      <c r="I124" s="75">
        <f>'PERNOD RICARD'!D119</f>
        <v/>
      </c>
      <c r="J124" s="75">
        <f>RENAULT!D119</f>
        <v/>
      </c>
      <c r="K124" s="75">
        <f>SANOFI!D119</f>
        <v/>
      </c>
      <c r="L124" s="75">
        <f>'SCHNEIDER ELECTRIC'!D119</f>
        <v/>
      </c>
      <c r="M124" s="75">
        <f>'TOTAL ENERGIES'!D119</f>
        <v/>
      </c>
      <c r="N124" s="75">
        <f>VINCI!D119</f>
        <v/>
      </c>
      <c r="O124" s="75">
        <f>MARKET!D119</f>
        <v/>
      </c>
      <c r="P124" s="103">
        <f>INTERBANK!D118</f>
        <v/>
      </c>
      <c r="R124" s="181" t="n">
        <v>43951</v>
      </c>
      <c r="S124" s="75">
        <f>C124-$P124</f>
        <v/>
      </c>
      <c r="T124" s="75">
        <f>D124-$P124</f>
        <v/>
      </c>
      <c r="U124" s="75">
        <f>E124-$P124</f>
        <v/>
      </c>
      <c r="V124" s="75">
        <f>F124-$P124</f>
        <v/>
      </c>
      <c r="W124" s="75">
        <f>G124-$P124</f>
        <v/>
      </c>
      <c r="X124" s="75">
        <f>H124-$P124</f>
        <v/>
      </c>
      <c r="Y124" s="75">
        <f>I124-$P124</f>
        <v/>
      </c>
      <c r="Z124" s="75">
        <f>J124-$P124</f>
        <v/>
      </c>
      <c r="AA124" s="75">
        <f>K124-$P124</f>
        <v/>
      </c>
      <c r="AB124" s="75">
        <f>L124-$P124</f>
        <v/>
      </c>
      <c r="AC124" s="75">
        <f>M124-$P124</f>
        <v/>
      </c>
      <c r="AD124" s="75">
        <f>N124-$P124</f>
        <v/>
      </c>
      <c r="AE124" s="75">
        <f>O124-$P124</f>
        <v/>
      </c>
    </row>
    <row r="125" ht="16" customHeight="1">
      <c r="B125" s="181" t="n">
        <v>43982</v>
      </c>
      <c r="C125" s="75">
        <f>AIRBUS!D120</f>
        <v/>
      </c>
      <c r="D125" s="75">
        <f>BNP!D120</f>
        <v/>
      </c>
      <c r="E125" s="75">
        <f>CAPGEMINI!D120</f>
        <v/>
      </c>
      <c r="F125" s="75">
        <f>DANONE!D120</f>
        <v/>
      </c>
      <c r="G125" s="75">
        <f>ENGIE!D120</f>
        <v/>
      </c>
      <c r="H125" s="75">
        <f>'HERMES INTL'!D120</f>
        <v/>
      </c>
      <c r="I125" s="75">
        <f>'PERNOD RICARD'!D120</f>
        <v/>
      </c>
      <c r="J125" s="75">
        <f>RENAULT!D120</f>
        <v/>
      </c>
      <c r="K125" s="75">
        <f>SANOFI!D120</f>
        <v/>
      </c>
      <c r="L125" s="75">
        <f>'SCHNEIDER ELECTRIC'!D120</f>
        <v/>
      </c>
      <c r="M125" s="75">
        <f>'TOTAL ENERGIES'!D120</f>
        <v/>
      </c>
      <c r="N125" s="75">
        <f>VINCI!D120</f>
        <v/>
      </c>
      <c r="O125" s="75">
        <f>MARKET!D120</f>
        <v/>
      </c>
      <c r="P125" s="103">
        <f>INTERBANK!D119</f>
        <v/>
      </c>
      <c r="R125" s="181" t="n">
        <v>43982</v>
      </c>
      <c r="S125" s="75">
        <f>C125-$P125</f>
        <v/>
      </c>
      <c r="T125" s="75">
        <f>D125-$P125</f>
        <v/>
      </c>
      <c r="U125" s="75">
        <f>E125-$P125</f>
        <v/>
      </c>
      <c r="V125" s="75">
        <f>F125-$P125</f>
        <v/>
      </c>
      <c r="W125" s="75">
        <f>G125-$P125</f>
        <v/>
      </c>
      <c r="X125" s="75">
        <f>H125-$P125</f>
        <v/>
      </c>
      <c r="Y125" s="75">
        <f>I125-$P125</f>
        <v/>
      </c>
      <c r="Z125" s="75">
        <f>J125-$P125</f>
        <v/>
      </c>
      <c r="AA125" s="75">
        <f>K125-$P125</f>
        <v/>
      </c>
      <c r="AB125" s="75">
        <f>L125-$P125</f>
        <v/>
      </c>
      <c r="AC125" s="75">
        <f>M125-$P125</f>
        <v/>
      </c>
      <c r="AD125" s="75">
        <f>N125-$P125</f>
        <v/>
      </c>
      <c r="AE125" s="75">
        <f>O125-$P125</f>
        <v/>
      </c>
    </row>
    <row r="126" ht="16" customHeight="1">
      <c r="B126" s="181" t="n">
        <v>44012</v>
      </c>
      <c r="C126" s="75">
        <f>AIRBUS!D121</f>
        <v/>
      </c>
      <c r="D126" s="75">
        <f>BNP!D121</f>
        <v/>
      </c>
      <c r="E126" s="75">
        <f>CAPGEMINI!D121</f>
        <v/>
      </c>
      <c r="F126" s="75">
        <f>DANONE!D121</f>
        <v/>
      </c>
      <c r="G126" s="75">
        <f>ENGIE!D121</f>
        <v/>
      </c>
      <c r="H126" s="75">
        <f>'HERMES INTL'!D121</f>
        <v/>
      </c>
      <c r="I126" s="75">
        <f>'PERNOD RICARD'!D121</f>
        <v/>
      </c>
      <c r="J126" s="75">
        <f>RENAULT!D121</f>
        <v/>
      </c>
      <c r="K126" s="75">
        <f>SANOFI!D121</f>
        <v/>
      </c>
      <c r="L126" s="75">
        <f>'SCHNEIDER ELECTRIC'!D121</f>
        <v/>
      </c>
      <c r="M126" s="75">
        <f>'TOTAL ENERGIES'!D121</f>
        <v/>
      </c>
      <c r="N126" s="75">
        <f>VINCI!D121</f>
        <v/>
      </c>
      <c r="O126" s="75">
        <f>MARKET!D121</f>
        <v/>
      </c>
      <c r="P126" s="103">
        <f>INTERBANK!D120</f>
        <v/>
      </c>
      <c r="R126" s="181" t="n">
        <v>44012</v>
      </c>
      <c r="S126" s="75">
        <f>C126-$P126</f>
        <v/>
      </c>
      <c r="T126" s="75">
        <f>D126-$P126</f>
        <v/>
      </c>
      <c r="U126" s="75">
        <f>E126-$P126</f>
        <v/>
      </c>
      <c r="V126" s="75">
        <f>F126-$P126</f>
        <v/>
      </c>
      <c r="W126" s="75">
        <f>G126-$P126</f>
        <v/>
      </c>
      <c r="X126" s="75">
        <f>H126-$P126</f>
        <v/>
      </c>
      <c r="Y126" s="75">
        <f>I126-$P126</f>
        <v/>
      </c>
      <c r="Z126" s="75">
        <f>J126-$P126</f>
        <v/>
      </c>
      <c r="AA126" s="75">
        <f>K126-$P126</f>
        <v/>
      </c>
      <c r="AB126" s="75">
        <f>L126-$P126</f>
        <v/>
      </c>
      <c r="AC126" s="75">
        <f>M126-$P126</f>
        <v/>
      </c>
      <c r="AD126" s="75">
        <f>N126-$P126</f>
        <v/>
      </c>
      <c r="AE126" s="75">
        <f>O126-$P126</f>
        <v/>
      </c>
    </row>
    <row r="127" ht="16" customHeight="1">
      <c r="B127" s="181" t="n">
        <v>44043</v>
      </c>
      <c r="C127" s="75">
        <f>AIRBUS!D122</f>
        <v/>
      </c>
      <c r="D127" s="75">
        <f>BNP!D122</f>
        <v/>
      </c>
      <c r="E127" s="75">
        <f>CAPGEMINI!D122</f>
        <v/>
      </c>
      <c r="F127" s="75">
        <f>DANONE!D122</f>
        <v/>
      </c>
      <c r="G127" s="75">
        <f>ENGIE!D122</f>
        <v/>
      </c>
      <c r="H127" s="75">
        <f>'HERMES INTL'!D122</f>
        <v/>
      </c>
      <c r="I127" s="75">
        <f>'PERNOD RICARD'!D122</f>
        <v/>
      </c>
      <c r="J127" s="75">
        <f>RENAULT!D122</f>
        <v/>
      </c>
      <c r="K127" s="75">
        <f>SANOFI!D122</f>
        <v/>
      </c>
      <c r="L127" s="75">
        <f>'SCHNEIDER ELECTRIC'!D122</f>
        <v/>
      </c>
      <c r="M127" s="75">
        <f>'TOTAL ENERGIES'!D122</f>
        <v/>
      </c>
      <c r="N127" s="75">
        <f>VINCI!D122</f>
        <v/>
      </c>
      <c r="O127" s="75">
        <f>MARKET!D122</f>
        <v/>
      </c>
      <c r="P127" s="103">
        <f>INTERBANK!D121</f>
        <v/>
      </c>
      <c r="R127" s="181" t="n">
        <v>44043</v>
      </c>
      <c r="S127" s="75">
        <f>C127-$P127</f>
        <v/>
      </c>
      <c r="T127" s="75">
        <f>D127-$P127</f>
        <v/>
      </c>
      <c r="U127" s="75">
        <f>E127-$P127</f>
        <v/>
      </c>
      <c r="V127" s="75">
        <f>F127-$P127</f>
        <v/>
      </c>
      <c r="W127" s="75">
        <f>G127-$P127</f>
        <v/>
      </c>
      <c r="X127" s="75">
        <f>H127-$P127</f>
        <v/>
      </c>
      <c r="Y127" s="75">
        <f>I127-$P127</f>
        <v/>
      </c>
      <c r="Z127" s="75">
        <f>J127-$P127</f>
        <v/>
      </c>
      <c r="AA127" s="75">
        <f>K127-$P127</f>
        <v/>
      </c>
      <c r="AB127" s="75">
        <f>L127-$P127</f>
        <v/>
      </c>
      <c r="AC127" s="75">
        <f>M127-$P127</f>
        <v/>
      </c>
      <c r="AD127" s="75">
        <f>N127-$P127</f>
        <v/>
      </c>
      <c r="AE127" s="75">
        <f>O127-$P127</f>
        <v/>
      </c>
    </row>
    <row r="128" ht="16" customHeight="1">
      <c r="B128" s="181" t="n">
        <v>44074</v>
      </c>
      <c r="C128" s="75">
        <f>AIRBUS!D123</f>
        <v/>
      </c>
      <c r="D128" s="75">
        <f>BNP!D123</f>
        <v/>
      </c>
      <c r="E128" s="75">
        <f>CAPGEMINI!D123</f>
        <v/>
      </c>
      <c r="F128" s="75">
        <f>DANONE!D123</f>
        <v/>
      </c>
      <c r="G128" s="75">
        <f>ENGIE!D123</f>
        <v/>
      </c>
      <c r="H128" s="75">
        <f>'HERMES INTL'!D123</f>
        <v/>
      </c>
      <c r="I128" s="75">
        <f>'PERNOD RICARD'!D123</f>
        <v/>
      </c>
      <c r="J128" s="75">
        <f>RENAULT!D123</f>
        <v/>
      </c>
      <c r="K128" s="75">
        <f>SANOFI!D123</f>
        <v/>
      </c>
      <c r="L128" s="75">
        <f>'SCHNEIDER ELECTRIC'!D123</f>
        <v/>
      </c>
      <c r="M128" s="75">
        <f>'TOTAL ENERGIES'!D123</f>
        <v/>
      </c>
      <c r="N128" s="75">
        <f>VINCI!D123</f>
        <v/>
      </c>
      <c r="O128" s="75">
        <f>MARKET!D123</f>
        <v/>
      </c>
      <c r="P128" s="103">
        <f>INTERBANK!D122</f>
        <v/>
      </c>
      <c r="R128" s="181" t="n">
        <v>44074</v>
      </c>
      <c r="S128" s="75">
        <f>C128-$P128</f>
        <v/>
      </c>
      <c r="T128" s="75">
        <f>D128-$P128</f>
        <v/>
      </c>
      <c r="U128" s="75">
        <f>E128-$P128</f>
        <v/>
      </c>
      <c r="V128" s="75">
        <f>F128-$P128</f>
        <v/>
      </c>
      <c r="W128" s="75">
        <f>G128-$P128</f>
        <v/>
      </c>
      <c r="X128" s="75">
        <f>H128-$P128</f>
        <v/>
      </c>
      <c r="Y128" s="75">
        <f>I128-$P128</f>
        <v/>
      </c>
      <c r="Z128" s="75">
        <f>J128-$P128</f>
        <v/>
      </c>
      <c r="AA128" s="75">
        <f>K128-$P128</f>
        <v/>
      </c>
      <c r="AB128" s="75">
        <f>L128-$P128</f>
        <v/>
      </c>
      <c r="AC128" s="75">
        <f>M128-$P128</f>
        <v/>
      </c>
      <c r="AD128" s="75">
        <f>N128-$P128</f>
        <v/>
      </c>
      <c r="AE128" s="75">
        <f>O128-$P128</f>
        <v/>
      </c>
    </row>
    <row r="129" ht="16" customHeight="1">
      <c r="B129" s="181" t="n">
        <v>44104</v>
      </c>
      <c r="C129" s="75">
        <f>AIRBUS!D124</f>
        <v/>
      </c>
      <c r="D129" s="75">
        <f>BNP!D124</f>
        <v/>
      </c>
      <c r="E129" s="75">
        <f>CAPGEMINI!D124</f>
        <v/>
      </c>
      <c r="F129" s="75">
        <f>DANONE!D124</f>
        <v/>
      </c>
      <c r="G129" s="75">
        <f>ENGIE!D124</f>
        <v/>
      </c>
      <c r="H129" s="75">
        <f>'HERMES INTL'!D124</f>
        <v/>
      </c>
      <c r="I129" s="75">
        <f>'PERNOD RICARD'!D124</f>
        <v/>
      </c>
      <c r="J129" s="75">
        <f>RENAULT!D124</f>
        <v/>
      </c>
      <c r="K129" s="75">
        <f>SANOFI!D124</f>
        <v/>
      </c>
      <c r="L129" s="75">
        <f>'SCHNEIDER ELECTRIC'!D124</f>
        <v/>
      </c>
      <c r="M129" s="75">
        <f>'TOTAL ENERGIES'!D124</f>
        <v/>
      </c>
      <c r="N129" s="75">
        <f>VINCI!D124</f>
        <v/>
      </c>
      <c r="O129" s="75">
        <f>MARKET!D124</f>
        <v/>
      </c>
      <c r="P129" s="103">
        <f>INTERBANK!D123</f>
        <v/>
      </c>
      <c r="R129" s="181" t="n">
        <v>44104</v>
      </c>
      <c r="S129" s="75">
        <f>C129-$P129</f>
        <v/>
      </c>
      <c r="T129" s="75">
        <f>D129-$P129</f>
        <v/>
      </c>
      <c r="U129" s="75">
        <f>E129-$P129</f>
        <v/>
      </c>
      <c r="V129" s="75">
        <f>F129-$P129</f>
        <v/>
      </c>
      <c r="W129" s="75">
        <f>G129-$P129</f>
        <v/>
      </c>
      <c r="X129" s="75">
        <f>H129-$P129</f>
        <v/>
      </c>
      <c r="Y129" s="75">
        <f>I129-$P129</f>
        <v/>
      </c>
      <c r="Z129" s="75">
        <f>J129-$P129</f>
        <v/>
      </c>
      <c r="AA129" s="75">
        <f>K129-$P129</f>
        <v/>
      </c>
      <c r="AB129" s="75">
        <f>L129-$P129</f>
        <v/>
      </c>
      <c r="AC129" s="75">
        <f>M129-$P129</f>
        <v/>
      </c>
      <c r="AD129" s="75">
        <f>N129-$P129</f>
        <v/>
      </c>
      <c r="AE129" s="75">
        <f>O129-$P129</f>
        <v/>
      </c>
    </row>
    <row r="130" ht="16" customHeight="1">
      <c r="B130" s="181" t="n">
        <v>44135</v>
      </c>
      <c r="C130" s="75">
        <f>AIRBUS!D125</f>
        <v/>
      </c>
      <c r="D130" s="75">
        <f>BNP!D125</f>
        <v/>
      </c>
      <c r="E130" s="75">
        <f>CAPGEMINI!D125</f>
        <v/>
      </c>
      <c r="F130" s="75">
        <f>DANONE!D125</f>
        <v/>
      </c>
      <c r="G130" s="75">
        <f>ENGIE!D125</f>
        <v/>
      </c>
      <c r="H130" s="75">
        <f>'HERMES INTL'!D125</f>
        <v/>
      </c>
      <c r="I130" s="75">
        <f>'PERNOD RICARD'!D125</f>
        <v/>
      </c>
      <c r="J130" s="75">
        <f>RENAULT!D125</f>
        <v/>
      </c>
      <c r="K130" s="75">
        <f>SANOFI!D125</f>
        <v/>
      </c>
      <c r="L130" s="75">
        <f>'SCHNEIDER ELECTRIC'!D125</f>
        <v/>
      </c>
      <c r="M130" s="75">
        <f>'TOTAL ENERGIES'!D125</f>
        <v/>
      </c>
      <c r="N130" s="75">
        <f>VINCI!D125</f>
        <v/>
      </c>
      <c r="O130" s="75">
        <f>MARKET!D125</f>
        <v/>
      </c>
      <c r="P130" s="103">
        <f>INTERBANK!D124</f>
        <v/>
      </c>
      <c r="R130" s="181" t="n">
        <v>44135</v>
      </c>
      <c r="S130" s="75">
        <f>C130-$P130</f>
        <v/>
      </c>
      <c r="T130" s="75">
        <f>D130-$P130</f>
        <v/>
      </c>
      <c r="U130" s="75">
        <f>E130-$P130</f>
        <v/>
      </c>
      <c r="V130" s="75">
        <f>F130-$P130</f>
        <v/>
      </c>
      <c r="W130" s="75">
        <f>G130-$P130</f>
        <v/>
      </c>
      <c r="X130" s="75">
        <f>H130-$P130</f>
        <v/>
      </c>
      <c r="Y130" s="75">
        <f>I130-$P130</f>
        <v/>
      </c>
      <c r="Z130" s="75">
        <f>J130-$P130</f>
        <v/>
      </c>
      <c r="AA130" s="75">
        <f>K130-$P130</f>
        <v/>
      </c>
      <c r="AB130" s="75">
        <f>L130-$P130</f>
        <v/>
      </c>
      <c r="AC130" s="75">
        <f>M130-$P130</f>
        <v/>
      </c>
      <c r="AD130" s="75">
        <f>N130-$P130</f>
        <v/>
      </c>
      <c r="AE130" s="75">
        <f>O130-$P130</f>
        <v/>
      </c>
    </row>
    <row r="131" ht="16" customHeight="1">
      <c r="B131" s="181" t="n">
        <v>44165</v>
      </c>
      <c r="C131" s="75">
        <f>AIRBUS!D126</f>
        <v/>
      </c>
      <c r="D131" s="75">
        <f>BNP!D126</f>
        <v/>
      </c>
      <c r="E131" s="75">
        <f>CAPGEMINI!D126</f>
        <v/>
      </c>
      <c r="F131" s="75">
        <f>DANONE!D126</f>
        <v/>
      </c>
      <c r="G131" s="75">
        <f>ENGIE!D126</f>
        <v/>
      </c>
      <c r="H131" s="75">
        <f>'HERMES INTL'!D126</f>
        <v/>
      </c>
      <c r="I131" s="75">
        <f>'PERNOD RICARD'!D126</f>
        <v/>
      </c>
      <c r="J131" s="75">
        <f>RENAULT!D126</f>
        <v/>
      </c>
      <c r="K131" s="75">
        <f>SANOFI!D126</f>
        <v/>
      </c>
      <c r="L131" s="75">
        <f>'SCHNEIDER ELECTRIC'!D126</f>
        <v/>
      </c>
      <c r="M131" s="75">
        <f>'TOTAL ENERGIES'!D126</f>
        <v/>
      </c>
      <c r="N131" s="75">
        <f>VINCI!D126</f>
        <v/>
      </c>
      <c r="O131" s="75">
        <f>MARKET!D126</f>
        <v/>
      </c>
      <c r="P131" s="103">
        <f>INTERBANK!D125</f>
        <v/>
      </c>
      <c r="R131" s="181" t="n">
        <v>44165</v>
      </c>
      <c r="S131" s="75">
        <f>C131-$P131</f>
        <v/>
      </c>
      <c r="T131" s="75">
        <f>D131-$P131</f>
        <v/>
      </c>
      <c r="U131" s="75">
        <f>E131-$P131</f>
        <v/>
      </c>
      <c r="V131" s="75">
        <f>F131-$P131</f>
        <v/>
      </c>
      <c r="W131" s="75">
        <f>G131-$P131</f>
        <v/>
      </c>
      <c r="X131" s="75">
        <f>H131-$P131</f>
        <v/>
      </c>
      <c r="Y131" s="75">
        <f>I131-$P131</f>
        <v/>
      </c>
      <c r="Z131" s="75">
        <f>J131-$P131</f>
        <v/>
      </c>
      <c r="AA131" s="75">
        <f>K131-$P131</f>
        <v/>
      </c>
      <c r="AB131" s="75">
        <f>L131-$P131</f>
        <v/>
      </c>
      <c r="AC131" s="75">
        <f>M131-$P131</f>
        <v/>
      </c>
      <c r="AD131" s="75">
        <f>N131-$P131</f>
        <v/>
      </c>
      <c r="AE131" s="75">
        <f>O131-$P131</f>
        <v/>
      </c>
    </row>
    <row r="132" ht="16" customHeight="1">
      <c r="B132" s="181" t="n">
        <v>44196</v>
      </c>
      <c r="C132" s="75">
        <f>AIRBUS!D127</f>
        <v/>
      </c>
      <c r="D132" s="75">
        <f>BNP!D127</f>
        <v/>
      </c>
      <c r="E132" s="75">
        <f>CAPGEMINI!D127</f>
        <v/>
      </c>
      <c r="F132" s="75">
        <f>DANONE!D127</f>
        <v/>
      </c>
      <c r="G132" s="75">
        <f>ENGIE!D127</f>
        <v/>
      </c>
      <c r="H132" s="75">
        <f>'HERMES INTL'!D127</f>
        <v/>
      </c>
      <c r="I132" s="75">
        <f>'PERNOD RICARD'!D127</f>
        <v/>
      </c>
      <c r="J132" s="75">
        <f>RENAULT!D127</f>
        <v/>
      </c>
      <c r="K132" s="75">
        <f>SANOFI!D127</f>
        <v/>
      </c>
      <c r="L132" s="75">
        <f>'SCHNEIDER ELECTRIC'!D127</f>
        <v/>
      </c>
      <c r="M132" s="75">
        <f>'TOTAL ENERGIES'!D127</f>
        <v/>
      </c>
      <c r="N132" s="75">
        <f>VINCI!D127</f>
        <v/>
      </c>
      <c r="O132" s="75">
        <f>MARKET!D127</f>
        <v/>
      </c>
      <c r="P132" s="103">
        <f>INTERBANK!D126</f>
        <v/>
      </c>
      <c r="R132" s="181" t="n">
        <v>44196</v>
      </c>
      <c r="S132" s="75">
        <f>C132-$P132</f>
        <v/>
      </c>
      <c r="T132" s="75">
        <f>D132-$P132</f>
        <v/>
      </c>
      <c r="U132" s="75">
        <f>E132-$P132</f>
        <v/>
      </c>
      <c r="V132" s="75">
        <f>F132-$P132</f>
        <v/>
      </c>
      <c r="W132" s="75">
        <f>G132-$P132</f>
        <v/>
      </c>
      <c r="X132" s="75">
        <f>H132-$P132</f>
        <v/>
      </c>
      <c r="Y132" s="75">
        <f>I132-$P132</f>
        <v/>
      </c>
      <c r="Z132" s="75">
        <f>J132-$P132</f>
        <v/>
      </c>
      <c r="AA132" s="75">
        <f>K132-$P132</f>
        <v/>
      </c>
      <c r="AB132" s="75">
        <f>L132-$P132</f>
        <v/>
      </c>
      <c r="AC132" s="75">
        <f>M132-$P132</f>
        <v/>
      </c>
      <c r="AD132" s="75">
        <f>N132-$P132</f>
        <v/>
      </c>
      <c r="AE132" s="75">
        <f>O132-$P132</f>
        <v/>
      </c>
    </row>
    <row r="133" ht="16" customHeight="1">
      <c r="B133" s="181" t="n">
        <v>44227</v>
      </c>
      <c r="C133" s="75">
        <f>AIRBUS!D128</f>
        <v/>
      </c>
      <c r="D133" s="75">
        <f>BNP!D128</f>
        <v/>
      </c>
      <c r="E133" s="75">
        <f>CAPGEMINI!D128</f>
        <v/>
      </c>
      <c r="F133" s="75">
        <f>DANONE!D128</f>
        <v/>
      </c>
      <c r="G133" s="75">
        <f>ENGIE!D128</f>
        <v/>
      </c>
      <c r="H133" s="75">
        <f>'HERMES INTL'!D128</f>
        <v/>
      </c>
      <c r="I133" s="75">
        <f>'PERNOD RICARD'!D128</f>
        <v/>
      </c>
      <c r="J133" s="75">
        <f>RENAULT!D128</f>
        <v/>
      </c>
      <c r="K133" s="75">
        <f>SANOFI!D128</f>
        <v/>
      </c>
      <c r="L133" s="75">
        <f>'SCHNEIDER ELECTRIC'!D128</f>
        <v/>
      </c>
      <c r="M133" s="75">
        <f>'TOTAL ENERGIES'!D128</f>
        <v/>
      </c>
      <c r="N133" s="75">
        <f>VINCI!D128</f>
        <v/>
      </c>
      <c r="O133" s="75">
        <f>MARKET!D128</f>
        <v/>
      </c>
      <c r="P133" s="103">
        <f>INTERBANK!D127</f>
        <v/>
      </c>
      <c r="R133" s="181" t="n">
        <v>44227</v>
      </c>
      <c r="S133" s="75">
        <f>C133-$P133</f>
        <v/>
      </c>
      <c r="T133" s="75">
        <f>D133-$P133</f>
        <v/>
      </c>
      <c r="U133" s="75">
        <f>E133-$P133</f>
        <v/>
      </c>
      <c r="V133" s="75">
        <f>F133-$P133</f>
        <v/>
      </c>
      <c r="W133" s="75">
        <f>G133-$P133</f>
        <v/>
      </c>
      <c r="X133" s="75">
        <f>H133-$P133</f>
        <v/>
      </c>
      <c r="Y133" s="75">
        <f>I133-$P133</f>
        <v/>
      </c>
      <c r="Z133" s="75">
        <f>J133-$P133</f>
        <v/>
      </c>
      <c r="AA133" s="75">
        <f>K133-$P133</f>
        <v/>
      </c>
      <c r="AB133" s="75">
        <f>L133-$P133</f>
        <v/>
      </c>
      <c r="AC133" s="75">
        <f>M133-$P133</f>
        <v/>
      </c>
      <c r="AD133" s="75">
        <f>N133-$P133</f>
        <v/>
      </c>
      <c r="AE133" s="75">
        <f>O133-$P133</f>
        <v/>
      </c>
    </row>
    <row r="134" ht="16" customHeight="1">
      <c r="B134" s="181" t="n">
        <v>44255</v>
      </c>
      <c r="C134" s="75">
        <f>AIRBUS!D129</f>
        <v/>
      </c>
      <c r="D134" s="75">
        <f>BNP!D129</f>
        <v/>
      </c>
      <c r="E134" s="75">
        <f>CAPGEMINI!D129</f>
        <v/>
      </c>
      <c r="F134" s="75">
        <f>DANONE!D129</f>
        <v/>
      </c>
      <c r="G134" s="75">
        <f>ENGIE!D129</f>
        <v/>
      </c>
      <c r="H134" s="75">
        <f>'HERMES INTL'!D129</f>
        <v/>
      </c>
      <c r="I134" s="75">
        <f>'PERNOD RICARD'!D129</f>
        <v/>
      </c>
      <c r="J134" s="75">
        <f>RENAULT!D129</f>
        <v/>
      </c>
      <c r="K134" s="75">
        <f>SANOFI!D129</f>
        <v/>
      </c>
      <c r="L134" s="75">
        <f>'SCHNEIDER ELECTRIC'!D129</f>
        <v/>
      </c>
      <c r="M134" s="75">
        <f>'TOTAL ENERGIES'!D129</f>
        <v/>
      </c>
      <c r="N134" s="75">
        <f>VINCI!D129</f>
        <v/>
      </c>
      <c r="O134" s="75">
        <f>MARKET!D129</f>
        <v/>
      </c>
      <c r="P134" s="103">
        <f>INTERBANK!D128</f>
        <v/>
      </c>
      <c r="R134" s="181" t="n">
        <v>44255</v>
      </c>
      <c r="S134" s="75">
        <f>C134-$P134</f>
        <v/>
      </c>
      <c r="T134" s="75">
        <f>D134-$P134</f>
        <v/>
      </c>
      <c r="U134" s="75">
        <f>E134-$P134</f>
        <v/>
      </c>
      <c r="V134" s="75">
        <f>F134-$P134</f>
        <v/>
      </c>
      <c r="W134" s="75">
        <f>G134-$P134</f>
        <v/>
      </c>
      <c r="X134" s="75">
        <f>H134-$P134</f>
        <v/>
      </c>
      <c r="Y134" s="75">
        <f>I134-$P134</f>
        <v/>
      </c>
      <c r="Z134" s="75">
        <f>J134-$P134</f>
        <v/>
      </c>
      <c r="AA134" s="75">
        <f>K134-$P134</f>
        <v/>
      </c>
      <c r="AB134" s="75">
        <f>L134-$P134</f>
        <v/>
      </c>
      <c r="AC134" s="75">
        <f>M134-$P134</f>
        <v/>
      </c>
      <c r="AD134" s="75">
        <f>N134-$P134</f>
        <v/>
      </c>
      <c r="AE134" s="75">
        <f>O134-$P134</f>
        <v/>
      </c>
    </row>
    <row r="135" ht="16" customHeight="1">
      <c r="B135" s="181" t="n">
        <v>44286</v>
      </c>
      <c r="C135" s="75">
        <f>AIRBUS!D130</f>
        <v/>
      </c>
      <c r="D135" s="75">
        <f>BNP!D130</f>
        <v/>
      </c>
      <c r="E135" s="75">
        <f>CAPGEMINI!D130</f>
        <v/>
      </c>
      <c r="F135" s="75">
        <f>DANONE!D130</f>
        <v/>
      </c>
      <c r="G135" s="75">
        <f>ENGIE!D130</f>
        <v/>
      </c>
      <c r="H135" s="75">
        <f>'HERMES INTL'!D130</f>
        <v/>
      </c>
      <c r="I135" s="75">
        <f>'PERNOD RICARD'!D130</f>
        <v/>
      </c>
      <c r="J135" s="75">
        <f>RENAULT!D130</f>
        <v/>
      </c>
      <c r="K135" s="75">
        <f>SANOFI!D130</f>
        <v/>
      </c>
      <c r="L135" s="75">
        <f>'SCHNEIDER ELECTRIC'!D130</f>
        <v/>
      </c>
      <c r="M135" s="75">
        <f>'TOTAL ENERGIES'!D130</f>
        <v/>
      </c>
      <c r="N135" s="75">
        <f>VINCI!D130</f>
        <v/>
      </c>
      <c r="O135" s="75">
        <f>MARKET!D130</f>
        <v/>
      </c>
      <c r="P135" s="103">
        <f>INTERBANK!D129</f>
        <v/>
      </c>
      <c r="R135" s="181" t="n">
        <v>44286</v>
      </c>
      <c r="S135" s="75">
        <f>C135-$P135</f>
        <v/>
      </c>
      <c r="T135" s="75">
        <f>D135-$P135</f>
        <v/>
      </c>
      <c r="U135" s="75">
        <f>E135-$P135</f>
        <v/>
      </c>
      <c r="V135" s="75">
        <f>F135-$P135</f>
        <v/>
      </c>
      <c r="W135" s="75">
        <f>G135-$P135</f>
        <v/>
      </c>
      <c r="X135" s="75">
        <f>H135-$P135</f>
        <v/>
      </c>
      <c r="Y135" s="75">
        <f>I135-$P135</f>
        <v/>
      </c>
      <c r="Z135" s="75">
        <f>J135-$P135</f>
        <v/>
      </c>
      <c r="AA135" s="75">
        <f>K135-$P135</f>
        <v/>
      </c>
      <c r="AB135" s="75">
        <f>L135-$P135</f>
        <v/>
      </c>
      <c r="AC135" s="75">
        <f>M135-$P135</f>
        <v/>
      </c>
      <c r="AD135" s="75">
        <f>N135-$P135</f>
        <v/>
      </c>
      <c r="AE135" s="75">
        <f>O135-$P135</f>
        <v/>
      </c>
    </row>
    <row r="136" ht="16" customHeight="1">
      <c r="B136" s="181" t="n">
        <v>44316</v>
      </c>
      <c r="C136" s="75">
        <f>AIRBUS!D131</f>
        <v/>
      </c>
      <c r="D136" s="75">
        <f>BNP!D131</f>
        <v/>
      </c>
      <c r="E136" s="75">
        <f>CAPGEMINI!D131</f>
        <v/>
      </c>
      <c r="F136" s="75">
        <f>DANONE!D131</f>
        <v/>
      </c>
      <c r="G136" s="75">
        <f>ENGIE!D131</f>
        <v/>
      </c>
      <c r="H136" s="75">
        <f>'HERMES INTL'!D131</f>
        <v/>
      </c>
      <c r="I136" s="75">
        <f>'PERNOD RICARD'!D131</f>
        <v/>
      </c>
      <c r="J136" s="75">
        <f>RENAULT!D131</f>
        <v/>
      </c>
      <c r="K136" s="75">
        <f>SANOFI!D131</f>
        <v/>
      </c>
      <c r="L136" s="75">
        <f>'SCHNEIDER ELECTRIC'!D131</f>
        <v/>
      </c>
      <c r="M136" s="75">
        <f>'TOTAL ENERGIES'!D131</f>
        <v/>
      </c>
      <c r="N136" s="75">
        <f>VINCI!D131</f>
        <v/>
      </c>
      <c r="O136" s="75">
        <f>MARKET!D131</f>
        <v/>
      </c>
      <c r="P136" s="103">
        <f>INTERBANK!D130</f>
        <v/>
      </c>
      <c r="R136" s="181" t="n">
        <v>44316</v>
      </c>
      <c r="S136" s="75">
        <f>C136-$P136</f>
        <v/>
      </c>
      <c r="T136" s="75">
        <f>D136-$P136</f>
        <v/>
      </c>
      <c r="U136" s="75">
        <f>E136-$P136</f>
        <v/>
      </c>
      <c r="V136" s="75">
        <f>F136-$P136</f>
        <v/>
      </c>
      <c r="W136" s="75">
        <f>G136-$P136</f>
        <v/>
      </c>
      <c r="X136" s="75">
        <f>H136-$P136</f>
        <v/>
      </c>
      <c r="Y136" s="75">
        <f>I136-$P136</f>
        <v/>
      </c>
      <c r="Z136" s="75">
        <f>J136-$P136</f>
        <v/>
      </c>
      <c r="AA136" s="75">
        <f>K136-$P136</f>
        <v/>
      </c>
      <c r="AB136" s="75">
        <f>L136-$P136</f>
        <v/>
      </c>
      <c r="AC136" s="75">
        <f>M136-$P136</f>
        <v/>
      </c>
      <c r="AD136" s="75">
        <f>N136-$P136</f>
        <v/>
      </c>
      <c r="AE136" s="75">
        <f>O136-$P136</f>
        <v/>
      </c>
    </row>
    <row r="137" ht="16" customHeight="1">
      <c r="B137" s="181" t="n">
        <v>44347</v>
      </c>
      <c r="C137" s="75">
        <f>AIRBUS!D132</f>
        <v/>
      </c>
      <c r="D137" s="75">
        <f>BNP!D132</f>
        <v/>
      </c>
      <c r="E137" s="75">
        <f>CAPGEMINI!D132</f>
        <v/>
      </c>
      <c r="F137" s="75">
        <f>DANONE!D132</f>
        <v/>
      </c>
      <c r="G137" s="75">
        <f>ENGIE!D132</f>
        <v/>
      </c>
      <c r="H137" s="75">
        <f>'HERMES INTL'!D132</f>
        <v/>
      </c>
      <c r="I137" s="75">
        <f>'PERNOD RICARD'!D132</f>
        <v/>
      </c>
      <c r="J137" s="75">
        <f>RENAULT!D132</f>
        <v/>
      </c>
      <c r="K137" s="75">
        <f>SANOFI!D132</f>
        <v/>
      </c>
      <c r="L137" s="75">
        <f>'SCHNEIDER ELECTRIC'!D132</f>
        <v/>
      </c>
      <c r="M137" s="75">
        <f>'TOTAL ENERGIES'!D132</f>
        <v/>
      </c>
      <c r="N137" s="75">
        <f>VINCI!D132</f>
        <v/>
      </c>
      <c r="O137" s="75">
        <f>MARKET!D132</f>
        <v/>
      </c>
      <c r="P137" s="103">
        <f>INTERBANK!D131</f>
        <v/>
      </c>
      <c r="R137" s="181" t="n">
        <v>44347</v>
      </c>
      <c r="S137" s="75">
        <f>C137-$P137</f>
        <v/>
      </c>
      <c r="T137" s="75">
        <f>D137-$P137</f>
        <v/>
      </c>
      <c r="U137" s="75">
        <f>E137-$P137</f>
        <v/>
      </c>
      <c r="V137" s="75">
        <f>F137-$P137</f>
        <v/>
      </c>
      <c r="W137" s="75">
        <f>G137-$P137</f>
        <v/>
      </c>
      <c r="X137" s="75">
        <f>H137-$P137</f>
        <v/>
      </c>
      <c r="Y137" s="75">
        <f>I137-$P137</f>
        <v/>
      </c>
      <c r="Z137" s="75">
        <f>J137-$P137</f>
        <v/>
      </c>
      <c r="AA137" s="75">
        <f>K137-$P137</f>
        <v/>
      </c>
      <c r="AB137" s="75">
        <f>L137-$P137</f>
        <v/>
      </c>
      <c r="AC137" s="75">
        <f>M137-$P137</f>
        <v/>
      </c>
      <c r="AD137" s="75">
        <f>N137-$P137</f>
        <v/>
      </c>
      <c r="AE137" s="75">
        <f>O137-$P137</f>
        <v/>
      </c>
    </row>
    <row r="138" ht="16" customHeight="1">
      <c r="B138" s="181" t="n">
        <v>44377</v>
      </c>
      <c r="C138" s="75">
        <f>AIRBUS!D133</f>
        <v/>
      </c>
      <c r="D138" s="75">
        <f>BNP!D133</f>
        <v/>
      </c>
      <c r="E138" s="75">
        <f>CAPGEMINI!D133</f>
        <v/>
      </c>
      <c r="F138" s="75">
        <f>DANONE!D133</f>
        <v/>
      </c>
      <c r="G138" s="75">
        <f>ENGIE!D133</f>
        <v/>
      </c>
      <c r="H138" s="75">
        <f>'HERMES INTL'!D133</f>
        <v/>
      </c>
      <c r="I138" s="75">
        <f>'PERNOD RICARD'!D133</f>
        <v/>
      </c>
      <c r="J138" s="75">
        <f>RENAULT!D133</f>
        <v/>
      </c>
      <c r="K138" s="75">
        <f>SANOFI!D133</f>
        <v/>
      </c>
      <c r="L138" s="75">
        <f>'SCHNEIDER ELECTRIC'!D133</f>
        <v/>
      </c>
      <c r="M138" s="75">
        <f>'TOTAL ENERGIES'!D133</f>
        <v/>
      </c>
      <c r="N138" s="75">
        <f>VINCI!D133</f>
        <v/>
      </c>
      <c r="O138" s="75">
        <f>MARKET!D133</f>
        <v/>
      </c>
      <c r="P138" s="103">
        <f>INTERBANK!D132</f>
        <v/>
      </c>
      <c r="R138" s="181" t="n">
        <v>44377</v>
      </c>
      <c r="S138" s="75">
        <f>C138-$P138</f>
        <v/>
      </c>
      <c r="T138" s="75">
        <f>D138-$P138</f>
        <v/>
      </c>
      <c r="U138" s="75">
        <f>E138-$P138</f>
        <v/>
      </c>
      <c r="V138" s="75">
        <f>F138-$P138</f>
        <v/>
      </c>
      <c r="W138" s="75">
        <f>G138-$P138</f>
        <v/>
      </c>
      <c r="X138" s="75">
        <f>H138-$P138</f>
        <v/>
      </c>
      <c r="Y138" s="75">
        <f>I138-$P138</f>
        <v/>
      </c>
      <c r="Z138" s="75">
        <f>J138-$P138</f>
        <v/>
      </c>
      <c r="AA138" s="75">
        <f>K138-$P138</f>
        <v/>
      </c>
      <c r="AB138" s="75">
        <f>L138-$P138</f>
        <v/>
      </c>
      <c r="AC138" s="75">
        <f>M138-$P138</f>
        <v/>
      </c>
      <c r="AD138" s="75">
        <f>N138-$P138</f>
        <v/>
      </c>
      <c r="AE138" s="75">
        <f>O138-$P138</f>
        <v/>
      </c>
    </row>
    <row r="139" ht="16" customHeight="1">
      <c r="B139" s="181" t="n">
        <v>44408</v>
      </c>
      <c r="C139" s="75">
        <f>AIRBUS!D134</f>
        <v/>
      </c>
      <c r="D139" s="75">
        <f>BNP!D134</f>
        <v/>
      </c>
      <c r="E139" s="75">
        <f>CAPGEMINI!D134</f>
        <v/>
      </c>
      <c r="F139" s="75">
        <f>DANONE!D134</f>
        <v/>
      </c>
      <c r="G139" s="75">
        <f>ENGIE!D134</f>
        <v/>
      </c>
      <c r="H139" s="75">
        <f>'HERMES INTL'!D134</f>
        <v/>
      </c>
      <c r="I139" s="75">
        <f>'PERNOD RICARD'!D134</f>
        <v/>
      </c>
      <c r="J139" s="75">
        <f>RENAULT!D134</f>
        <v/>
      </c>
      <c r="K139" s="75">
        <f>SANOFI!D134</f>
        <v/>
      </c>
      <c r="L139" s="75">
        <f>'SCHNEIDER ELECTRIC'!D134</f>
        <v/>
      </c>
      <c r="M139" s="75">
        <f>'TOTAL ENERGIES'!D134</f>
        <v/>
      </c>
      <c r="N139" s="75">
        <f>VINCI!D134</f>
        <v/>
      </c>
      <c r="O139" s="75">
        <f>MARKET!D134</f>
        <v/>
      </c>
      <c r="P139" s="103">
        <f>INTERBANK!D133</f>
        <v/>
      </c>
      <c r="R139" s="181" t="n">
        <v>44408</v>
      </c>
      <c r="S139" s="75">
        <f>C139-$P139</f>
        <v/>
      </c>
      <c r="T139" s="75">
        <f>D139-$P139</f>
        <v/>
      </c>
      <c r="U139" s="75">
        <f>E139-$P139</f>
        <v/>
      </c>
      <c r="V139" s="75">
        <f>F139-$P139</f>
        <v/>
      </c>
      <c r="W139" s="75">
        <f>G139-$P139</f>
        <v/>
      </c>
      <c r="X139" s="75">
        <f>H139-$P139</f>
        <v/>
      </c>
      <c r="Y139" s="75">
        <f>I139-$P139</f>
        <v/>
      </c>
      <c r="Z139" s="75">
        <f>J139-$P139</f>
        <v/>
      </c>
      <c r="AA139" s="75">
        <f>K139-$P139</f>
        <v/>
      </c>
      <c r="AB139" s="75">
        <f>L139-$P139</f>
        <v/>
      </c>
      <c r="AC139" s="75">
        <f>M139-$P139</f>
        <v/>
      </c>
      <c r="AD139" s="75">
        <f>N139-$P139</f>
        <v/>
      </c>
      <c r="AE139" s="75">
        <f>O139-$P139</f>
        <v/>
      </c>
    </row>
    <row r="140" ht="16" customHeight="1">
      <c r="B140" s="181" t="n">
        <v>44439</v>
      </c>
      <c r="C140" s="75">
        <f>AIRBUS!D135</f>
        <v/>
      </c>
      <c r="D140" s="75">
        <f>BNP!D135</f>
        <v/>
      </c>
      <c r="E140" s="75">
        <f>CAPGEMINI!D135</f>
        <v/>
      </c>
      <c r="F140" s="75">
        <f>DANONE!D135</f>
        <v/>
      </c>
      <c r="G140" s="75">
        <f>ENGIE!D135</f>
        <v/>
      </c>
      <c r="H140" s="75">
        <f>'HERMES INTL'!D135</f>
        <v/>
      </c>
      <c r="I140" s="75">
        <f>'PERNOD RICARD'!D135</f>
        <v/>
      </c>
      <c r="J140" s="75">
        <f>RENAULT!D135</f>
        <v/>
      </c>
      <c r="K140" s="75">
        <f>SANOFI!D135</f>
        <v/>
      </c>
      <c r="L140" s="75">
        <f>'SCHNEIDER ELECTRIC'!D135</f>
        <v/>
      </c>
      <c r="M140" s="75">
        <f>'TOTAL ENERGIES'!D135</f>
        <v/>
      </c>
      <c r="N140" s="75">
        <f>VINCI!D135</f>
        <v/>
      </c>
      <c r="O140" s="75">
        <f>MARKET!D135</f>
        <v/>
      </c>
      <c r="P140" s="103">
        <f>INTERBANK!D134</f>
        <v/>
      </c>
      <c r="R140" s="181" t="n">
        <v>44439</v>
      </c>
      <c r="S140" s="75">
        <f>C140-$P140</f>
        <v/>
      </c>
      <c r="T140" s="75">
        <f>D140-$P140</f>
        <v/>
      </c>
      <c r="U140" s="75">
        <f>E140-$P140</f>
        <v/>
      </c>
      <c r="V140" s="75">
        <f>F140-$P140</f>
        <v/>
      </c>
      <c r="W140" s="75">
        <f>G140-$P140</f>
        <v/>
      </c>
      <c r="X140" s="75">
        <f>H140-$P140</f>
        <v/>
      </c>
      <c r="Y140" s="75">
        <f>I140-$P140</f>
        <v/>
      </c>
      <c r="Z140" s="75">
        <f>J140-$P140</f>
        <v/>
      </c>
      <c r="AA140" s="75">
        <f>K140-$P140</f>
        <v/>
      </c>
      <c r="AB140" s="75">
        <f>L140-$P140</f>
        <v/>
      </c>
      <c r="AC140" s="75">
        <f>M140-$P140</f>
        <v/>
      </c>
      <c r="AD140" s="75">
        <f>N140-$P140</f>
        <v/>
      </c>
      <c r="AE140" s="75">
        <f>O140-$P140</f>
        <v/>
      </c>
    </row>
    <row r="141" ht="16" customHeight="1">
      <c r="B141" s="181" t="n">
        <v>44469</v>
      </c>
      <c r="C141" s="75">
        <f>AIRBUS!D136</f>
        <v/>
      </c>
      <c r="D141" s="75">
        <f>BNP!D136</f>
        <v/>
      </c>
      <c r="E141" s="75">
        <f>CAPGEMINI!D136</f>
        <v/>
      </c>
      <c r="F141" s="75">
        <f>DANONE!D136</f>
        <v/>
      </c>
      <c r="G141" s="75">
        <f>ENGIE!D136</f>
        <v/>
      </c>
      <c r="H141" s="75">
        <f>'HERMES INTL'!D136</f>
        <v/>
      </c>
      <c r="I141" s="75">
        <f>'PERNOD RICARD'!D136</f>
        <v/>
      </c>
      <c r="J141" s="75">
        <f>RENAULT!D136</f>
        <v/>
      </c>
      <c r="K141" s="75">
        <f>SANOFI!D136</f>
        <v/>
      </c>
      <c r="L141" s="75">
        <f>'SCHNEIDER ELECTRIC'!D136</f>
        <v/>
      </c>
      <c r="M141" s="75">
        <f>'TOTAL ENERGIES'!D136</f>
        <v/>
      </c>
      <c r="N141" s="75">
        <f>VINCI!D136</f>
        <v/>
      </c>
      <c r="O141" s="75">
        <f>MARKET!D136</f>
        <v/>
      </c>
      <c r="P141" s="103">
        <f>INTERBANK!D135</f>
        <v/>
      </c>
      <c r="R141" s="181" t="n">
        <v>44469</v>
      </c>
      <c r="S141" s="75">
        <f>C141-$P141</f>
        <v/>
      </c>
      <c r="T141" s="75">
        <f>D141-$P141</f>
        <v/>
      </c>
      <c r="U141" s="75">
        <f>E141-$P141</f>
        <v/>
      </c>
      <c r="V141" s="75">
        <f>F141-$P141</f>
        <v/>
      </c>
      <c r="W141" s="75">
        <f>G141-$P141</f>
        <v/>
      </c>
      <c r="X141" s="75">
        <f>H141-$P141</f>
        <v/>
      </c>
      <c r="Y141" s="75">
        <f>I141-$P141</f>
        <v/>
      </c>
      <c r="Z141" s="75">
        <f>J141-$P141</f>
        <v/>
      </c>
      <c r="AA141" s="75">
        <f>K141-$P141</f>
        <v/>
      </c>
      <c r="AB141" s="75">
        <f>L141-$P141</f>
        <v/>
      </c>
      <c r="AC141" s="75">
        <f>M141-$P141</f>
        <v/>
      </c>
      <c r="AD141" s="75">
        <f>N141-$P141</f>
        <v/>
      </c>
      <c r="AE141" s="75">
        <f>O141-$P141</f>
        <v/>
      </c>
    </row>
    <row r="142" ht="16" customHeight="1">
      <c r="B142" s="181" t="n">
        <v>44500</v>
      </c>
      <c r="C142" s="75">
        <f>AIRBUS!D137</f>
        <v/>
      </c>
      <c r="D142" s="75">
        <f>BNP!D137</f>
        <v/>
      </c>
      <c r="E142" s="75">
        <f>CAPGEMINI!D137</f>
        <v/>
      </c>
      <c r="F142" s="75">
        <f>DANONE!D137</f>
        <v/>
      </c>
      <c r="G142" s="75">
        <f>ENGIE!D137</f>
        <v/>
      </c>
      <c r="H142" s="75">
        <f>'HERMES INTL'!D137</f>
        <v/>
      </c>
      <c r="I142" s="75">
        <f>'PERNOD RICARD'!D137</f>
        <v/>
      </c>
      <c r="J142" s="75">
        <f>RENAULT!D137</f>
        <v/>
      </c>
      <c r="K142" s="75">
        <f>SANOFI!D137</f>
        <v/>
      </c>
      <c r="L142" s="75">
        <f>'SCHNEIDER ELECTRIC'!D137</f>
        <v/>
      </c>
      <c r="M142" s="75">
        <f>'TOTAL ENERGIES'!D137</f>
        <v/>
      </c>
      <c r="N142" s="75">
        <f>VINCI!D137</f>
        <v/>
      </c>
      <c r="O142" s="75">
        <f>MARKET!D137</f>
        <v/>
      </c>
      <c r="P142" s="103">
        <f>INTERBANK!D136</f>
        <v/>
      </c>
      <c r="R142" s="181" t="n">
        <v>44500</v>
      </c>
      <c r="S142" s="75">
        <f>C142-$P142</f>
        <v/>
      </c>
      <c r="T142" s="75">
        <f>D142-$P142</f>
        <v/>
      </c>
      <c r="U142" s="75">
        <f>E142-$P142</f>
        <v/>
      </c>
      <c r="V142" s="75">
        <f>F142-$P142</f>
        <v/>
      </c>
      <c r="W142" s="75">
        <f>G142-$P142</f>
        <v/>
      </c>
      <c r="X142" s="75">
        <f>H142-$P142</f>
        <v/>
      </c>
      <c r="Y142" s="75">
        <f>I142-$P142</f>
        <v/>
      </c>
      <c r="Z142" s="75">
        <f>J142-$P142</f>
        <v/>
      </c>
      <c r="AA142" s="75">
        <f>K142-$P142</f>
        <v/>
      </c>
      <c r="AB142" s="75">
        <f>L142-$P142</f>
        <v/>
      </c>
      <c r="AC142" s="75">
        <f>M142-$P142</f>
        <v/>
      </c>
      <c r="AD142" s="75">
        <f>N142-$P142</f>
        <v/>
      </c>
      <c r="AE142" s="75">
        <f>O142-$P142</f>
        <v/>
      </c>
    </row>
    <row r="143" ht="16" customHeight="1">
      <c r="B143" s="181" t="n">
        <v>44530</v>
      </c>
      <c r="C143" s="75">
        <f>AIRBUS!D138</f>
        <v/>
      </c>
      <c r="D143" s="75">
        <f>BNP!D138</f>
        <v/>
      </c>
      <c r="E143" s="75">
        <f>CAPGEMINI!D138</f>
        <v/>
      </c>
      <c r="F143" s="75">
        <f>DANONE!D138</f>
        <v/>
      </c>
      <c r="G143" s="75">
        <f>ENGIE!D138</f>
        <v/>
      </c>
      <c r="H143" s="75">
        <f>'HERMES INTL'!D138</f>
        <v/>
      </c>
      <c r="I143" s="75">
        <f>'PERNOD RICARD'!D138</f>
        <v/>
      </c>
      <c r="J143" s="75">
        <f>RENAULT!D138</f>
        <v/>
      </c>
      <c r="K143" s="75">
        <f>SANOFI!D138</f>
        <v/>
      </c>
      <c r="L143" s="75">
        <f>'SCHNEIDER ELECTRIC'!D138</f>
        <v/>
      </c>
      <c r="M143" s="75">
        <f>'TOTAL ENERGIES'!D138</f>
        <v/>
      </c>
      <c r="N143" s="75">
        <f>VINCI!D138</f>
        <v/>
      </c>
      <c r="O143" s="75">
        <f>MARKET!D138</f>
        <v/>
      </c>
      <c r="P143" s="103">
        <f>INTERBANK!D137</f>
        <v/>
      </c>
      <c r="R143" s="181" t="n">
        <v>44530</v>
      </c>
      <c r="S143" s="75">
        <f>C143-$P143</f>
        <v/>
      </c>
      <c r="T143" s="75">
        <f>D143-$P143</f>
        <v/>
      </c>
      <c r="U143" s="75">
        <f>E143-$P143</f>
        <v/>
      </c>
      <c r="V143" s="75">
        <f>F143-$P143</f>
        <v/>
      </c>
      <c r="W143" s="75">
        <f>G143-$P143</f>
        <v/>
      </c>
      <c r="X143" s="75">
        <f>H143-$P143</f>
        <v/>
      </c>
      <c r="Y143" s="75">
        <f>I143-$P143</f>
        <v/>
      </c>
      <c r="Z143" s="75">
        <f>J143-$P143</f>
        <v/>
      </c>
      <c r="AA143" s="75">
        <f>K143-$P143</f>
        <v/>
      </c>
      <c r="AB143" s="75">
        <f>L143-$P143</f>
        <v/>
      </c>
      <c r="AC143" s="75">
        <f>M143-$P143</f>
        <v/>
      </c>
      <c r="AD143" s="75">
        <f>N143-$P143</f>
        <v/>
      </c>
      <c r="AE143" s="75">
        <f>O143-$P143</f>
        <v/>
      </c>
    </row>
    <row r="144" ht="16" customHeight="1">
      <c r="B144" s="181" t="n">
        <v>44561</v>
      </c>
      <c r="C144" s="75">
        <f>AIRBUS!D139</f>
        <v/>
      </c>
      <c r="D144" s="75">
        <f>BNP!D139</f>
        <v/>
      </c>
      <c r="E144" s="75">
        <f>CAPGEMINI!D139</f>
        <v/>
      </c>
      <c r="F144" s="75">
        <f>DANONE!D139</f>
        <v/>
      </c>
      <c r="G144" s="75">
        <f>ENGIE!D139</f>
        <v/>
      </c>
      <c r="H144" s="75">
        <f>'HERMES INTL'!D139</f>
        <v/>
      </c>
      <c r="I144" s="75">
        <f>'PERNOD RICARD'!D139</f>
        <v/>
      </c>
      <c r="J144" s="75">
        <f>RENAULT!D139</f>
        <v/>
      </c>
      <c r="K144" s="75">
        <f>SANOFI!D139</f>
        <v/>
      </c>
      <c r="L144" s="75">
        <f>'SCHNEIDER ELECTRIC'!D139</f>
        <v/>
      </c>
      <c r="M144" s="75">
        <f>'TOTAL ENERGIES'!D139</f>
        <v/>
      </c>
      <c r="N144" s="75">
        <f>VINCI!D139</f>
        <v/>
      </c>
      <c r="O144" s="75">
        <f>MARKET!D139</f>
        <v/>
      </c>
      <c r="P144" s="103">
        <f>INTERBANK!D138</f>
        <v/>
      </c>
      <c r="R144" s="181" t="n">
        <v>44561</v>
      </c>
      <c r="S144" s="75">
        <f>C144-$P144</f>
        <v/>
      </c>
      <c r="T144" s="75">
        <f>D144-$P144</f>
        <v/>
      </c>
      <c r="U144" s="75">
        <f>E144-$P144</f>
        <v/>
      </c>
      <c r="V144" s="75">
        <f>F144-$P144</f>
        <v/>
      </c>
      <c r="W144" s="75">
        <f>G144-$P144</f>
        <v/>
      </c>
      <c r="X144" s="75">
        <f>H144-$P144</f>
        <v/>
      </c>
      <c r="Y144" s="75">
        <f>I144-$P144</f>
        <v/>
      </c>
      <c r="Z144" s="75">
        <f>J144-$P144</f>
        <v/>
      </c>
      <c r="AA144" s="75">
        <f>K144-$P144</f>
        <v/>
      </c>
      <c r="AB144" s="75">
        <f>L144-$P144</f>
        <v/>
      </c>
      <c r="AC144" s="75">
        <f>M144-$P144</f>
        <v/>
      </c>
      <c r="AD144" s="75">
        <f>N144-$P144</f>
        <v/>
      </c>
      <c r="AE144" s="75">
        <f>O144-$P144</f>
        <v/>
      </c>
    </row>
    <row r="145" ht="16" customHeight="1">
      <c r="B145" s="181" t="n">
        <v>44592</v>
      </c>
      <c r="C145" s="75">
        <f>AIRBUS!D140</f>
        <v/>
      </c>
      <c r="D145" s="75">
        <f>BNP!D140</f>
        <v/>
      </c>
      <c r="E145" s="75">
        <f>CAPGEMINI!D140</f>
        <v/>
      </c>
      <c r="F145" s="75">
        <f>DANONE!D140</f>
        <v/>
      </c>
      <c r="G145" s="75">
        <f>ENGIE!D140</f>
        <v/>
      </c>
      <c r="H145" s="75">
        <f>'HERMES INTL'!D140</f>
        <v/>
      </c>
      <c r="I145" s="75">
        <f>'PERNOD RICARD'!D140</f>
        <v/>
      </c>
      <c r="J145" s="75">
        <f>RENAULT!D140</f>
        <v/>
      </c>
      <c r="K145" s="75">
        <f>SANOFI!D140</f>
        <v/>
      </c>
      <c r="L145" s="75">
        <f>'SCHNEIDER ELECTRIC'!D140</f>
        <v/>
      </c>
      <c r="M145" s="75">
        <f>'TOTAL ENERGIES'!D140</f>
        <v/>
      </c>
      <c r="N145" s="75">
        <f>VINCI!D140</f>
        <v/>
      </c>
      <c r="O145" s="75">
        <f>MARKET!D140</f>
        <v/>
      </c>
      <c r="P145" s="103">
        <f>INTERBANK!D139</f>
        <v/>
      </c>
      <c r="R145" s="181" t="n">
        <v>44592</v>
      </c>
      <c r="S145" s="75">
        <f>C145-$P145</f>
        <v/>
      </c>
      <c r="T145" s="75">
        <f>D145-$P145</f>
        <v/>
      </c>
      <c r="U145" s="75">
        <f>E145-$P145</f>
        <v/>
      </c>
      <c r="V145" s="75">
        <f>F145-$P145</f>
        <v/>
      </c>
      <c r="W145" s="75">
        <f>G145-$P145</f>
        <v/>
      </c>
      <c r="X145" s="75">
        <f>H145-$P145</f>
        <v/>
      </c>
      <c r="Y145" s="75">
        <f>I145-$P145</f>
        <v/>
      </c>
      <c r="Z145" s="75">
        <f>J145-$P145</f>
        <v/>
      </c>
      <c r="AA145" s="75">
        <f>K145-$P145</f>
        <v/>
      </c>
      <c r="AB145" s="75">
        <f>L145-$P145</f>
        <v/>
      </c>
      <c r="AC145" s="75">
        <f>M145-$P145</f>
        <v/>
      </c>
      <c r="AD145" s="75">
        <f>N145-$P145</f>
        <v/>
      </c>
      <c r="AE145" s="75">
        <f>O145-$P145</f>
        <v/>
      </c>
    </row>
    <row r="146" ht="16" customHeight="1">
      <c r="B146" s="181" t="n">
        <v>44620</v>
      </c>
      <c r="C146" s="75">
        <f>AIRBUS!D141</f>
        <v/>
      </c>
      <c r="D146" s="75">
        <f>BNP!D141</f>
        <v/>
      </c>
      <c r="E146" s="75">
        <f>CAPGEMINI!D141</f>
        <v/>
      </c>
      <c r="F146" s="75">
        <f>DANONE!D141</f>
        <v/>
      </c>
      <c r="G146" s="75">
        <f>ENGIE!D141</f>
        <v/>
      </c>
      <c r="H146" s="75">
        <f>'HERMES INTL'!D141</f>
        <v/>
      </c>
      <c r="I146" s="75">
        <f>'PERNOD RICARD'!D141</f>
        <v/>
      </c>
      <c r="J146" s="75">
        <f>RENAULT!D141</f>
        <v/>
      </c>
      <c r="K146" s="75">
        <f>SANOFI!D141</f>
        <v/>
      </c>
      <c r="L146" s="75">
        <f>'SCHNEIDER ELECTRIC'!D141</f>
        <v/>
      </c>
      <c r="M146" s="75">
        <f>'TOTAL ENERGIES'!D141</f>
        <v/>
      </c>
      <c r="N146" s="75">
        <f>VINCI!D141</f>
        <v/>
      </c>
      <c r="O146" s="75">
        <f>MARKET!D141</f>
        <v/>
      </c>
      <c r="P146" s="103">
        <f>INTERBANK!D140</f>
        <v/>
      </c>
      <c r="R146" s="181" t="n">
        <v>44620</v>
      </c>
      <c r="S146" s="75">
        <f>C146-$P146</f>
        <v/>
      </c>
      <c r="T146" s="75">
        <f>D146-$P146</f>
        <v/>
      </c>
      <c r="U146" s="75">
        <f>E146-$P146</f>
        <v/>
      </c>
      <c r="V146" s="75">
        <f>F146-$P146</f>
        <v/>
      </c>
      <c r="W146" s="75">
        <f>G146-$P146</f>
        <v/>
      </c>
      <c r="X146" s="75">
        <f>H146-$P146</f>
        <v/>
      </c>
      <c r="Y146" s="75">
        <f>I146-$P146</f>
        <v/>
      </c>
      <c r="Z146" s="75">
        <f>J146-$P146</f>
        <v/>
      </c>
      <c r="AA146" s="75">
        <f>K146-$P146</f>
        <v/>
      </c>
      <c r="AB146" s="75">
        <f>L146-$P146</f>
        <v/>
      </c>
      <c r="AC146" s="75">
        <f>M146-$P146</f>
        <v/>
      </c>
      <c r="AD146" s="75">
        <f>N146-$P146</f>
        <v/>
      </c>
      <c r="AE146" s="75">
        <f>O146-$P146</f>
        <v/>
      </c>
    </row>
    <row r="147" ht="16" customHeight="1">
      <c r="B147" s="181" t="n">
        <v>44651</v>
      </c>
      <c r="C147" s="75">
        <f>AIRBUS!D142</f>
        <v/>
      </c>
      <c r="D147" s="75">
        <f>BNP!D142</f>
        <v/>
      </c>
      <c r="E147" s="75">
        <f>CAPGEMINI!D142</f>
        <v/>
      </c>
      <c r="F147" s="75">
        <f>DANONE!D142</f>
        <v/>
      </c>
      <c r="G147" s="75">
        <f>ENGIE!D142</f>
        <v/>
      </c>
      <c r="H147" s="75">
        <f>'HERMES INTL'!D142</f>
        <v/>
      </c>
      <c r="I147" s="75">
        <f>'PERNOD RICARD'!D142</f>
        <v/>
      </c>
      <c r="J147" s="75">
        <f>RENAULT!D142</f>
        <v/>
      </c>
      <c r="K147" s="75">
        <f>SANOFI!D142</f>
        <v/>
      </c>
      <c r="L147" s="75">
        <f>'SCHNEIDER ELECTRIC'!D142</f>
        <v/>
      </c>
      <c r="M147" s="75">
        <f>'TOTAL ENERGIES'!D142</f>
        <v/>
      </c>
      <c r="N147" s="75">
        <f>VINCI!D142</f>
        <v/>
      </c>
      <c r="O147" s="75">
        <f>MARKET!D142</f>
        <v/>
      </c>
      <c r="P147" s="103">
        <f>INTERBANK!D141</f>
        <v/>
      </c>
      <c r="R147" s="181" t="n">
        <v>44651</v>
      </c>
      <c r="S147" s="75">
        <f>C147-$P147</f>
        <v/>
      </c>
      <c r="T147" s="75">
        <f>D147-$P147</f>
        <v/>
      </c>
      <c r="U147" s="75">
        <f>E147-$P147</f>
        <v/>
      </c>
      <c r="V147" s="75">
        <f>F147-$P147</f>
        <v/>
      </c>
      <c r="W147" s="75">
        <f>G147-$P147</f>
        <v/>
      </c>
      <c r="X147" s="75">
        <f>H147-$P147</f>
        <v/>
      </c>
      <c r="Y147" s="75">
        <f>I147-$P147</f>
        <v/>
      </c>
      <c r="Z147" s="75">
        <f>J147-$P147</f>
        <v/>
      </c>
      <c r="AA147" s="75">
        <f>K147-$P147</f>
        <v/>
      </c>
      <c r="AB147" s="75">
        <f>L147-$P147</f>
        <v/>
      </c>
      <c r="AC147" s="75">
        <f>M147-$P147</f>
        <v/>
      </c>
      <c r="AD147" s="75">
        <f>N147-$P147</f>
        <v/>
      </c>
      <c r="AE147" s="75">
        <f>O147-$P147</f>
        <v/>
      </c>
    </row>
    <row r="148" ht="16" customHeight="1">
      <c r="B148" s="181" t="n">
        <v>44681</v>
      </c>
      <c r="C148" s="75">
        <f>AIRBUS!D143</f>
        <v/>
      </c>
      <c r="D148" s="75">
        <f>BNP!D143</f>
        <v/>
      </c>
      <c r="E148" s="75">
        <f>CAPGEMINI!D143</f>
        <v/>
      </c>
      <c r="F148" s="75">
        <f>DANONE!D143</f>
        <v/>
      </c>
      <c r="G148" s="75">
        <f>ENGIE!D143</f>
        <v/>
      </c>
      <c r="H148" s="75">
        <f>'HERMES INTL'!D143</f>
        <v/>
      </c>
      <c r="I148" s="75">
        <f>'PERNOD RICARD'!D143</f>
        <v/>
      </c>
      <c r="J148" s="75">
        <f>RENAULT!D143</f>
        <v/>
      </c>
      <c r="K148" s="75">
        <f>SANOFI!D143</f>
        <v/>
      </c>
      <c r="L148" s="75">
        <f>'SCHNEIDER ELECTRIC'!D143</f>
        <v/>
      </c>
      <c r="M148" s="75">
        <f>'TOTAL ENERGIES'!D143</f>
        <v/>
      </c>
      <c r="N148" s="75">
        <f>VINCI!D143</f>
        <v/>
      </c>
      <c r="O148" s="75">
        <f>MARKET!D143</f>
        <v/>
      </c>
      <c r="P148" s="103">
        <f>INTERBANK!D142</f>
        <v/>
      </c>
      <c r="R148" s="181" t="n">
        <v>44681</v>
      </c>
      <c r="S148" s="75">
        <f>C148-$P148</f>
        <v/>
      </c>
      <c r="T148" s="75">
        <f>D148-$P148</f>
        <v/>
      </c>
      <c r="U148" s="75">
        <f>E148-$P148</f>
        <v/>
      </c>
      <c r="V148" s="75">
        <f>F148-$P148</f>
        <v/>
      </c>
      <c r="W148" s="75">
        <f>G148-$P148</f>
        <v/>
      </c>
      <c r="X148" s="75">
        <f>H148-$P148</f>
        <v/>
      </c>
      <c r="Y148" s="75">
        <f>I148-$P148</f>
        <v/>
      </c>
      <c r="Z148" s="75">
        <f>J148-$P148</f>
        <v/>
      </c>
      <c r="AA148" s="75">
        <f>K148-$P148</f>
        <v/>
      </c>
      <c r="AB148" s="75">
        <f>L148-$P148</f>
        <v/>
      </c>
      <c r="AC148" s="75">
        <f>M148-$P148</f>
        <v/>
      </c>
      <c r="AD148" s="75">
        <f>N148-$P148</f>
        <v/>
      </c>
      <c r="AE148" s="75">
        <f>O148-$P148</f>
        <v/>
      </c>
    </row>
    <row r="149" ht="16" customHeight="1">
      <c r="B149" s="181" t="n">
        <v>44712</v>
      </c>
      <c r="C149" s="75">
        <f>AIRBUS!D144</f>
        <v/>
      </c>
      <c r="D149" s="75">
        <f>BNP!D144</f>
        <v/>
      </c>
      <c r="E149" s="75">
        <f>CAPGEMINI!D144</f>
        <v/>
      </c>
      <c r="F149" s="75">
        <f>DANONE!D144</f>
        <v/>
      </c>
      <c r="G149" s="75">
        <f>ENGIE!D144</f>
        <v/>
      </c>
      <c r="H149" s="75">
        <f>'HERMES INTL'!D144</f>
        <v/>
      </c>
      <c r="I149" s="75">
        <f>'PERNOD RICARD'!D144</f>
        <v/>
      </c>
      <c r="J149" s="75">
        <f>RENAULT!D144</f>
        <v/>
      </c>
      <c r="K149" s="75">
        <f>SANOFI!D144</f>
        <v/>
      </c>
      <c r="L149" s="75">
        <f>'SCHNEIDER ELECTRIC'!D144</f>
        <v/>
      </c>
      <c r="M149" s="75">
        <f>'TOTAL ENERGIES'!D144</f>
        <v/>
      </c>
      <c r="N149" s="75">
        <f>VINCI!D144</f>
        <v/>
      </c>
      <c r="O149" s="75">
        <f>MARKET!D144</f>
        <v/>
      </c>
      <c r="P149" s="103">
        <f>INTERBANK!D143</f>
        <v/>
      </c>
      <c r="R149" s="181" t="n">
        <v>44712</v>
      </c>
      <c r="S149" s="75">
        <f>C149-$P149</f>
        <v/>
      </c>
      <c r="T149" s="75">
        <f>D149-$P149</f>
        <v/>
      </c>
      <c r="U149" s="75">
        <f>E149-$P149</f>
        <v/>
      </c>
      <c r="V149" s="75">
        <f>F149-$P149</f>
        <v/>
      </c>
      <c r="W149" s="75">
        <f>G149-$P149</f>
        <v/>
      </c>
      <c r="X149" s="75">
        <f>H149-$P149</f>
        <v/>
      </c>
      <c r="Y149" s="75">
        <f>I149-$P149</f>
        <v/>
      </c>
      <c r="Z149" s="75">
        <f>J149-$P149</f>
        <v/>
      </c>
      <c r="AA149" s="75">
        <f>K149-$P149</f>
        <v/>
      </c>
      <c r="AB149" s="75">
        <f>L149-$P149</f>
        <v/>
      </c>
      <c r="AC149" s="75">
        <f>M149-$P149</f>
        <v/>
      </c>
      <c r="AD149" s="75">
        <f>N149-$P149</f>
        <v/>
      </c>
      <c r="AE149" s="75">
        <f>O149-$P149</f>
        <v/>
      </c>
    </row>
    <row r="150" ht="16" customHeight="1">
      <c r="B150" s="181" t="n">
        <v>44742</v>
      </c>
      <c r="C150" s="75">
        <f>AIRBUS!D145</f>
        <v/>
      </c>
      <c r="D150" s="75">
        <f>BNP!D145</f>
        <v/>
      </c>
      <c r="E150" s="75">
        <f>CAPGEMINI!D145</f>
        <v/>
      </c>
      <c r="F150" s="75">
        <f>DANONE!D145</f>
        <v/>
      </c>
      <c r="G150" s="75">
        <f>ENGIE!D145</f>
        <v/>
      </c>
      <c r="H150" s="75">
        <f>'HERMES INTL'!D145</f>
        <v/>
      </c>
      <c r="I150" s="75">
        <f>'PERNOD RICARD'!D145</f>
        <v/>
      </c>
      <c r="J150" s="75">
        <f>RENAULT!D145</f>
        <v/>
      </c>
      <c r="K150" s="75">
        <f>SANOFI!D145</f>
        <v/>
      </c>
      <c r="L150" s="75">
        <f>'SCHNEIDER ELECTRIC'!D145</f>
        <v/>
      </c>
      <c r="M150" s="75">
        <f>'TOTAL ENERGIES'!D145</f>
        <v/>
      </c>
      <c r="N150" s="75">
        <f>VINCI!D145</f>
        <v/>
      </c>
      <c r="O150" s="75">
        <f>MARKET!D145</f>
        <v/>
      </c>
      <c r="P150" s="103">
        <f>INTERBANK!D144</f>
        <v/>
      </c>
      <c r="R150" s="181" t="n">
        <v>44742</v>
      </c>
      <c r="S150" s="75">
        <f>C150-$P150</f>
        <v/>
      </c>
      <c r="T150" s="75">
        <f>D150-$P150</f>
        <v/>
      </c>
      <c r="U150" s="75">
        <f>E150-$P150</f>
        <v/>
      </c>
      <c r="V150" s="75">
        <f>F150-$P150</f>
        <v/>
      </c>
      <c r="W150" s="75">
        <f>G150-$P150</f>
        <v/>
      </c>
      <c r="X150" s="75">
        <f>H150-$P150</f>
        <v/>
      </c>
      <c r="Y150" s="75">
        <f>I150-$P150</f>
        <v/>
      </c>
      <c r="Z150" s="75">
        <f>J150-$P150</f>
        <v/>
      </c>
      <c r="AA150" s="75">
        <f>K150-$P150</f>
        <v/>
      </c>
      <c r="AB150" s="75">
        <f>L150-$P150</f>
        <v/>
      </c>
      <c r="AC150" s="75">
        <f>M150-$P150</f>
        <v/>
      </c>
      <c r="AD150" s="75">
        <f>N150-$P150</f>
        <v/>
      </c>
      <c r="AE150" s="75">
        <f>O150-$P150</f>
        <v/>
      </c>
    </row>
    <row r="151" ht="16" customHeight="1">
      <c r="B151" s="181" t="n">
        <v>44773</v>
      </c>
      <c r="C151" s="75">
        <f>AIRBUS!D146</f>
        <v/>
      </c>
      <c r="D151" s="75">
        <f>BNP!D146</f>
        <v/>
      </c>
      <c r="E151" s="75">
        <f>CAPGEMINI!D146</f>
        <v/>
      </c>
      <c r="F151" s="75">
        <f>DANONE!D146</f>
        <v/>
      </c>
      <c r="G151" s="75">
        <f>ENGIE!D146</f>
        <v/>
      </c>
      <c r="H151" s="75">
        <f>'HERMES INTL'!D146</f>
        <v/>
      </c>
      <c r="I151" s="75">
        <f>'PERNOD RICARD'!D146</f>
        <v/>
      </c>
      <c r="J151" s="75">
        <f>RENAULT!D146</f>
        <v/>
      </c>
      <c r="K151" s="75">
        <f>SANOFI!D146</f>
        <v/>
      </c>
      <c r="L151" s="75">
        <f>'SCHNEIDER ELECTRIC'!D146</f>
        <v/>
      </c>
      <c r="M151" s="75">
        <f>'TOTAL ENERGIES'!D146</f>
        <v/>
      </c>
      <c r="N151" s="75">
        <f>VINCI!D146</f>
        <v/>
      </c>
      <c r="O151" s="75">
        <f>MARKET!D146</f>
        <v/>
      </c>
      <c r="P151" s="103">
        <f>INTERBANK!D145</f>
        <v/>
      </c>
      <c r="R151" s="181" t="n">
        <v>44773</v>
      </c>
      <c r="S151" s="75">
        <f>C151-$P151</f>
        <v/>
      </c>
      <c r="T151" s="75">
        <f>D151-$P151</f>
        <v/>
      </c>
      <c r="U151" s="75">
        <f>E151-$P151</f>
        <v/>
      </c>
      <c r="V151" s="75">
        <f>F151-$P151</f>
        <v/>
      </c>
      <c r="W151" s="75">
        <f>G151-$P151</f>
        <v/>
      </c>
      <c r="X151" s="75">
        <f>H151-$P151</f>
        <v/>
      </c>
      <c r="Y151" s="75">
        <f>I151-$P151</f>
        <v/>
      </c>
      <c r="Z151" s="75">
        <f>J151-$P151</f>
        <v/>
      </c>
      <c r="AA151" s="75">
        <f>K151-$P151</f>
        <v/>
      </c>
      <c r="AB151" s="75">
        <f>L151-$P151</f>
        <v/>
      </c>
      <c r="AC151" s="75">
        <f>M151-$P151</f>
        <v/>
      </c>
      <c r="AD151" s="75">
        <f>N151-$P151</f>
        <v/>
      </c>
      <c r="AE151" s="75">
        <f>O151-$P151</f>
        <v/>
      </c>
    </row>
    <row r="152" ht="16" customHeight="1">
      <c r="B152" s="181" t="n">
        <v>44804</v>
      </c>
      <c r="C152" s="75">
        <f>AIRBUS!D147</f>
        <v/>
      </c>
      <c r="D152" s="75">
        <f>BNP!D147</f>
        <v/>
      </c>
      <c r="E152" s="75">
        <f>CAPGEMINI!D147</f>
        <v/>
      </c>
      <c r="F152" s="75">
        <f>DANONE!D147</f>
        <v/>
      </c>
      <c r="G152" s="75">
        <f>ENGIE!D147</f>
        <v/>
      </c>
      <c r="H152" s="75">
        <f>'HERMES INTL'!D147</f>
        <v/>
      </c>
      <c r="I152" s="75">
        <f>'PERNOD RICARD'!D147</f>
        <v/>
      </c>
      <c r="J152" s="75">
        <f>RENAULT!D147</f>
        <v/>
      </c>
      <c r="K152" s="75">
        <f>SANOFI!D147</f>
        <v/>
      </c>
      <c r="L152" s="75">
        <f>'SCHNEIDER ELECTRIC'!D147</f>
        <v/>
      </c>
      <c r="M152" s="75">
        <f>'TOTAL ENERGIES'!D147</f>
        <v/>
      </c>
      <c r="N152" s="75">
        <f>VINCI!D147</f>
        <v/>
      </c>
      <c r="O152" s="75">
        <f>MARKET!D147</f>
        <v/>
      </c>
      <c r="P152" s="103">
        <f>INTERBANK!D146</f>
        <v/>
      </c>
      <c r="R152" s="181" t="n">
        <v>44804</v>
      </c>
      <c r="S152" s="75">
        <f>C152-$P152</f>
        <v/>
      </c>
      <c r="T152" s="75">
        <f>D152-$P152</f>
        <v/>
      </c>
      <c r="U152" s="75">
        <f>E152-$P152</f>
        <v/>
      </c>
      <c r="V152" s="75">
        <f>F152-$P152</f>
        <v/>
      </c>
      <c r="W152" s="75">
        <f>G152-$P152</f>
        <v/>
      </c>
      <c r="X152" s="75">
        <f>H152-$P152</f>
        <v/>
      </c>
      <c r="Y152" s="75">
        <f>I152-$P152</f>
        <v/>
      </c>
      <c r="Z152" s="75">
        <f>J152-$P152</f>
        <v/>
      </c>
      <c r="AA152" s="75">
        <f>K152-$P152</f>
        <v/>
      </c>
      <c r="AB152" s="75">
        <f>L152-$P152</f>
        <v/>
      </c>
      <c r="AC152" s="75">
        <f>M152-$P152</f>
        <v/>
      </c>
      <c r="AD152" s="75">
        <f>N152-$P152</f>
        <v/>
      </c>
      <c r="AE152" s="75">
        <f>O152-$P152</f>
        <v/>
      </c>
    </row>
    <row r="153" ht="16" customHeight="1">
      <c r="B153" s="181" t="n">
        <v>44834</v>
      </c>
      <c r="C153" s="75">
        <f>AIRBUS!D148</f>
        <v/>
      </c>
      <c r="D153" s="75">
        <f>BNP!D148</f>
        <v/>
      </c>
      <c r="E153" s="75">
        <f>CAPGEMINI!D148</f>
        <v/>
      </c>
      <c r="F153" s="75">
        <f>DANONE!D148</f>
        <v/>
      </c>
      <c r="G153" s="75">
        <f>ENGIE!D148</f>
        <v/>
      </c>
      <c r="H153" s="75">
        <f>'HERMES INTL'!D148</f>
        <v/>
      </c>
      <c r="I153" s="75">
        <f>'PERNOD RICARD'!D148</f>
        <v/>
      </c>
      <c r="J153" s="75">
        <f>RENAULT!D148</f>
        <v/>
      </c>
      <c r="K153" s="75">
        <f>SANOFI!D148</f>
        <v/>
      </c>
      <c r="L153" s="75">
        <f>'SCHNEIDER ELECTRIC'!D148</f>
        <v/>
      </c>
      <c r="M153" s="75">
        <f>'TOTAL ENERGIES'!D148</f>
        <v/>
      </c>
      <c r="N153" s="75">
        <f>VINCI!D148</f>
        <v/>
      </c>
      <c r="O153" s="75">
        <f>MARKET!D148</f>
        <v/>
      </c>
      <c r="P153" s="103">
        <f>INTERBANK!D147</f>
        <v/>
      </c>
      <c r="R153" s="181" t="n">
        <v>44834</v>
      </c>
      <c r="S153" s="75">
        <f>C153-$P153</f>
        <v/>
      </c>
      <c r="T153" s="75">
        <f>D153-$P153</f>
        <v/>
      </c>
      <c r="U153" s="75">
        <f>E153-$P153</f>
        <v/>
      </c>
      <c r="V153" s="75">
        <f>F153-$P153</f>
        <v/>
      </c>
      <c r="W153" s="75">
        <f>G153-$P153</f>
        <v/>
      </c>
      <c r="X153" s="75">
        <f>H153-$P153</f>
        <v/>
      </c>
      <c r="Y153" s="75">
        <f>I153-$P153</f>
        <v/>
      </c>
      <c r="Z153" s="75">
        <f>J153-$P153</f>
        <v/>
      </c>
      <c r="AA153" s="75">
        <f>K153-$P153</f>
        <v/>
      </c>
      <c r="AB153" s="75">
        <f>L153-$P153</f>
        <v/>
      </c>
      <c r="AC153" s="75">
        <f>M153-$P153</f>
        <v/>
      </c>
      <c r="AD153" s="75">
        <f>N153-$P153</f>
        <v/>
      </c>
      <c r="AE153" s="75">
        <f>O153-$P153</f>
        <v/>
      </c>
    </row>
    <row r="154" ht="16" customHeight="1">
      <c r="B154" s="181" t="n">
        <v>44865</v>
      </c>
      <c r="C154" s="75">
        <f>AIRBUS!D149</f>
        <v/>
      </c>
      <c r="D154" s="75">
        <f>BNP!D149</f>
        <v/>
      </c>
      <c r="E154" s="75">
        <f>CAPGEMINI!D149</f>
        <v/>
      </c>
      <c r="F154" s="75">
        <f>DANONE!D149</f>
        <v/>
      </c>
      <c r="G154" s="75">
        <f>ENGIE!D149</f>
        <v/>
      </c>
      <c r="H154" s="75">
        <f>'HERMES INTL'!D149</f>
        <v/>
      </c>
      <c r="I154" s="75">
        <f>'PERNOD RICARD'!D149</f>
        <v/>
      </c>
      <c r="J154" s="75">
        <f>RENAULT!D149</f>
        <v/>
      </c>
      <c r="K154" s="75">
        <f>SANOFI!D149</f>
        <v/>
      </c>
      <c r="L154" s="75">
        <f>'SCHNEIDER ELECTRIC'!D149</f>
        <v/>
      </c>
      <c r="M154" s="75">
        <f>'TOTAL ENERGIES'!D149</f>
        <v/>
      </c>
      <c r="N154" s="75">
        <f>VINCI!D149</f>
        <v/>
      </c>
      <c r="O154" s="75">
        <f>MARKET!D149</f>
        <v/>
      </c>
      <c r="P154" s="103">
        <f>INTERBANK!D148</f>
        <v/>
      </c>
      <c r="R154" s="181" t="n">
        <v>44865</v>
      </c>
      <c r="S154" s="75">
        <f>C154-$P154</f>
        <v/>
      </c>
      <c r="T154" s="75">
        <f>D154-$P154</f>
        <v/>
      </c>
      <c r="U154" s="75">
        <f>E154-$P154</f>
        <v/>
      </c>
      <c r="V154" s="75">
        <f>F154-$P154</f>
        <v/>
      </c>
      <c r="W154" s="75">
        <f>G154-$P154</f>
        <v/>
      </c>
      <c r="X154" s="75">
        <f>H154-$P154</f>
        <v/>
      </c>
      <c r="Y154" s="75">
        <f>I154-$P154</f>
        <v/>
      </c>
      <c r="Z154" s="75">
        <f>J154-$P154</f>
        <v/>
      </c>
      <c r="AA154" s="75">
        <f>K154-$P154</f>
        <v/>
      </c>
      <c r="AB154" s="75">
        <f>L154-$P154</f>
        <v/>
      </c>
      <c r="AC154" s="75">
        <f>M154-$P154</f>
        <v/>
      </c>
      <c r="AD154" s="75">
        <f>N154-$P154</f>
        <v/>
      </c>
      <c r="AE154" s="75">
        <f>O154-$P154</f>
        <v/>
      </c>
    </row>
    <row r="155" ht="16" customHeight="1">
      <c r="B155" s="181" t="n">
        <v>44895</v>
      </c>
      <c r="C155" s="75">
        <f>AIRBUS!D150</f>
        <v/>
      </c>
      <c r="D155" s="75">
        <f>BNP!D150</f>
        <v/>
      </c>
      <c r="E155" s="75">
        <f>CAPGEMINI!D150</f>
        <v/>
      </c>
      <c r="F155" s="75">
        <f>DANONE!D150</f>
        <v/>
      </c>
      <c r="G155" s="75">
        <f>ENGIE!D150</f>
        <v/>
      </c>
      <c r="H155" s="75">
        <f>'HERMES INTL'!D150</f>
        <v/>
      </c>
      <c r="I155" s="75">
        <f>'PERNOD RICARD'!D150</f>
        <v/>
      </c>
      <c r="J155" s="75">
        <f>RENAULT!D150</f>
        <v/>
      </c>
      <c r="K155" s="75">
        <f>SANOFI!D150</f>
        <v/>
      </c>
      <c r="L155" s="75">
        <f>'SCHNEIDER ELECTRIC'!D150</f>
        <v/>
      </c>
      <c r="M155" s="75">
        <f>'TOTAL ENERGIES'!D150</f>
        <v/>
      </c>
      <c r="N155" s="75">
        <f>VINCI!D150</f>
        <v/>
      </c>
      <c r="O155" s="75">
        <f>MARKET!D150</f>
        <v/>
      </c>
      <c r="P155" s="103">
        <f>INTERBANK!D149</f>
        <v/>
      </c>
      <c r="R155" s="181" t="n">
        <v>44895</v>
      </c>
      <c r="S155" s="75">
        <f>C155-$P155</f>
        <v/>
      </c>
      <c r="T155" s="75">
        <f>D155-$P155</f>
        <v/>
      </c>
      <c r="U155" s="75">
        <f>E155-$P155</f>
        <v/>
      </c>
      <c r="V155" s="75">
        <f>F155-$P155</f>
        <v/>
      </c>
      <c r="W155" s="75">
        <f>G155-$P155</f>
        <v/>
      </c>
      <c r="X155" s="75">
        <f>H155-$P155</f>
        <v/>
      </c>
      <c r="Y155" s="75">
        <f>I155-$P155</f>
        <v/>
      </c>
      <c r="Z155" s="75">
        <f>J155-$P155</f>
        <v/>
      </c>
      <c r="AA155" s="75">
        <f>K155-$P155</f>
        <v/>
      </c>
      <c r="AB155" s="75">
        <f>L155-$P155</f>
        <v/>
      </c>
      <c r="AC155" s="75">
        <f>M155-$P155</f>
        <v/>
      </c>
      <c r="AD155" s="75">
        <f>N155-$P155</f>
        <v/>
      </c>
      <c r="AE155" s="75">
        <f>O155-$P155</f>
        <v/>
      </c>
    </row>
    <row r="156" ht="16" customHeight="1">
      <c r="B156" s="181" t="n">
        <v>44926</v>
      </c>
      <c r="C156" s="75">
        <f>AIRBUS!D151</f>
        <v/>
      </c>
      <c r="D156" s="75">
        <f>BNP!D151</f>
        <v/>
      </c>
      <c r="E156" s="75">
        <f>CAPGEMINI!D151</f>
        <v/>
      </c>
      <c r="F156" s="75">
        <f>DANONE!D151</f>
        <v/>
      </c>
      <c r="G156" s="75">
        <f>ENGIE!D151</f>
        <v/>
      </c>
      <c r="H156" s="75">
        <f>'HERMES INTL'!D151</f>
        <v/>
      </c>
      <c r="I156" s="75">
        <f>'PERNOD RICARD'!D151</f>
        <v/>
      </c>
      <c r="J156" s="75">
        <f>RENAULT!D151</f>
        <v/>
      </c>
      <c r="K156" s="75">
        <f>SANOFI!D151</f>
        <v/>
      </c>
      <c r="L156" s="75">
        <f>'SCHNEIDER ELECTRIC'!D151</f>
        <v/>
      </c>
      <c r="M156" s="75">
        <f>'TOTAL ENERGIES'!D151</f>
        <v/>
      </c>
      <c r="N156" s="75">
        <f>VINCI!D151</f>
        <v/>
      </c>
      <c r="O156" s="75">
        <f>MARKET!D151</f>
        <v/>
      </c>
      <c r="P156" s="103">
        <f>INTERBANK!D150</f>
        <v/>
      </c>
      <c r="R156" s="181" t="n">
        <v>44926</v>
      </c>
      <c r="S156" s="75">
        <f>C156-$P156</f>
        <v/>
      </c>
      <c r="T156" s="75">
        <f>D156-$P156</f>
        <v/>
      </c>
      <c r="U156" s="75">
        <f>E156-$P156</f>
        <v/>
      </c>
      <c r="V156" s="75">
        <f>F156-$P156</f>
        <v/>
      </c>
      <c r="W156" s="75">
        <f>G156-$P156</f>
        <v/>
      </c>
      <c r="X156" s="75">
        <f>H156-$P156</f>
        <v/>
      </c>
      <c r="Y156" s="75">
        <f>I156-$P156</f>
        <v/>
      </c>
      <c r="Z156" s="75">
        <f>J156-$P156</f>
        <v/>
      </c>
      <c r="AA156" s="75">
        <f>K156-$P156</f>
        <v/>
      </c>
      <c r="AB156" s="75">
        <f>L156-$P156</f>
        <v/>
      </c>
      <c r="AC156" s="75">
        <f>M156-$P156</f>
        <v/>
      </c>
      <c r="AD156" s="75">
        <f>N156-$P156</f>
        <v/>
      </c>
      <c r="AE156" s="75">
        <f>O156-$P156</f>
        <v/>
      </c>
    </row>
    <row r="157" ht="16" customHeight="1">
      <c r="B157" s="181" t="n">
        <v>44957</v>
      </c>
      <c r="C157" s="75">
        <f>AIRBUS!D152</f>
        <v/>
      </c>
      <c r="D157" s="75">
        <f>BNP!D152</f>
        <v/>
      </c>
      <c r="E157" s="75">
        <f>CAPGEMINI!D152</f>
        <v/>
      </c>
      <c r="F157" s="75">
        <f>DANONE!D152</f>
        <v/>
      </c>
      <c r="G157" s="75">
        <f>ENGIE!D152</f>
        <v/>
      </c>
      <c r="H157" s="75">
        <f>'HERMES INTL'!D152</f>
        <v/>
      </c>
      <c r="I157" s="75">
        <f>'PERNOD RICARD'!D152</f>
        <v/>
      </c>
      <c r="J157" s="75">
        <f>RENAULT!D152</f>
        <v/>
      </c>
      <c r="K157" s="75">
        <f>SANOFI!D152</f>
        <v/>
      </c>
      <c r="L157" s="75">
        <f>'SCHNEIDER ELECTRIC'!D152</f>
        <v/>
      </c>
      <c r="M157" s="75">
        <f>'TOTAL ENERGIES'!D152</f>
        <v/>
      </c>
      <c r="N157" s="75">
        <f>VINCI!D152</f>
        <v/>
      </c>
      <c r="O157" s="75">
        <f>MARKET!D152</f>
        <v/>
      </c>
      <c r="P157" s="103">
        <f>INTERBANK!D151</f>
        <v/>
      </c>
      <c r="R157" s="181" t="n">
        <v>44957</v>
      </c>
      <c r="S157" s="75">
        <f>C157-$P157</f>
        <v/>
      </c>
      <c r="T157" s="75">
        <f>D157-$P157</f>
        <v/>
      </c>
      <c r="U157" s="75">
        <f>E157-$P157</f>
        <v/>
      </c>
      <c r="V157" s="75">
        <f>F157-$P157</f>
        <v/>
      </c>
      <c r="W157" s="75">
        <f>G157-$P157</f>
        <v/>
      </c>
      <c r="X157" s="75">
        <f>H157-$P157</f>
        <v/>
      </c>
      <c r="Y157" s="75">
        <f>I157-$P157</f>
        <v/>
      </c>
      <c r="Z157" s="75">
        <f>J157-$P157</f>
        <v/>
      </c>
      <c r="AA157" s="75">
        <f>K157-$P157</f>
        <v/>
      </c>
      <c r="AB157" s="75">
        <f>L157-$P157</f>
        <v/>
      </c>
      <c r="AC157" s="75">
        <f>M157-$P157</f>
        <v/>
      </c>
      <c r="AD157" s="75">
        <f>N157-$P157</f>
        <v/>
      </c>
      <c r="AE157" s="75">
        <f>O157-$P157</f>
        <v/>
      </c>
    </row>
    <row r="158" ht="16" customHeight="1">
      <c r="B158" s="181" t="n">
        <v>44985</v>
      </c>
      <c r="C158" s="75">
        <f>AIRBUS!D153</f>
        <v/>
      </c>
      <c r="D158" s="75">
        <f>BNP!D153</f>
        <v/>
      </c>
      <c r="E158" s="75">
        <f>CAPGEMINI!D153</f>
        <v/>
      </c>
      <c r="F158" s="75">
        <f>DANONE!D153</f>
        <v/>
      </c>
      <c r="G158" s="75">
        <f>ENGIE!D153</f>
        <v/>
      </c>
      <c r="H158" s="75">
        <f>'HERMES INTL'!D153</f>
        <v/>
      </c>
      <c r="I158" s="75">
        <f>'PERNOD RICARD'!D153</f>
        <v/>
      </c>
      <c r="J158" s="75">
        <f>RENAULT!D153</f>
        <v/>
      </c>
      <c r="K158" s="75">
        <f>SANOFI!D153</f>
        <v/>
      </c>
      <c r="L158" s="75">
        <f>'SCHNEIDER ELECTRIC'!D153</f>
        <v/>
      </c>
      <c r="M158" s="75">
        <f>'TOTAL ENERGIES'!D153</f>
        <v/>
      </c>
      <c r="N158" s="75">
        <f>VINCI!D153</f>
        <v/>
      </c>
      <c r="O158" s="75">
        <f>MARKET!D153</f>
        <v/>
      </c>
      <c r="P158" s="103">
        <f>INTERBANK!D152</f>
        <v/>
      </c>
      <c r="R158" s="181" t="n">
        <v>44985</v>
      </c>
      <c r="S158" s="75">
        <f>C158-$P158</f>
        <v/>
      </c>
      <c r="T158" s="75">
        <f>D158-$P158</f>
        <v/>
      </c>
      <c r="U158" s="75">
        <f>E158-$P158</f>
        <v/>
      </c>
      <c r="V158" s="75">
        <f>F158-$P158</f>
        <v/>
      </c>
      <c r="W158" s="75">
        <f>G158-$P158</f>
        <v/>
      </c>
      <c r="X158" s="75">
        <f>H158-$P158</f>
        <v/>
      </c>
      <c r="Y158" s="75">
        <f>I158-$P158</f>
        <v/>
      </c>
      <c r="Z158" s="75">
        <f>J158-$P158</f>
        <v/>
      </c>
      <c r="AA158" s="75">
        <f>K158-$P158</f>
        <v/>
      </c>
      <c r="AB158" s="75">
        <f>L158-$P158</f>
        <v/>
      </c>
      <c r="AC158" s="75">
        <f>M158-$P158</f>
        <v/>
      </c>
      <c r="AD158" s="75">
        <f>N158-$P158</f>
        <v/>
      </c>
      <c r="AE158" s="75">
        <f>O158-$P158</f>
        <v/>
      </c>
    </row>
    <row r="159" ht="16" customHeight="1">
      <c r="B159" s="181" t="n">
        <v>45016</v>
      </c>
      <c r="C159" s="75">
        <f>AIRBUS!D154</f>
        <v/>
      </c>
      <c r="D159" s="75">
        <f>BNP!D154</f>
        <v/>
      </c>
      <c r="E159" s="75">
        <f>CAPGEMINI!D154</f>
        <v/>
      </c>
      <c r="F159" s="75">
        <f>DANONE!D154</f>
        <v/>
      </c>
      <c r="G159" s="75">
        <f>ENGIE!D154</f>
        <v/>
      </c>
      <c r="H159" s="75">
        <f>'HERMES INTL'!D154</f>
        <v/>
      </c>
      <c r="I159" s="75">
        <f>'PERNOD RICARD'!D154</f>
        <v/>
      </c>
      <c r="J159" s="75">
        <f>RENAULT!D154</f>
        <v/>
      </c>
      <c r="K159" s="75">
        <f>SANOFI!D154</f>
        <v/>
      </c>
      <c r="L159" s="75">
        <f>'SCHNEIDER ELECTRIC'!D154</f>
        <v/>
      </c>
      <c r="M159" s="75">
        <f>'TOTAL ENERGIES'!D154</f>
        <v/>
      </c>
      <c r="N159" s="75">
        <f>VINCI!D154</f>
        <v/>
      </c>
      <c r="O159" s="75">
        <f>MARKET!D154</f>
        <v/>
      </c>
      <c r="P159" s="103">
        <f>INTERBANK!D153</f>
        <v/>
      </c>
      <c r="R159" s="181" t="n">
        <v>45016</v>
      </c>
      <c r="S159" s="75">
        <f>C159-$P159</f>
        <v/>
      </c>
      <c r="T159" s="75">
        <f>D159-$P159</f>
        <v/>
      </c>
      <c r="U159" s="75">
        <f>E159-$P159</f>
        <v/>
      </c>
      <c r="V159" s="75">
        <f>F159-$P159</f>
        <v/>
      </c>
      <c r="W159" s="75">
        <f>G159-$P159</f>
        <v/>
      </c>
      <c r="X159" s="75">
        <f>H159-$P159</f>
        <v/>
      </c>
      <c r="Y159" s="75">
        <f>I159-$P159</f>
        <v/>
      </c>
      <c r="Z159" s="75">
        <f>J159-$P159</f>
        <v/>
      </c>
      <c r="AA159" s="75">
        <f>K159-$P159</f>
        <v/>
      </c>
      <c r="AB159" s="75">
        <f>L159-$P159</f>
        <v/>
      </c>
      <c r="AC159" s="75">
        <f>M159-$P159</f>
        <v/>
      </c>
      <c r="AD159" s="75">
        <f>N159-$P159</f>
        <v/>
      </c>
      <c r="AE159" s="75">
        <f>O159-$P159</f>
        <v/>
      </c>
    </row>
    <row r="160" ht="16" customHeight="1">
      <c r="B160" s="181" t="n">
        <v>45046</v>
      </c>
      <c r="C160" s="75">
        <f>AIRBUS!D155</f>
        <v/>
      </c>
      <c r="D160" s="75">
        <f>BNP!D155</f>
        <v/>
      </c>
      <c r="E160" s="75">
        <f>CAPGEMINI!D155</f>
        <v/>
      </c>
      <c r="F160" s="75">
        <f>DANONE!D155</f>
        <v/>
      </c>
      <c r="G160" s="75">
        <f>ENGIE!D155</f>
        <v/>
      </c>
      <c r="H160" s="75">
        <f>'HERMES INTL'!D155</f>
        <v/>
      </c>
      <c r="I160" s="75">
        <f>'PERNOD RICARD'!D155</f>
        <v/>
      </c>
      <c r="J160" s="75">
        <f>RENAULT!D155</f>
        <v/>
      </c>
      <c r="K160" s="75">
        <f>SANOFI!D155</f>
        <v/>
      </c>
      <c r="L160" s="75">
        <f>'SCHNEIDER ELECTRIC'!D155</f>
        <v/>
      </c>
      <c r="M160" s="75">
        <f>'TOTAL ENERGIES'!D155</f>
        <v/>
      </c>
      <c r="N160" s="75">
        <f>VINCI!D155</f>
        <v/>
      </c>
      <c r="O160" s="75">
        <f>MARKET!D155</f>
        <v/>
      </c>
      <c r="P160" s="103">
        <f>INTERBANK!D154</f>
        <v/>
      </c>
      <c r="R160" s="181" t="n">
        <v>45046</v>
      </c>
      <c r="S160" s="75">
        <f>C160-$P160</f>
        <v/>
      </c>
      <c r="T160" s="75">
        <f>D160-$P160</f>
        <v/>
      </c>
      <c r="U160" s="75">
        <f>E160-$P160</f>
        <v/>
      </c>
      <c r="V160" s="75">
        <f>F160-$P160</f>
        <v/>
      </c>
      <c r="W160" s="75">
        <f>G160-$P160</f>
        <v/>
      </c>
      <c r="X160" s="75">
        <f>H160-$P160</f>
        <v/>
      </c>
      <c r="Y160" s="75">
        <f>I160-$P160</f>
        <v/>
      </c>
      <c r="Z160" s="75">
        <f>J160-$P160</f>
        <v/>
      </c>
      <c r="AA160" s="75">
        <f>K160-$P160</f>
        <v/>
      </c>
      <c r="AB160" s="75">
        <f>L160-$P160</f>
        <v/>
      </c>
      <c r="AC160" s="75">
        <f>M160-$P160</f>
        <v/>
      </c>
      <c r="AD160" s="75">
        <f>N160-$P160</f>
        <v/>
      </c>
      <c r="AE160" s="75">
        <f>O160-$P160</f>
        <v/>
      </c>
    </row>
    <row r="161" ht="16" customHeight="1">
      <c r="B161" s="181" t="n">
        <v>45077</v>
      </c>
      <c r="C161" s="75">
        <f>AIRBUS!D156</f>
        <v/>
      </c>
      <c r="D161" s="75">
        <f>BNP!D156</f>
        <v/>
      </c>
      <c r="E161" s="75">
        <f>CAPGEMINI!D156</f>
        <v/>
      </c>
      <c r="F161" s="75">
        <f>DANONE!D156</f>
        <v/>
      </c>
      <c r="G161" s="75">
        <f>ENGIE!D156</f>
        <v/>
      </c>
      <c r="H161" s="75">
        <f>'HERMES INTL'!D156</f>
        <v/>
      </c>
      <c r="I161" s="75">
        <f>'PERNOD RICARD'!D156</f>
        <v/>
      </c>
      <c r="J161" s="75">
        <f>RENAULT!D156</f>
        <v/>
      </c>
      <c r="K161" s="75">
        <f>SANOFI!D156</f>
        <v/>
      </c>
      <c r="L161" s="75">
        <f>'SCHNEIDER ELECTRIC'!D156</f>
        <v/>
      </c>
      <c r="M161" s="75">
        <f>'TOTAL ENERGIES'!D156</f>
        <v/>
      </c>
      <c r="N161" s="75">
        <f>VINCI!D156</f>
        <v/>
      </c>
      <c r="O161" s="75">
        <f>MARKET!D156</f>
        <v/>
      </c>
      <c r="P161" s="103">
        <f>INTERBANK!D155</f>
        <v/>
      </c>
      <c r="R161" s="181" t="n">
        <v>45077</v>
      </c>
      <c r="S161" s="75">
        <f>C161-$P161</f>
        <v/>
      </c>
      <c r="T161" s="75">
        <f>D161-$P161</f>
        <v/>
      </c>
      <c r="U161" s="75">
        <f>E161-$P161</f>
        <v/>
      </c>
      <c r="V161" s="75">
        <f>F161-$P161</f>
        <v/>
      </c>
      <c r="W161" s="75">
        <f>G161-$P161</f>
        <v/>
      </c>
      <c r="X161" s="75">
        <f>H161-$P161</f>
        <v/>
      </c>
      <c r="Y161" s="75">
        <f>I161-$P161</f>
        <v/>
      </c>
      <c r="Z161" s="75">
        <f>J161-$P161</f>
        <v/>
      </c>
      <c r="AA161" s="75">
        <f>K161-$P161</f>
        <v/>
      </c>
      <c r="AB161" s="75">
        <f>L161-$P161</f>
        <v/>
      </c>
      <c r="AC161" s="75">
        <f>M161-$P161</f>
        <v/>
      </c>
      <c r="AD161" s="75">
        <f>N161-$P161</f>
        <v/>
      </c>
      <c r="AE161" s="75">
        <f>O161-$P161</f>
        <v/>
      </c>
    </row>
    <row r="162" ht="16" customHeight="1">
      <c r="B162" s="181" t="n">
        <v>45107</v>
      </c>
      <c r="C162" s="75">
        <f>AIRBUS!D157</f>
        <v/>
      </c>
      <c r="D162" s="75">
        <f>BNP!D157</f>
        <v/>
      </c>
      <c r="E162" s="75">
        <f>CAPGEMINI!D157</f>
        <v/>
      </c>
      <c r="F162" s="75">
        <f>DANONE!D157</f>
        <v/>
      </c>
      <c r="G162" s="75">
        <f>ENGIE!D157</f>
        <v/>
      </c>
      <c r="H162" s="75">
        <f>'HERMES INTL'!D157</f>
        <v/>
      </c>
      <c r="I162" s="75">
        <f>'PERNOD RICARD'!D157</f>
        <v/>
      </c>
      <c r="J162" s="75">
        <f>RENAULT!D157</f>
        <v/>
      </c>
      <c r="K162" s="75">
        <f>SANOFI!D157</f>
        <v/>
      </c>
      <c r="L162" s="75">
        <f>'SCHNEIDER ELECTRIC'!D157</f>
        <v/>
      </c>
      <c r="M162" s="75">
        <f>'TOTAL ENERGIES'!D157</f>
        <v/>
      </c>
      <c r="N162" s="75">
        <f>VINCI!D157</f>
        <v/>
      </c>
      <c r="O162" s="75">
        <f>MARKET!D157</f>
        <v/>
      </c>
      <c r="P162" s="103">
        <f>INTERBANK!D156</f>
        <v/>
      </c>
      <c r="R162" s="181" t="n">
        <v>45107</v>
      </c>
      <c r="S162" s="75">
        <f>C162-$P162</f>
        <v/>
      </c>
      <c r="T162" s="75">
        <f>D162-$P162</f>
        <v/>
      </c>
      <c r="U162" s="75">
        <f>E162-$P162</f>
        <v/>
      </c>
      <c r="V162" s="75">
        <f>F162-$P162</f>
        <v/>
      </c>
      <c r="W162" s="75">
        <f>G162-$P162</f>
        <v/>
      </c>
      <c r="X162" s="75">
        <f>H162-$P162</f>
        <v/>
      </c>
      <c r="Y162" s="75">
        <f>I162-$P162</f>
        <v/>
      </c>
      <c r="Z162" s="75">
        <f>J162-$P162</f>
        <v/>
      </c>
      <c r="AA162" s="75">
        <f>K162-$P162</f>
        <v/>
      </c>
      <c r="AB162" s="75">
        <f>L162-$P162</f>
        <v/>
      </c>
      <c r="AC162" s="75">
        <f>M162-$P162</f>
        <v/>
      </c>
      <c r="AD162" s="75">
        <f>N162-$P162</f>
        <v/>
      </c>
      <c r="AE162" s="75">
        <f>O162-$P162</f>
        <v/>
      </c>
    </row>
    <row r="163" ht="16" customHeight="1">
      <c r="B163" s="181" t="n">
        <v>45138</v>
      </c>
      <c r="C163" s="75">
        <f>AIRBUS!D158</f>
        <v/>
      </c>
      <c r="D163" s="75">
        <f>BNP!D158</f>
        <v/>
      </c>
      <c r="E163" s="75">
        <f>CAPGEMINI!D158</f>
        <v/>
      </c>
      <c r="F163" s="75">
        <f>DANONE!D158</f>
        <v/>
      </c>
      <c r="G163" s="75">
        <f>ENGIE!D158</f>
        <v/>
      </c>
      <c r="H163" s="75">
        <f>'HERMES INTL'!D158</f>
        <v/>
      </c>
      <c r="I163" s="75">
        <f>'PERNOD RICARD'!D158</f>
        <v/>
      </c>
      <c r="J163" s="75">
        <f>RENAULT!D158</f>
        <v/>
      </c>
      <c r="K163" s="75">
        <f>SANOFI!D158</f>
        <v/>
      </c>
      <c r="L163" s="75">
        <f>'SCHNEIDER ELECTRIC'!D158</f>
        <v/>
      </c>
      <c r="M163" s="75">
        <f>'TOTAL ENERGIES'!D158</f>
        <v/>
      </c>
      <c r="N163" s="75">
        <f>VINCI!D158</f>
        <v/>
      </c>
      <c r="O163" s="75">
        <f>MARKET!D158</f>
        <v/>
      </c>
      <c r="P163" s="103">
        <f>INTERBANK!D157</f>
        <v/>
      </c>
      <c r="R163" s="181" t="n">
        <v>45138</v>
      </c>
      <c r="S163" s="75">
        <f>C163-$P163</f>
        <v/>
      </c>
      <c r="T163" s="75">
        <f>D163-$P163</f>
        <v/>
      </c>
      <c r="U163" s="75">
        <f>E163-$P163</f>
        <v/>
      </c>
      <c r="V163" s="75">
        <f>F163-$P163</f>
        <v/>
      </c>
      <c r="W163" s="75">
        <f>G163-$P163</f>
        <v/>
      </c>
      <c r="X163" s="75">
        <f>H163-$P163</f>
        <v/>
      </c>
      <c r="Y163" s="75">
        <f>I163-$P163</f>
        <v/>
      </c>
      <c r="Z163" s="75">
        <f>J163-$P163</f>
        <v/>
      </c>
      <c r="AA163" s="75">
        <f>K163-$P163</f>
        <v/>
      </c>
      <c r="AB163" s="75">
        <f>L163-$P163</f>
        <v/>
      </c>
      <c r="AC163" s="75">
        <f>M163-$P163</f>
        <v/>
      </c>
      <c r="AD163" s="75">
        <f>N163-$P163</f>
        <v/>
      </c>
      <c r="AE163" s="75">
        <f>O163-$P163</f>
        <v/>
      </c>
    </row>
    <row r="164" ht="16" customHeight="1">
      <c r="B164" s="181" t="n">
        <v>45169</v>
      </c>
      <c r="C164" s="75">
        <f>AIRBUS!D159</f>
        <v/>
      </c>
      <c r="D164" s="75">
        <f>BNP!D159</f>
        <v/>
      </c>
      <c r="E164" s="75">
        <f>CAPGEMINI!D159</f>
        <v/>
      </c>
      <c r="F164" s="75">
        <f>DANONE!D159</f>
        <v/>
      </c>
      <c r="G164" s="75">
        <f>ENGIE!D159</f>
        <v/>
      </c>
      <c r="H164" s="75">
        <f>'HERMES INTL'!D159</f>
        <v/>
      </c>
      <c r="I164" s="75">
        <f>'PERNOD RICARD'!D159</f>
        <v/>
      </c>
      <c r="J164" s="75">
        <f>RENAULT!D159</f>
        <v/>
      </c>
      <c r="K164" s="75">
        <f>SANOFI!D159</f>
        <v/>
      </c>
      <c r="L164" s="75">
        <f>'SCHNEIDER ELECTRIC'!D159</f>
        <v/>
      </c>
      <c r="M164" s="75">
        <f>'TOTAL ENERGIES'!D159</f>
        <v/>
      </c>
      <c r="N164" s="75">
        <f>VINCI!D159</f>
        <v/>
      </c>
      <c r="O164" s="75">
        <f>MARKET!D159</f>
        <v/>
      </c>
      <c r="P164" s="103">
        <f>INTERBANK!D158</f>
        <v/>
      </c>
      <c r="R164" s="181" t="n">
        <v>45169</v>
      </c>
      <c r="S164" s="75">
        <f>C164-$P164</f>
        <v/>
      </c>
      <c r="T164" s="75">
        <f>D164-$P164</f>
        <v/>
      </c>
      <c r="U164" s="75">
        <f>E164-$P164</f>
        <v/>
      </c>
      <c r="V164" s="75">
        <f>F164-$P164</f>
        <v/>
      </c>
      <c r="W164" s="75">
        <f>G164-$P164</f>
        <v/>
      </c>
      <c r="X164" s="75">
        <f>H164-$P164</f>
        <v/>
      </c>
      <c r="Y164" s="75">
        <f>I164-$P164</f>
        <v/>
      </c>
      <c r="Z164" s="75">
        <f>J164-$P164</f>
        <v/>
      </c>
      <c r="AA164" s="75">
        <f>K164-$P164</f>
        <v/>
      </c>
      <c r="AB164" s="75">
        <f>L164-$P164</f>
        <v/>
      </c>
      <c r="AC164" s="75">
        <f>M164-$P164</f>
        <v/>
      </c>
      <c r="AD164" s="75">
        <f>N164-$P164</f>
        <v/>
      </c>
      <c r="AE164" s="75">
        <f>O164-$P164</f>
        <v/>
      </c>
    </row>
    <row r="165" ht="16" customHeight="1">
      <c r="B165" s="181" t="n">
        <v>45199</v>
      </c>
      <c r="C165" s="75">
        <f>AIRBUS!D160</f>
        <v/>
      </c>
      <c r="D165" s="75">
        <f>BNP!D160</f>
        <v/>
      </c>
      <c r="E165" s="75">
        <f>CAPGEMINI!D160</f>
        <v/>
      </c>
      <c r="F165" s="75">
        <f>DANONE!D160</f>
        <v/>
      </c>
      <c r="G165" s="75">
        <f>ENGIE!D160</f>
        <v/>
      </c>
      <c r="H165" s="75">
        <f>'HERMES INTL'!D160</f>
        <v/>
      </c>
      <c r="I165" s="75">
        <f>'PERNOD RICARD'!D160</f>
        <v/>
      </c>
      <c r="J165" s="75">
        <f>RENAULT!D160</f>
        <v/>
      </c>
      <c r="K165" s="75">
        <f>SANOFI!D160</f>
        <v/>
      </c>
      <c r="L165" s="75">
        <f>'SCHNEIDER ELECTRIC'!D160</f>
        <v/>
      </c>
      <c r="M165" s="75">
        <f>'TOTAL ENERGIES'!D160</f>
        <v/>
      </c>
      <c r="N165" s="75">
        <f>VINCI!D160</f>
        <v/>
      </c>
      <c r="O165" s="75">
        <f>MARKET!D160</f>
        <v/>
      </c>
      <c r="P165" s="103">
        <f>INTERBANK!D159</f>
        <v/>
      </c>
      <c r="R165" s="181" t="n">
        <v>45199</v>
      </c>
      <c r="S165" s="75">
        <f>C165-$P165</f>
        <v/>
      </c>
      <c r="T165" s="75">
        <f>D165-$P165</f>
        <v/>
      </c>
      <c r="U165" s="75">
        <f>E165-$P165</f>
        <v/>
      </c>
      <c r="V165" s="75">
        <f>F165-$P165</f>
        <v/>
      </c>
      <c r="W165" s="75">
        <f>G165-$P165</f>
        <v/>
      </c>
      <c r="X165" s="75">
        <f>H165-$P165</f>
        <v/>
      </c>
      <c r="Y165" s="75">
        <f>I165-$P165</f>
        <v/>
      </c>
      <c r="Z165" s="75">
        <f>J165-$P165</f>
        <v/>
      </c>
      <c r="AA165" s="75">
        <f>K165-$P165</f>
        <v/>
      </c>
      <c r="AB165" s="75">
        <f>L165-$P165</f>
        <v/>
      </c>
      <c r="AC165" s="75">
        <f>M165-$P165</f>
        <v/>
      </c>
      <c r="AD165" s="75">
        <f>N165-$P165</f>
        <v/>
      </c>
      <c r="AE165" s="75">
        <f>O165-$P165</f>
        <v/>
      </c>
    </row>
    <row r="166" ht="16" customHeight="1">
      <c r="B166" s="181" t="n">
        <v>45230</v>
      </c>
      <c r="C166" s="75">
        <f>AIRBUS!D161</f>
        <v/>
      </c>
      <c r="D166" s="75">
        <f>BNP!D161</f>
        <v/>
      </c>
      <c r="E166" s="75">
        <f>CAPGEMINI!D161</f>
        <v/>
      </c>
      <c r="F166" s="75">
        <f>DANONE!D161</f>
        <v/>
      </c>
      <c r="G166" s="75">
        <f>ENGIE!D161</f>
        <v/>
      </c>
      <c r="H166" s="75">
        <f>'HERMES INTL'!D161</f>
        <v/>
      </c>
      <c r="I166" s="75">
        <f>'PERNOD RICARD'!D161</f>
        <v/>
      </c>
      <c r="J166" s="75">
        <f>RENAULT!D161</f>
        <v/>
      </c>
      <c r="K166" s="75">
        <f>SANOFI!D161</f>
        <v/>
      </c>
      <c r="L166" s="75">
        <f>'SCHNEIDER ELECTRIC'!D161</f>
        <v/>
      </c>
      <c r="M166" s="75">
        <f>'TOTAL ENERGIES'!D161</f>
        <v/>
      </c>
      <c r="N166" s="75">
        <f>VINCI!D161</f>
        <v/>
      </c>
      <c r="O166" s="75">
        <f>MARKET!D161</f>
        <v/>
      </c>
      <c r="P166" s="103">
        <f>INTERBANK!D160</f>
        <v/>
      </c>
      <c r="R166" s="181" t="n">
        <v>45230</v>
      </c>
      <c r="S166" s="75">
        <f>C166-$P166</f>
        <v/>
      </c>
      <c r="T166" s="75">
        <f>D166-$P166</f>
        <v/>
      </c>
      <c r="U166" s="75">
        <f>E166-$P166</f>
        <v/>
      </c>
      <c r="V166" s="75">
        <f>F166-$P166</f>
        <v/>
      </c>
      <c r="W166" s="75">
        <f>G166-$P166</f>
        <v/>
      </c>
      <c r="X166" s="75">
        <f>H166-$P166</f>
        <v/>
      </c>
      <c r="Y166" s="75">
        <f>I166-$P166</f>
        <v/>
      </c>
      <c r="Z166" s="75">
        <f>J166-$P166</f>
        <v/>
      </c>
      <c r="AA166" s="75">
        <f>K166-$P166</f>
        <v/>
      </c>
      <c r="AB166" s="75">
        <f>L166-$P166</f>
        <v/>
      </c>
      <c r="AC166" s="75">
        <f>M166-$P166</f>
        <v/>
      </c>
      <c r="AD166" s="75">
        <f>N166-$P166</f>
        <v/>
      </c>
      <c r="AE166" s="75">
        <f>O166-$P166</f>
        <v/>
      </c>
    </row>
    <row r="167" ht="16" customHeight="1">
      <c r="B167" s="181" t="n">
        <v>45260</v>
      </c>
      <c r="C167" s="75">
        <f>AIRBUS!D162</f>
        <v/>
      </c>
      <c r="D167" s="75">
        <f>BNP!D162</f>
        <v/>
      </c>
      <c r="E167" s="75">
        <f>CAPGEMINI!D162</f>
        <v/>
      </c>
      <c r="F167" s="75">
        <f>DANONE!D162</f>
        <v/>
      </c>
      <c r="G167" s="75">
        <f>ENGIE!D162</f>
        <v/>
      </c>
      <c r="H167" s="75">
        <f>'HERMES INTL'!D162</f>
        <v/>
      </c>
      <c r="I167" s="75">
        <f>'PERNOD RICARD'!D162</f>
        <v/>
      </c>
      <c r="J167" s="75">
        <f>RENAULT!D162</f>
        <v/>
      </c>
      <c r="K167" s="75">
        <f>SANOFI!D162</f>
        <v/>
      </c>
      <c r="L167" s="75">
        <f>'SCHNEIDER ELECTRIC'!D162</f>
        <v/>
      </c>
      <c r="M167" s="75">
        <f>'TOTAL ENERGIES'!D162</f>
        <v/>
      </c>
      <c r="N167" s="75">
        <f>VINCI!D162</f>
        <v/>
      </c>
      <c r="O167" s="75">
        <f>MARKET!D162</f>
        <v/>
      </c>
      <c r="P167" s="103">
        <f>INTERBANK!D161</f>
        <v/>
      </c>
      <c r="R167" s="181" t="n">
        <v>45260</v>
      </c>
      <c r="S167" s="75">
        <f>C167-$P167</f>
        <v/>
      </c>
      <c r="T167" s="75">
        <f>D167-$P167</f>
        <v/>
      </c>
      <c r="U167" s="75">
        <f>E167-$P167</f>
        <v/>
      </c>
      <c r="V167" s="75">
        <f>F167-$P167</f>
        <v/>
      </c>
      <c r="W167" s="75">
        <f>G167-$P167</f>
        <v/>
      </c>
      <c r="X167" s="75">
        <f>H167-$P167</f>
        <v/>
      </c>
      <c r="Y167" s="75">
        <f>I167-$P167</f>
        <v/>
      </c>
      <c r="Z167" s="75">
        <f>J167-$P167</f>
        <v/>
      </c>
      <c r="AA167" s="75">
        <f>K167-$P167</f>
        <v/>
      </c>
      <c r="AB167" s="75">
        <f>L167-$P167</f>
        <v/>
      </c>
      <c r="AC167" s="75">
        <f>M167-$P167</f>
        <v/>
      </c>
      <c r="AD167" s="75">
        <f>N167-$P167</f>
        <v/>
      </c>
      <c r="AE167" s="75">
        <f>O167-$P167</f>
        <v/>
      </c>
    </row>
    <row r="168" ht="16" customHeight="1">
      <c r="B168" s="181" t="n">
        <v>45291</v>
      </c>
      <c r="C168" s="75">
        <f>AIRBUS!D163</f>
        <v/>
      </c>
      <c r="D168" s="75">
        <f>BNP!D163</f>
        <v/>
      </c>
      <c r="E168" s="75">
        <f>CAPGEMINI!D163</f>
        <v/>
      </c>
      <c r="F168" s="75">
        <f>DANONE!D163</f>
        <v/>
      </c>
      <c r="G168" s="75">
        <f>ENGIE!D163</f>
        <v/>
      </c>
      <c r="H168" s="75">
        <f>'HERMES INTL'!D163</f>
        <v/>
      </c>
      <c r="I168" s="75">
        <f>'PERNOD RICARD'!D163</f>
        <v/>
      </c>
      <c r="J168" s="75">
        <f>RENAULT!D163</f>
        <v/>
      </c>
      <c r="K168" s="75">
        <f>SANOFI!D163</f>
        <v/>
      </c>
      <c r="L168" s="75">
        <f>'SCHNEIDER ELECTRIC'!D163</f>
        <v/>
      </c>
      <c r="M168" s="75">
        <f>'TOTAL ENERGIES'!D163</f>
        <v/>
      </c>
      <c r="N168" s="75">
        <f>VINCI!D163</f>
        <v/>
      </c>
      <c r="O168" s="75">
        <f>MARKET!D163</f>
        <v/>
      </c>
      <c r="P168" s="103">
        <f>INTERBANK!D162</f>
        <v/>
      </c>
      <c r="R168" s="181" t="n">
        <v>45291</v>
      </c>
      <c r="S168" s="75">
        <f>C168-$P168</f>
        <v/>
      </c>
      <c r="T168" s="75">
        <f>D168-$P168</f>
        <v/>
      </c>
      <c r="U168" s="75">
        <f>E168-$P168</f>
        <v/>
      </c>
      <c r="V168" s="75">
        <f>F168-$P168</f>
        <v/>
      </c>
      <c r="W168" s="75">
        <f>G168-$P168</f>
        <v/>
      </c>
      <c r="X168" s="75">
        <f>H168-$P168</f>
        <v/>
      </c>
      <c r="Y168" s="75">
        <f>I168-$P168</f>
        <v/>
      </c>
      <c r="Z168" s="75">
        <f>J168-$P168</f>
        <v/>
      </c>
      <c r="AA168" s="75">
        <f>K168-$P168</f>
        <v/>
      </c>
      <c r="AB168" s="75">
        <f>L168-$P168</f>
        <v/>
      </c>
      <c r="AC168" s="75">
        <f>M168-$P168</f>
        <v/>
      </c>
      <c r="AD168" s="75">
        <f>N168-$P168</f>
        <v/>
      </c>
      <c r="AE168" s="75">
        <f>O168-$P168</f>
        <v/>
      </c>
    </row>
    <row r="169" ht="16" customHeight="1">
      <c r="B169" s="181" t="n">
        <v>45322</v>
      </c>
      <c r="C169" s="75">
        <f>AIRBUS!D164</f>
        <v/>
      </c>
      <c r="D169" s="75">
        <f>BNP!D164</f>
        <v/>
      </c>
      <c r="E169" s="75">
        <f>CAPGEMINI!D164</f>
        <v/>
      </c>
      <c r="F169" s="75">
        <f>DANONE!D164</f>
        <v/>
      </c>
      <c r="G169" s="75">
        <f>ENGIE!D164</f>
        <v/>
      </c>
      <c r="H169" s="75">
        <f>'HERMES INTL'!D164</f>
        <v/>
      </c>
      <c r="I169" s="75">
        <f>'PERNOD RICARD'!D164</f>
        <v/>
      </c>
      <c r="J169" s="75">
        <f>RENAULT!D164</f>
        <v/>
      </c>
      <c r="K169" s="75">
        <f>SANOFI!D164</f>
        <v/>
      </c>
      <c r="L169" s="75">
        <f>'SCHNEIDER ELECTRIC'!D164</f>
        <v/>
      </c>
      <c r="M169" s="75">
        <f>'TOTAL ENERGIES'!D164</f>
        <v/>
      </c>
      <c r="N169" s="75">
        <f>VINCI!D164</f>
        <v/>
      </c>
      <c r="O169" s="75">
        <f>MARKET!D164</f>
        <v/>
      </c>
      <c r="P169" s="103">
        <f>INTERBANK!D163</f>
        <v/>
      </c>
      <c r="R169" s="181" t="n">
        <v>45322</v>
      </c>
      <c r="S169" s="75">
        <f>C169-$P169</f>
        <v/>
      </c>
      <c r="T169" s="75">
        <f>D169-$P169</f>
        <v/>
      </c>
      <c r="U169" s="75">
        <f>E169-$P169</f>
        <v/>
      </c>
      <c r="V169" s="75">
        <f>F169-$P169</f>
        <v/>
      </c>
      <c r="W169" s="75">
        <f>G169-$P169</f>
        <v/>
      </c>
      <c r="X169" s="75">
        <f>H169-$P169</f>
        <v/>
      </c>
      <c r="Y169" s="75">
        <f>I169-$P169</f>
        <v/>
      </c>
      <c r="Z169" s="75">
        <f>J169-$P169</f>
        <v/>
      </c>
      <c r="AA169" s="75">
        <f>K169-$P169</f>
        <v/>
      </c>
      <c r="AB169" s="75">
        <f>L169-$P169</f>
        <v/>
      </c>
      <c r="AC169" s="75">
        <f>M169-$P169</f>
        <v/>
      </c>
      <c r="AD169" s="75">
        <f>N169-$P169</f>
        <v/>
      </c>
      <c r="AE169" s="75">
        <f>O169-$P169</f>
        <v/>
      </c>
    </row>
    <row r="170" ht="16" customHeight="1">
      <c r="B170" s="181" t="n">
        <v>45351</v>
      </c>
      <c r="C170" s="75">
        <f>AIRBUS!D165</f>
        <v/>
      </c>
      <c r="D170" s="75">
        <f>BNP!D165</f>
        <v/>
      </c>
      <c r="E170" s="75">
        <f>CAPGEMINI!D165</f>
        <v/>
      </c>
      <c r="F170" s="75">
        <f>DANONE!D165</f>
        <v/>
      </c>
      <c r="G170" s="75">
        <f>ENGIE!D165</f>
        <v/>
      </c>
      <c r="H170" s="75">
        <f>'HERMES INTL'!D165</f>
        <v/>
      </c>
      <c r="I170" s="75">
        <f>'PERNOD RICARD'!D165</f>
        <v/>
      </c>
      <c r="J170" s="75">
        <f>RENAULT!D165</f>
        <v/>
      </c>
      <c r="K170" s="75">
        <f>SANOFI!D165</f>
        <v/>
      </c>
      <c r="L170" s="75">
        <f>'SCHNEIDER ELECTRIC'!D165</f>
        <v/>
      </c>
      <c r="M170" s="75">
        <f>'TOTAL ENERGIES'!D165</f>
        <v/>
      </c>
      <c r="N170" s="75">
        <f>VINCI!D165</f>
        <v/>
      </c>
      <c r="O170" s="75">
        <f>MARKET!D165</f>
        <v/>
      </c>
      <c r="P170" s="103">
        <f>INTERBANK!D164</f>
        <v/>
      </c>
      <c r="R170" s="181" t="n">
        <v>45351</v>
      </c>
      <c r="S170" s="75">
        <f>C170-$P170</f>
        <v/>
      </c>
      <c r="T170" s="75">
        <f>D170-$P170</f>
        <v/>
      </c>
      <c r="U170" s="75">
        <f>E170-$P170</f>
        <v/>
      </c>
      <c r="V170" s="75">
        <f>F170-$P170</f>
        <v/>
      </c>
      <c r="W170" s="75">
        <f>G170-$P170</f>
        <v/>
      </c>
      <c r="X170" s="75">
        <f>H170-$P170</f>
        <v/>
      </c>
      <c r="Y170" s="75">
        <f>I170-$P170</f>
        <v/>
      </c>
      <c r="Z170" s="75">
        <f>J170-$P170</f>
        <v/>
      </c>
      <c r="AA170" s="75">
        <f>K170-$P170</f>
        <v/>
      </c>
      <c r="AB170" s="75">
        <f>L170-$P170</f>
        <v/>
      </c>
      <c r="AC170" s="75">
        <f>M170-$P170</f>
        <v/>
      </c>
      <c r="AD170" s="75">
        <f>N170-$P170</f>
        <v/>
      </c>
      <c r="AE170" s="75">
        <f>O170-$P170</f>
        <v/>
      </c>
    </row>
    <row r="171" ht="16" customHeight="1">
      <c r="B171" s="181" t="n">
        <v>45382</v>
      </c>
      <c r="C171" s="75">
        <f>AIRBUS!D166</f>
        <v/>
      </c>
      <c r="D171" s="75">
        <f>BNP!D166</f>
        <v/>
      </c>
      <c r="E171" s="75">
        <f>CAPGEMINI!D166</f>
        <v/>
      </c>
      <c r="F171" s="75">
        <f>DANONE!D166</f>
        <v/>
      </c>
      <c r="G171" s="75">
        <f>ENGIE!D166</f>
        <v/>
      </c>
      <c r="H171" s="75">
        <f>'HERMES INTL'!D166</f>
        <v/>
      </c>
      <c r="I171" s="75">
        <f>'PERNOD RICARD'!D166</f>
        <v/>
      </c>
      <c r="J171" s="75">
        <f>RENAULT!D166</f>
        <v/>
      </c>
      <c r="K171" s="75">
        <f>SANOFI!D166</f>
        <v/>
      </c>
      <c r="L171" s="75">
        <f>'SCHNEIDER ELECTRIC'!D166</f>
        <v/>
      </c>
      <c r="M171" s="75">
        <f>'TOTAL ENERGIES'!D166</f>
        <v/>
      </c>
      <c r="N171" s="75">
        <f>VINCI!D166</f>
        <v/>
      </c>
      <c r="O171" s="75">
        <f>MARKET!D166</f>
        <v/>
      </c>
      <c r="P171" s="103">
        <f>INTERBANK!D165</f>
        <v/>
      </c>
      <c r="R171" s="181" t="n">
        <v>45382</v>
      </c>
      <c r="S171" s="75">
        <f>C171-$P171</f>
        <v/>
      </c>
      <c r="T171" s="75">
        <f>D171-$P171</f>
        <v/>
      </c>
      <c r="U171" s="75">
        <f>E171-$P171</f>
        <v/>
      </c>
      <c r="V171" s="75">
        <f>F171-$P171</f>
        <v/>
      </c>
      <c r="W171" s="75">
        <f>G171-$P171</f>
        <v/>
      </c>
      <c r="X171" s="75">
        <f>H171-$P171</f>
        <v/>
      </c>
      <c r="Y171" s="75">
        <f>I171-$P171</f>
        <v/>
      </c>
      <c r="Z171" s="75">
        <f>J171-$P171</f>
        <v/>
      </c>
      <c r="AA171" s="75">
        <f>K171-$P171</f>
        <v/>
      </c>
      <c r="AB171" s="75">
        <f>L171-$P171</f>
        <v/>
      </c>
      <c r="AC171" s="75">
        <f>M171-$P171</f>
        <v/>
      </c>
      <c r="AD171" s="75">
        <f>N171-$P171</f>
        <v/>
      </c>
      <c r="AE171" s="75">
        <f>O171-$P171</f>
        <v/>
      </c>
    </row>
    <row r="172" ht="16" customHeight="1">
      <c r="B172" s="181" t="n">
        <v>45412</v>
      </c>
      <c r="C172" s="75">
        <f>AIRBUS!D167</f>
        <v/>
      </c>
      <c r="D172" s="75">
        <f>BNP!D167</f>
        <v/>
      </c>
      <c r="E172" s="75">
        <f>CAPGEMINI!D167</f>
        <v/>
      </c>
      <c r="F172" s="75">
        <f>DANONE!D167</f>
        <v/>
      </c>
      <c r="G172" s="75">
        <f>ENGIE!D167</f>
        <v/>
      </c>
      <c r="H172" s="75">
        <f>'HERMES INTL'!D167</f>
        <v/>
      </c>
      <c r="I172" s="75">
        <f>'PERNOD RICARD'!D167</f>
        <v/>
      </c>
      <c r="J172" s="75">
        <f>RENAULT!D167</f>
        <v/>
      </c>
      <c r="K172" s="75">
        <f>SANOFI!D167</f>
        <v/>
      </c>
      <c r="L172" s="75">
        <f>'SCHNEIDER ELECTRIC'!D167</f>
        <v/>
      </c>
      <c r="M172" s="75">
        <f>'TOTAL ENERGIES'!D167</f>
        <v/>
      </c>
      <c r="N172" s="75">
        <f>VINCI!D167</f>
        <v/>
      </c>
      <c r="O172" s="75">
        <f>MARKET!D167</f>
        <v/>
      </c>
      <c r="P172" s="103">
        <f>INTERBANK!D166</f>
        <v/>
      </c>
      <c r="R172" s="181" t="n">
        <v>45412</v>
      </c>
      <c r="S172" s="75">
        <f>C172-$P172</f>
        <v/>
      </c>
      <c r="T172" s="75">
        <f>D172-$P172</f>
        <v/>
      </c>
      <c r="U172" s="75">
        <f>E172-$P172</f>
        <v/>
      </c>
      <c r="V172" s="75">
        <f>F172-$P172</f>
        <v/>
      </c>
      <c r="W172" s="75">
        <f>G172-$P172</f>
        <v/>
      </c>
      <c r="X172" s="75">
        <f>H172-$P172</f>
        <v/>
      </c>
      <c r="Y172" s="75">
        <f>I172-$P172</f>
        <v/>
      </c>
      <c r="Z172" s="75">
        <f>J172-$P172</f>
        <v/>
      </c>
      <c r="AA172" s="75">
        <f>K172-$P172</f>
        <v/>
      </c>
      <c r="AB172" s="75">
        <f>L172-$P172</f>
        <v/>
      </c>
      <c r="AC172" s="75">
        <f>M172-$P172</f>
        <v/>
      </c>
      <c r="AD172" s="75">
        <f>N172-$P172</f>
        <v/>
      </c>
      <c r="AE172" s="75">
        <f>O172-$P172</f>
        <v/>
      </c>
    </row>
    <row r="173" ht="16" customHeight="1">
      <c r="B173" s="181" t="n">
        <v>45443</v>
      </c>
      <c r="C173" s="75">
        <f>AIRBUS!D168</f>
        <v/>
      </c>
      <c r="D173" s="75">
        <f>BNP!D168</f>
        <v/>
      </c>
      <c r="E173" s="75">
        <f>CAPGEMINI!D168</f>
        <v/>
      </c>
      <c r="F173" s="75">
        <f>DANONE!D168</f>
        <v/>
      </c>
      <c r="G173" s="75">
        <f>ENGIE!D168</f>
        <v/>
      </c>
      <c r="H173" s="75">
        <f>'HERMES INTL'!D168</f>
        <v/>
      </c>
      <c r="I173" s="75">
        <f>'PERNOD RICARD'!D168</f>
        <v/>
      </c>
      <c r="J173" s="75">
        <f>RENAULT!D168</f>
        <v/>
      </c>
      <c r="K173" s="75">
        <f>SANOFI!D168</f>
        <v/>
      </c>
      <c r="L173" s="75">
        <f>'SCHNEIDER ELECTRIC'!D168</f>
        <v/>
      </c>
      <c r="M173" s="75">
        <f>'TOTAL ENERGIES'!D168</f>
        <v/>
      </c>
      <c r="N173" s="75">
        <f>VINCI!D168</f>
        <v/>
      </c>
      <c r="O173" s="75">
        <f>MARKET!D168</f>
        <v/>
      </c>
      <c r="P173" s="103">
        <f>INTERBANK!D167</f>
        <v/>
      </c>
      <c r="R173" s="181" t="n">
        <v>45443</v>
      </c>
      <c r="S173" s="75">
        <f>C173-$P173</f>
        <v/>
      </c>
      <c r="T173" s="75">
        <f>D173-$P173</f>
        <v/>
      </c>
      <c r="U173" s="75">
        <f>E173-$P173</f>
        <v/>
      </c>
      <c r="V173" s="75">
        <f>F173-$P173</f>
        <v/>
      </c>
      <c r="W173" s="75">
        <f>G173-$P173</f>
        <v/>
      </c>
      <c r="X173" s="75">
        <f>H173-$P173</f>
        <v/>
      </c>
      <c r="Y173" s="75">
        <f>I173-$P173</f>
        <v/>
      </c>
      <c r="Z173" s="75">
        <f>J173-$P173</f>
        <v/>
      </c>
      <c r="AA173" s="75">
        <f>K173-$P173</f>
        <v/>
      </c>
      <c r="AB173" s="75">
        <f>L173-$P173</f>
        <v/>
      </c>
      <c r="AC173" s="75">
        <f>M173-$P173</f>
        <v/>
      </c>
      <c r="AD173" s="75">
        <f>N173-$P173</f>
        <v/>
      </c>
      <c r="AE173" s="75">
        <f>O173-$P173</f>
        <v/>
      </c>
    </row>
    <row r="174" ht="16" customHeight="1">
      <c r="B174" s="181" t="n">
        <v>45473</v>
      </c>
      <c r="C174" s="75">
        <f>AIRBUS!D169</f>
        <v/>
      </c>
      <c r="D174" s="75">
        <f>BNP!D169</f>
        <v/>
      </c>
      <c r="E174" s="75">
        <f>CAPGEMINI!D169</f>
        <v/>
      </c>
      <c r="F174" s="75">
        <f>DANONE!D169</f>
        <v/>
      </c>
      <c r="G174" s="75">
        <f>ENGIE!D169</f>
        <v/>
      </c>
      <c r="H174" s="75">
        <f>'HERMES INTL'!D169</f>
        <v/>
      </c>
      <c r="I174" s="75">
        <f>'PERNOD RICARD'!D169</f>
        <v/>
      </c>
      <c r="J174" s="75">
        <f>RENAULT!D169</f>
        <v/>
      </c>
      <c r="K174" s="75">
        <f>SANOFI!D169</f>
        <v/>
      </c>
      <c r="L174" s="75">
        <f>'SCHNEIDER ELECTRIC'!D169</f>
        <v/>
      </c>
      <c r="M174" s="75">
        <f>'TOTAL ENERGIES'!D169</f>
        <v/>
      </c>
      <c r="N174" s="75">
        <f>VINCI!D169</f>
        <v/>
      </c>
      <c r="O174" s="75">
        <f>MARKET!D169</f>
        <v/>
      </c>
      <c r="P174" s="103">
        <f>INTERBANK!D168</f>
        <v/>
      </c>
      <c r="R174" s="181" t="n">
        <v>45473</v>
      </c>
      <c r="S174" s="75">
        <f>C174-$P174</f>
        <v/>
      </c>
      <c r="T174" s="75">
        <f>D174-$P174</f>
        <v/>
      </c>
      <c r="U174" s="75">
        <f>E174-$P174</f>
        <v/>
      </c>
      <c r="V174" s="75">
        <f>F174-$P174</f>
        <v/>
      </c>
      <c r="W174" s="75">
        <f>G174-$P174</f>
        <v/>
      </c>
      <c r="X174" s="75">
        <f>H174-$P174</f>
        <v/>
      </c>
      <c r="Y174" s="75">
        <f>I174-$P174</f>
        <v/>
      </c>
      <c r="Z174" s="75">
        <f>J174-$P174</f>
        <v/>
      </c>
      <c r="AA174" s="75">
        <f>K174-$P174</f>
        <v/>
      </c>
      <c r="AB174" s="75">
        <f>L174-$P174</f>
        <v/>
      </c>
      <c r="AC174" s="75">
        <f>M174-$P174</f>
        <v/>
      </c>
      <c r="AD174" s="75">
        <f>N174-$P174</f>
        <v/>
      </c>
      <c r="AE174" s="75">
        <f>O174-$P174</f>
        <v/>
      </c>
    </row>
    <row r="175" ht="16" customHeight="1">
      <c r="B175" s="181" t="n">
        <v>45504</v>
      </c>
      <c r="C175" s="75">
        <f>AIRBUS!D170</f>
        <v/>
      </c>
      <c r="D175" s="75">
        <f>BNP!D170</f>
        <v/>
      </c>
      <c r="E175" s="75">
        <f>CAPGEMINI!D170</f>
        <v/>
      </c>
      <c r="F175" s="75">
        <f>DANONE!D170</f>
        <v/>
      </c>
      <c r="G175" s="75">
        <f>ENGIE!D170</f>
        <v/>
      </c>
      <c r="H175" s="75">
        <f>'HERMES INTL'!D170</f>
        <v/>
      </c>
      <c r="I175" s="75">
        <f>'PERNOD RICARD'!D170</f>
        <v/>
      </c>
      <c r="J175" s="75">
        <f>RENAULT!D170</f>
        <v/>
      </c>
      <c r="K175" s="75">
        <f>SANOFI!D170</f>
        <v/>
      </c>
      <c r="L175" s="75">
        <f>'SCHNEIDER ELECTRIC'!D170</f>
        <v/>
      </c>
      <c r="M175" s="75">
        <f>'TOTAL ENERGIES'!D170</f>
        <v/>
      </c>
      <c r="N175" s="75">
        <f>VINCI!D170</f>
        <v/>
      </c>
      <c r="O175" s="75">
        <f>MARKET!D170</f>
        <v/>
      </c>
      <c r="P175" s="103">
        <f>INTERBANK!D169</f>
        <v/>
      </c>
      <c r="R175" s="181" t="n">
        <v>45504</v>
      </c>
      <c r="S175" s="75">
        <f>C175-$P175</f>
        <v/>
      </c>
      <c r="T175" s="75">
        <f>D175-$P175</f>
        <v/>
      </c>
      <c r="U175" s="75">
        <f>E175-$P175</f>
        <v/>
      </c>
      <c r="V175" s="75">
        <f>F175-$P175</f>
        <v/>
      </c>
      <c r="W175" s="75">
        <f>G175-$P175</f>
        <v/>
      </c>
      <c r="X175" s="75">
        <f>H175-$P175</f>
        <v/>
      </c>
      <c r="Y175" s="75">
        <f>I175-$P175</f>
        <v/>
      </c>
      <c r="Z175" s="75">
        <f>J175-$P175</f>
        <v/>
      </c>
      <c r="AA175" s="75">
        <f>K175-$P175</f>
        <v/>
      </c>
      <c r="AB175" s="75">
        <f>L175-$P175</f>
        <v/>
      </c>
      <c r="AC175" s="75">
        <f>M175-$P175</f>
        <v/>
      </c>
      <c r="AD175" s="75">
        <f>N175-$P175</f>
        <v/>
      </c>
      <c r="AE175" s="75">
        <f>O175-$P175</f>
        <v/>
      </c>
    </row>
    <row r="176" ht="16" customHeight="1">
      <c r="B176" s="181" t="n">
        <v>45535</v>
      </c>
      <c r="C176" s="75">
        <f>AIRBUS!D171</f>
        <v/>
      </c>
      <c r="D176" s="75">
        <f>BNP!D171</f>
        <v/>
      </c>
      <c r="E176" s="75">
        <f>CAPGEMINI!D171</f>
        <v/>
      </c>
      <c r="F176" s="75">
        <f>DANONE!D171</f>
        <v/>
      </c>
      <c r="G176" s="75">
        <f>ENGIE!D171</f>
        <v/>
      </c>
      <c r="H176" s="75">
        <f>'HERMES INTL'!D171</f>
        <v/>
      </c>
      <c r="I176" s="75">
        <f>'PERNOD RICARD'!D171</f>
        <v/>
      </c>
      <c r="J176" s="75">
        <f>RENAULT!D171</f>
        <v/>
      </c>
      <c r="K176" s="75">
        <f>SANOFI!D171</f>
        <v/>
      </c>
      <c r="L176" s="75">
        <f>'SCHNEIDER ELECTRIC'!D171</f>
        <v/>
      </c>
      <c r="M176" s="75">
        <f>'TOTAL ENERGIES'!D171</f>
        <v/>
      </c>
      <c r="N176" s="75">
        <f>VINCI!D171</f>
        <v/>
      </c>
      <c r="O176" s="75">
        <f>MARKET!D171</f>
        <v/>
      </c>
      <c r="P176" s="103">
        <f>INTERBANK!D170</f>
        <v/>
      </c>
      <c r="R176" s="181" t="n">
        <v>45535</v>
      </c>
      <c r="S176" s="75">
        <f>C176-$P176</f>
        <v/>
      </c>
      <c r="T176" s="75">
        <f>D176-$P176</f>
        <v/>
      </c>
      <c r="U176" s="75">
        <f>E176-$P176</f>
        <v/>
      </c>
      <c r="V176" s="75">
        <f>F176-$P176</f>
        <v/>
      </c>
      <c r="W176" s="75">
        <f>G176-$P176</f>
        <v/>
      </c>
      <c r="X176" s="75">
        <f>H176-$P176</f>
        <v/>
      </c>
      <c r="Y176" s="75">
        <f>I176-$P176</f>
        <v/>
      </c>
      <c r="Z176" s="75">
        <f>J176-$P176</f>
        <v/>
      </c>
      <c r="AA176" s="75">
        <f>K176-$P176</f>
        <v/>
      </c>
      <c r="AB176" s="75">
        <f>L176-$P176</f>
        <v/>
      </c>
      <c r="AC176" s="75">
        <f>M176-$P176</f>
        <v/>
      </c>
      <c r="AD176" s="75">
        <f>N176-$P176</f>
        <v/>
      </c>
      <c r="AE176" s="75">
        <f>O176-$P176</f>
        <v/>
      </c>
    </row>
    <row r="177" ht="16" customHeight="1">
      <c r="B177" s="181" t="n">
        <v>45565</v>
      </c>
      <c r="C177" s="75">
        <f>AIRBUS!D172</f>
        <v/>
      </c>
      <c r="D177" s="75">
        <f>BNP!D172</f>
        <v/>
      </c>
      <c r="E177" s="75">
        <f>CAPGEMINI!D172</f>
        <v/>
      </c>
      <c r="F177" s="75">
        <f>DANONE!D172</f>
        <v/>
      </c>
      <c r="G177" s="75">
        <f>ENGIE!D172</f>
        <v/>
      </c>
      <c r="H177" s="75">
        <f>'HERMES INTL'!D172</f>
        <v/>
      </c>
      <c r="I177" s="75">
        <f>'PERNOD RICARD'!D172</f>
        <v/>
      </c>
      <c r="J177" s="75">
        <f>RENAULT!D172</f>
        <v/>
      </c>
      <c r="K177" s="75">
        <f>SANOFI!D172</f>
        <v/>
      </c>
      <c r="L177" s="75">
        <f>'SCHNEIDER ELECTRIC'!D172</f>
        <v/>
      </c>
      <c r="M177" s="75">
        <f>'TOTAL ENERGIES'!D172</f>
        <v/>
      </c>
      <c r="N177" s="75">
        <f>VINCI!D172</f>
        <v/>
      </c>
      <c r="O177" s="75">
        <f>MARKET!D172</f>
        <v/>
      </c>
      <c r="P177" s="103">
        <f>INTERBANK!D171</f>
        <v/>
      </c>
      <c r="R177" s="181" t="n">
        <v>45565</v>
      </c>
      <c r="S177" s="75">
        <f>C177-$P177</f>
        <v/>
      </c>
      <c r="T177" s="75">
        <f>D177-$P177</f>
        <v/>
      </c>
      <c r="U177" s="75">
        <f>E177-$P177</f>
        <v/>
      </c>
      <c r="V177" s="75">
        <f>F177-$P177</f>
        <v/>
      </c>
      <c r="W177" s="75">
        <f>G177-$P177</f>
        <v/>
      </c>
      <c r="X177" s="75">
        <f>H177-$P177</f>
        <v/>
      </c>
      <c r="Y177" s="75">
        <f>I177-$P177</f>
        <v/>
      </c>
      <c r="Z177" s="75">
        <f>J177-$P177</f>
        <v/>
      </c>
      <c r="AA177" s="75">
        <f>K177-$P177</f>
        <v/>
      </c>
      <c r="AB177" s="75">
        <f>L177-$P177</f>
        <v/>
      </c>
      <c r="AC177" s="75">
        <f>M177-$P177</f>
        <v/>
      </c>
      <c r="AD177" s="75">
        <f>N177-$P177</f>
        <v/>
      </c>
      <c r="AE177" s="75">
        <f>O177-$P177</f>
        <v/>
      </c>
    </row>
    <row r="178" ht="16" customHeight="1">
      <c r="B178" s="181" t="n">
        <v>45596</v>
      </c>
      <c r="C178" s="75">
        <f>AIRBUS!D173</f>
        <v/>
      </c>
      <c r="D178" s="75">
        <f>BNP!D173</f>
        <v/>
      </c>
      <c r="E178" s="75">
        <f>CAPGEMINI!D173</f>
        <v/>
      </c>
      <c r="F178" s="75">
        <f>DANONE!D173</f>
        <v/>
      </c>
      <c r="G178" s="75">
        <f>ENGIE!D173</f>
        <v/>
      </c>
      <c r="H178" s="75">
        <f>'HERMES INTL'!D173</f>
        <v/>
      </c>
      <c r="I178" s="75">
        <f>'PERNOD RICARD'!D173</f>
        <v/>
      </c>
      <c r="J178" s="75">
        <f>RENAULT!D173</f>
        <v/>
      </c>
      <c r="K178" s="75">
        <f>SANOFI!D173</f>
        <v/>
      </c>
      <c r="L178" s="75">
        <f>'SCHNEIDER ELECTRIC'!D173</f>
        <v/>
      </c>
      <c r="M178" s="75">
        <f>'TOTAL ENERGIES'!D173</f>
        <v/>
      </c>
      <c r="N178" s="75">
        <f>VINCI!D173</f>
        <v/>
      </c>
      <c r="O178" s="75">
        <f>MARKET!D173</f>
        <v/>
      </c>
      <c r="P178" s="103">
        <f>INTERBANK!D172</f>
        <v/>
      </c>
      <c r="R178" s="181" t="n">
        <v>45596</v>
      </c>
      <c r="S178" s="75">
        <f>C178-$P178</f>
        <v/>
      </c>
      <c r="T178" s="75">
        <f>D178-$P178</f>
        <v/>
      </c>
      <c r="U178" s="75">
        <f>E178-$P178</f>
        <v/>
      </c>
      <c r="V178" s="75">
        <f>F178-$P178</f>
        <v/>
      </c>
      <c r="W178" s="75">
        <f>G178-$P178</f>
        <v/>
      </c>
      <c r="X178" s="75">
        <f>H178-$P178</f>
        <v/>
      </c>
      <c r="Y178" s="75">
        <f>I178-$P178</f>
        <v/>
      </c>
      <c r="Z178" s="75">
        <f>J178-$P178</f>
        <v/>
      </c>
      <c r="AA178" s="75">
        <f>K178-$P178</f>
        <v/>
      </c>
      <c r="AB178" s="75">
        <f>L178-$P178</f>
        <v/>
      </c>
      <c r="AC178" s="75">
        <f>M178-$P178</f>
        <v/>
      </c>
      <c r="AD178" s="75">
        <f>N178-$P178</f>
        <v/>
      </c>
      <c r="AE178" s="75">
        <f>O178-$P178</f>
        <v/>
      </c>
    </row>
    <row r="179" ht="16" customHeight="1">
      <c r="B179" s="181" t="n">
        <v>45626</v>
      </c>
      <c r="C179" s="75">
        <f>AIRBUS!D174</f>
        <v/>
      </c>
      <c r="D179" s="75">
        <f>BNP!D174</f>
        <v/>
      </c>
      <c r="E179" s="75">
        <f>CAPGEMINI!D174</f>
        <v/>
      </c>
      <c r="F179" s="75">
        <f>DANONE!D174</f>
        <v/>
      </c>
      <c r="G179" s="75">
        <f>ENGIE!D174</f>
        <v/>
      </c>
      <c r="H179" s="75">
        <f>'HERMES INTL'!D174</f>
        <v/>
      </c>
      <c r="I179" s="75">
        <f>'PERNOD RICARD'!D174</f>
        <v/>
      </c>
      <c r="J179" s="75">
        <f>RENAULT!D174</f>
        <v/>
      </c>
      <c r="K179" s="75">
        <f>SANOFI!D174</f>
        <v/>
      </c>
      <c r="L179" s="75">
        <f>'SCHNEIDER ELECTRIC'!D174</f>
        <v/>
      </c>
      <c r="M179" s="75">
        <f>'TOTAL ENERGIES'!D174</f>
        <v/>
      </c>
      <c r="N179" s="75">
        <f>VINCI!D174</f>
        <v/>
      </c>
      <c r="O179" s="75">
        <f>MARKET!D174</f>
        <v/>
      </c>
      <c r="P179" s="103">
        <f>INTERBANK!D173</f>
        <v/>
      </c>
      <c r="R179" s="181" t="n">
        <v>45626</v>
      </c>
      <c r="S179" s="75">
        <f>C179-$P179</f>
        <v/>
      </c>
      <c r="T179" s="75">
        <f>D179-$P179</f>
        <v/>
      </c>
      <c r="U179" s="75">
        <f>E179-$P179</f>
        <v/>
      </c>
      <c r="V179" s="75">
        <f>F179-$P179</f>
        <v/>
      </c>
      <c r="W179" s="75">
        <f>G179-$P179</f>
        <v/>
      </c>
      <c r="X179" s="75">
        <f>H179-$P179</f>
        <v/>
      </c>
      <c r="Y179" s="75">
        <f>I179-$P179</f>
        <v/>
      </c>
      <c r="Z179" s="75">
        <f>J179-$P179</f>
        <v/>
      </c>
      <c r="AA179" s="75">
        <f>K179-$P179</f>
        <v/>
      </c>
      <c r="AB179" s="75">
        <f>L179-$P179</f>
        <v/>
      </c>
      <c r="AC179" s="75">
        <f>M179-$P179</f>
        <v/>
      </c>
      <c r="AD179" s="75">
        <f>N179-$P179</f>
        <v/>
      </c>
      <c r="AE179" s="75">
        <f>O179-$P179</f>
        <v/>
      </c>
    </row>
    <row r="180" ht="16" customHeight="1">
      <c r="B180" s="181" t="n">
        <v>45657</v>
      </c>
      <c r="C180" s="75">
        <f>AIRBUS!D175</f>
        <v/>
      </c>
      <c r="D180" s="75">
        <f>BNP!D175</f>
        <v/>
      </c>
      <c r="E180" s="75">
        <f>CAPGEMINI!D175</f>
        <v/>
      </c>
      <c r="F180" s="75">
        <f>DANONE!D175</f>
        <v/>
      </c>
      <c r="G180" s="75">
        <f>ENGIE!D175</f>
        <v/>
      </c>
      <c r="H180" s="75">
        <f>'HERMES INTL'!D175</f>
        <v/>
      </c>
      <c r="I180" s="75">
        <f>'PERNOD RICARD'!D175</f>
        <v/>
      </c>
      <c r="J180" s="75">
        <f>RENAULT!D175</f>
        <v/>
      </c>
      <c r="K180" s="75">
        <f>SANOFI!D175</f>
        <v/>
      </c>
      <c r="L180" s="75">
        <f>'SCHNEIDER ELECTRIC'!D175</f>
        <v/>
      </c>
      <c r="M180" s="75">
        <f>'TOTAL ENERGIES'!D175</f>
        <v/>
      </c>
      <c r="N180" s="75">
        <f>VINCI!D175</f>
        <v/>
      </c>
      <c r="O180" s="75">
        <f>MARKET!D175</f>
        <v/>
      </c>
      <c r="P180" s="103">
        <f>INTERBANK!D174</f>
        <v/>
      </c>
      <c r="R180" s="181" t="n">
        <v>45657</v>
      </c>
      <c r="S180" s="75">
        <f>C180-$P180</f>
        <v/>
      </c>
      <c r="T180" s="75">
        <f>D180-$P180</f>
        <v/>
      </c>
      <c r="U180" s="75">
        <f>E180-$P180</f>
        <v/>
      </c>
      <c r="V180" s="75">
        <f>F180-$P180</f>
        <v/>
      </c>
      <c r="W180" s="75">
        <f>G180-$P180</f>
        <v/>
      </c>
      <c r="X180" s="75">
        <f>H180-$P180</f>
        <v/>
      </c>
      <c r="Y180" s="75">
        <f>I180-$P180</f>
        <v/>
      </c>
      <c r="Z180" s="75">
        <f>J180-$P180</f>
        <v/>
      </c>
      <c r="AA180" s="75">
        <f>K180-$P180</f>
        <v/>
      </c>
      <c r="AB180" s="75">
        <f>L180-$P180</f>
        <v/>
      </c>
      <c r="AC180" s="75">
        <f>M180-$P180</f>
        <v/>
      </c>
      <c r="AD180" s="75">
        <f>N180-$P180</f>
        <v/>
      </c>
      <c r="AE180" s="75">
        <f>O180-$P180</f>
        <v/>
      </c>
    </row>
    <row r="181" ht="16" customHeight="1">
      <c r="B181" s="181" t="n">
        <v>45688</v>
      </c>
      <c r="C181" s="75">
        <f>AIRBUS!D176</f>
        <v/>
      </c>
      <c r="D181" s="75">
        <f>BNP!D176</f>
        <v/>
      </c>
      <c r="E181" s="75">
        <f>CAPGEMINI!D176</f>
        <v/>
      </c>
      <c r="F181" s="75">
        <f>DANONE!D176</f>
        <v/>
      </c>
      <c r="G181" s="75">
        <f>ENGIE!D176</f>
        <v/>
      </c>
      <c r="H181" s="75">
        <f>'HERMES INTL'!D176</f>
        <v/>
      </c>
      <c r="I181" s="75">
        <f>'PERNOD RICARD'!D176</f>
        <v/>
      </c>
      <c r="J181" s="75">
        <f>RENAULT!D176</f>
        <v/>
      </c>
      <c r="K181" s="75">
        <f>SANOFI!D176</f>
        <v/>
      </c>
      <c r="L181" s="75">
        <f>'SCHNEIDER ELECTRIC'!D176</f>
        <v/>
      </c>
      <c r="M181" s="75">
        <f>'TOTAL ENERGIES'!D176</f>
        <v/>
      </c>
      <c r="N181" s="75">
        <f>VINCI!D176</f>
        <v/>
      </c>
      <c r="O181" s="75">
        <f>MARKET!D176</f>
        <v/>
      </c>
      <c r="P181" s="103">
        <f>INTERBANK!D175</f>
        <v/>
      </c>
      <c r="R181" s="181" t="n">
        <v>45688</v>
      </c>
      <c r="S181" s="75">
        <f>C181-$P181</f>
        <v/>
      </c>
      <c r="T181" s="75">
        <f>D181-$P181</f>
        <v/>
      </c>
      <c r="U181" s="75">
        <f>E181-$P181</f>
        <v/>
      </c>
      <c r="V181" s="75">
        <f>F181-$P181</f>
        <v/>
      </c>
      <c r="W181" s="75">
        <f>G181-$P181</f>
        <v/>
      </c>
      <c r="X181" s="75">
        <f>H181-$P181</f>
        <v/>
      </c>
      <c r="Y181" s="75">
        <f>I181-$P181</f>
        <v/>
      </c>
      <c r="Z181" s="75">
        <f>J181-$P181</f>
        <v/>
      </c>
      <c r="AA181" s="75">
        <f>K181-$P181</f>
        <v/>
      </c>
      <c r="AB181" s="75">
        <f>L181-$P181</f>
        <v/>
      </c>
      <c r="AC181" s="75">
        <f>M181-$P181</f>
        <v/>
      </c>
      <c r="AD181" s="75">
        <f>N181-$P181</f>
        <v/>
      </c>
      <c r="AE181" s="75">
        <f>O181-$P181</f>
        <v/>
      </c>
    </row>
    <row r="182" ht="16" customHeight="1">
      <c r="B182" s="181" t="n">
        <v>45716</v>
      </c>
      <c r="C182" s="75">
        <f>AIRBUS!D177</f>
        <v/>
      </c>
      <c r="D182" s="75">
        <f>BNP!D177</f>
        <v/>
      </c>
      <c r="E182" s="75">
        <f>CAPGEMINI!D177</f>
        <v/>
      </c>
      <c r="F182" s="75">
        <f>DANONE!D177</f>
        <v/>
      </c>
      <c r="G182" s="75">
        <f>ENGIE!D177</f>
        <v/>
      </c>
      <c r="H182" s="75">
        <f>'HERMES INTL'!D177</f>
        <v/>
      </c>
      <c r="I182" s="75">
        <f>'PERNOD RICARD'!D177</f>
        <v/>
      </c>
      <c r="J182" s="75">
        <f>RENAULT!D177</f>
        <v/>
      </c>
      <c r="K182" s="75">
        <f>SANOFI!D177</f>
        <v/>
      </c>
      <c r="L182" s="75">
        <f>'SCHNEIDER ELECTRIC'!D177</f>
        <v/>
      </c>
      <c r="M182" s="75">
        <f>'TOTAL ENERGIES'!D177</f>
        <v/>
      </c>
      <c r="N182" s="75">
        <f>VINCI!D177</f>
        <v/>
      </c>
      <c r="O182" s="75">
        <f>MARKET!D177</f>
        <v/>
      </c>
      <c r="P182" s="103">
        <f>INTERBANK!D176</f>
        <v/>
      </c>
      <c r="R182" s="181" t="n">
        <v>45716</v>
      </c>
      <c r="S182" s="75">
        <f>C182-$P182</f>
        <v/>
      </c>
      <c r="T182" s="75">
        <f>D182-$P182</f>
        <v/>
      </c>
      <c r="U182" s="75">
        <f>E182-$P182</f>
        <v/>
      </c>
      <c r="V182" s="75">
        <f>F182-$P182</f>
        <v/>
      </c>
      <c r="W182" s="75">
        <f>G182-$P182</f>
        <v/>
      </c>
      <c r="X182" s="75">
        <f>H182-$P182</f>
        <v/>
      </c>
      <c r="Y182" s="75">
        <f>I182-$P182</f>
        <v/>
      </c>
      <c r="Z182" s="75">
        <f>J182-$P182</f>
        <v/>
      </c>
      <c r="AA182" s="75">
        <f>K182-$P182</f>
        <v/>
      </c>
      <c r="AB182" s="75">
        <f>L182-$P182</f>
        <v/>
      </c>
      <c r="AC182" s="75">
        <f>M182-$P182</f>
        <v/>
      </c>
      <c r="AD182" s="75">
        <f>N182-$P182</f>
        <v/>
      </c>
      <c r="AE182" s="75">
        <f>O182-$P182</f>
        <v/>
      </c>
    </row>
    <row r="183" ht="16" customHeight="1">
      <c r="B183" s="181" t="n">
        <v>45747</v>
      </c>
      <c r="C183" s="75">
        <f>AIRBUS!D178</f>
        <v/>
      </c>
      <c r="D183" s="75">
        <f>BNP!D178</f>
        <v/>
      </c>
      <c r="E183" s="75">
        <f>CAPGEMINI!D178</f>
        <v/>
      </c>
      <c r="F183" s="75">
        <f>DANONE!D178</f>
        <v/>
      </c>
      <c r="G183" s="75">
        <f>ENGIE!D178</f>
        <v/>
      </c>
      <c r="H183" s="75">
        <f>'HERMES INTL'!D178</f>
        <v/>
      </c>
      <c r="I183" s="75">
        <f>'PERNOD RICARD'!D178</f>
        <v/>
      </c>
      <c r="J183" s="75">
        <f>RENAULT!D178</f>
        <v/>
      </c>
      <c r="K183" s="75">
        <f>SANOFI!D178</f>
        <v/>
      </c>
      <c r="L183" s="75">
        <f>'SCHNEIDER ELECTRIC'!D178</f>
        <v/>
      </c>
      <c r="M183" s="75">
        <f>'TOTAL ENERGIES'!D178</f>
        <v/>
      </c>
      <c r="N183" s="75">
        <f>VINCI!D178</f>
        <v/>
      </c>
      <c r="O183" s="75">
        <f>MARKET!D178</f>
        <v/>
      </c>
      <c r="P183" s="103">
        <f>INTERBANK!D177</f>
        <v/>
      </c>
      <c r="R183" s="181" t="n">
        <v>45747</v>
      </c>
      <c r="S183" s="75">
        <f>C183-$P183</f>
        <v/>
      </c>
      <c r="T183" s="75">
        <f>D183-$P183</f>
        <v/>
      </c>
      <c r="U183" s="75">
        <f>E183-$P183</f>
        <v/>
      </c>
      <c r="V183" s="75">
        <f>F183-$P183</f>
        <v/>
      </c>
      <c r="W183" s="75">
        <f>G183-$P183</f>
        <v/>
      </c>
      <c r="X183" s="75">
        <f>H183-$P183</f>
        <v/>
      </c>
      <c r="Y183" s="75">
        <f>I183-$P183</f>
        <v/>
      </c>
      <c r="Z183" s="75">
        <f>J183-$P183</f>
        <v/>
      </c>
      <c r="AA183" s="75">
        <f>K183-$P183</f>
        <v/>
      </c>
      <c r="AB183" s="75">
        <f>L183-$P183</f>
        <v/>
      </c>
      <c r="AC183" s="75">
        <f>M183-$P183</f>
        <v/>
      </c>
      <c r="AD183" s="75">
        <f>N183-$P183</f>
        <v/>
      </c>
      <c r="AE183" s="75">
        <f>O183-$P183</f>
        <v/>
      </c>
    </row>
    <row r="184" ht="16" customHeight="1">
      <c r="B184" s="181" t="n">
        <v>45777</v>
      </c>
      <c r="C184" s="75">
        <f>AIRBUS!D179</f>
        <v/>
      </c>
      <c r="D184" s="75">
        <f>BNP!D179</f>
        <v/>
      </c>
      <c r="E184" s="75">
        <f>CAPGEMINI!D179</f>
        <v/>
      </c>
      <c r="F184" s="75">
        <f>DANONE!D179</f>
        <v/>
      </c>
      <c r="G184" s="75">
        <f>ENGIE!D179</f>
        <v/>
      </c>
      <c r="H184" s="75">
        <f>'HERMES INTL'!D179</f>
        <v/>
      </c>
      <c r="I184" s="75">
        <f>'PERNOD RICARD'!D179</f>
        <v/>
      </c>
      <c r="J184" s="75">
        <f>RENAULT!D179</f>
        <v/>
      </c>
      <c r="K184" s="75">
        <f>SANOFI!D179</f>
        <v/>
      </c>
      <c r="L184" s="75">
        <f>'SCHNEIDER ELECTRIC'!D179</f>
        <v/>
      </c>
      <c r="M184" s="75">
        <f>'TOTAL ENERGIES'!D179</f>
        <v/>
      </c>
      <c r="N184" s="75">
        <f>VINCI!D179</f>
        <v/>
      </c>
      <c r="O184" s="75">
        <f>MARKET!D179</f>
        <v/>
      </c>
      <c r="P184" s="103">
        <f>INTERBANK!D178</f>
        <v/>
      </c>
      <c r="R184" s="181" t="n">
        <v>45777</v>
      </c>
      <c r="S184" s="75">
        <f>C184-$P184</f>
        <v/>
      </c>
      <c r="T184" s="75">
        <f>D184-$P184</f>
        <v/>
      </c>
      <c r="U184" s="75">
        <f>E184-$P184</f>
        <v/>
      </c>
      <c r="V184" s="75">
        <f>F184-$P184</f>
        <v/>
      </c>
      <c r="W184" s="75">
        <f>G184-$P184</f>
        <v/>
      </c>
      <c r="X184" s="75">
        <f>H184-$P184</f>
        <v/>
      </c>
      <c r="Y184" s="75">
        <f>I184-$P184</f>
        <v/>
      </c>
      <c r="Z184" s="75">
        <f>J184-$P184</f>
        <v/>
      </c>
      <c r="AA184" s="75">
        <f>K184-$P184</f>
        <v/>
      </c>
      <c r="AB184" s="75">
        <f>L184-$P184</f>
        <v/>
      </c>
      <c r="AC184" s="75">
        <f>M184-$P184</f>
        <v/>
      </c>
      <c r="AD184" s="75">
        <f>N184-$P184</f>
        <v/>
      </c>
      <c r="AE184" s="75">
        <f>O184-$P184</f>
        <v/>
      </c>
    </row>
    <row r="185" ht="16" customHeight="1">
      <c r="B185" s="181" t="n">
        <v>45808</v>
      </c>
      <c r="C185" s="75">
        <f>AIRBUS!D180</f>
        <v/>
      </c>
      <c r="D185" s="75">
        <f>BNP!D180</f>
        <v/>
      </c>
      <c r="E185" s="75">
        <f>CAPGEMINI!D180</f>
        <v/>
      </c>
      <c r="F185" s="75">
        <f>DANONE!D180</f>
        <v/>
      </c>
      <c r="G185" s="75">
        <f>ENGIE!D180</f>
        <v/>
      </c>
      <c r="H185" s="75">
        <f>'HERMES INTL'!D180</f>
        <v/>
      </c>
      <c r="I185" s="75">
        <f>'PERNOD RICARD'!D180</f>
        <v/>
      </c>
      <c r="J185" s="75">
        <f>RENAULT!D180</f>
        <v/>
      </c>
      <c r="K185" s="75">
        <f>SANOFI!D180</f>
        <v/>
      </c>
      <c r="L185" s="75">
        <f>'SCHNEIDER ELECTRIC'!D180</f>
        <v/>
      </c>
      <c r="M185" s="75">
        <f>'TOTAL ENERGIES'!D180</f>
        <v/>
      </c>
      <c r="N185" s="75">
        <f>VINCI!D180</f>
        <v/>
      </c>
      <c r="O185" s="75">
        <f>MARKET!D180</f>
        <v/>
      </c>
      <c r="P185" s="103">
        <f>INTERBANK!D179</f>
        <v/>
      </c>
      <c r="R185" s="181" t="n">
        <v>45808</v>
      </c>
      <c r="S185" s="75">
        <f>C185-$P185</f>
        <v/>
      </c>
      <c r="T185" s="75">
        <f>D185-$P185</f>
        <v/>
      </c>
      <c r="U185" s="75">
        <f>E185-$P185</f>
        <v/>
      </c>
      <c r="V185" s="75">
        <f>F185-$P185</f>
        <v/>
      </c>
      <c r="W185" s="75">
        <f>G185-$P185</f>
        <v/>
      </c>
      <c r="X185" s="75">
        <f>H185-$P185</f>
        <v/>
      </c>
      <c r="Y185" s="75">
        <f>I185-$P185</f>
        <v/>
      </c>
      <c r="Z185" s="75">
        <f>J185-$P185</f>
        <v/>
      </c>
      <c r="AA185" s="75">
        <f>K185-$P185</f>
        <v/>
      </c>
      <c r="AB185" s="75">
        <f>L185-$P185</f>
        <v/>
      </c>
      <c r="AC185" s="75">
        <f>M185-$P185</f>
        <v/>
      </c>
      <c r="AD185" s="75">
        <f>N185-$P185</f>
        <v/>
      </c>
      <c r="AE185" s="75">
        <f>O185-$P185</f>
        <v/>
      </c>
    </row>
    <row r="186" ht="16" customHeight="1">
      <c r="B186" s="181" t="n">
        <v>45838</v>
      </c>
      <c r="C186" s="75">
        <f>AIRBUS!D181</f>
        <v/>
      </c>
      <c r="D186" s="75">
        <f>BNP!D181</f>
        <v/>
      </c>
      <c r="E186" s="75">
        <f>CAPGEMINI!D181</f>
        <v/>
      </c>
      <c r="F186" s="75">
        <f>DANONE!D181</f>
        <v/>
      </c>
      <c r="G186" s="75">
        <f>ENGIE!D181</f>
        <v/>
      </c>
      <c r="H186" s="75">
        <f>'HERMES INTL'!D181</f>
        <v/>
      </c>
      <c r="I186" s="75">
        <f>'PERNOD RICARD'!D181</f>
        <v/>
      </c>
      <c r="J186" s="75">
        <f>RENAULT!D181</f>
        <v/>
      </c>
      <c r="K186" s="75">
        <f>SANOFI!D181</f>
        <v/>
      </c>
      <c r="L186" s="75">
        <f>'SCHNEIDER ELECTRIC'!D181</f>
        <v/>
      </c>
      <c r="M186" s="75">
        <f>'TOTAL ENERGIES'!D181</f>
        <v/>
      </c>
      <c r="N186" s="75">
        <f>VINCI!D181</f>
        <v/>
      </c>
      <c r="O186" s="75">
        <f>MARKET!D181</f>
        <v/>
      </c>
      <c r="P186" s="103">
        <f>INTERBANK!D180</f>
        <v/>
      </c>
      <c r="R186" s="181" t="n">
        <v>45838</v>
      </c>
      <c r="S186" s="75">
        <f>C186-$P186</f>
        <v/>
      </c>
      <c r="T186" s="75">
        <f>D186-$P186</f>
        <v/>
      </c>
      <c r="U186" s="75">
        <f>E186-$P186</f>
        <v/>
      </c>
      <c r="V186" s="75">
        <f>F186-$P186</f>
        <v/>
      </c>
      <c r="W186" s="75">
        <f>G186-$P186</f>
        <v/>
      </c>
      <c r="X186" s="75">
        <f>H186-$P186</f>
        <v/>
      </c>
      <c r="Y186" s="75">
        <f>I186-$P186</f>
        <v/>
      </c>
      <c r="Z186" s="75">
        <f>J186-$P186</f>
        <v/>
      </c>
      <c r="AA186" s="75">
        <f>K186-$P186</f>
        <v/>
      </c>
      <c r="AB186" s="75">
        <f>L186-$P186</f>
        <v/>
      </c>
      <c r="AC186" s="75">
        <f>M186-$P186</f>
        <v/>
      </c>
      <c r="AD186" s="75">
        <f>N186-$P186</f>
        <v/>
      </c>
      <c r="AE186" s="75">
        <f>O186-$P186</f>
        <v/>
      </c>
    </row>
    <row r="187" ht="16" customHeight="1">
      <c r="B187" s="181" t="n">
        <v>45869</v>
      </c>
      <c r="C187" s="75">
        <f>AIRBUS!D182</f>
        <v/>
      </c>
      <c r="D187" s="75">
        <f>BNP!D182</f>
        <v/>
      </c>
      <c r="E187" s="75">
        <f>CAPGEMINI!D182</f>
        <v/>
      </c>
      <c r="F187" s="75">
        <f>DANONE!D182</f>
        <v/>
      </c>
      <c r="G187" s="75">
        <f>ENGIE!D182</f>
        <v/>
      </c>
      <c r="H187" s="75">
        <f>'HERMES INTL'!D182</f>
        <v/>
      </c>
      <c r="I187" s="75">
        <f>'PERNOD RICARD'!D182</f>
        <v/>
      </c>
      <c r="J187" s="75">
        <f>RENAULT!D182</f>
        <v/>
      </c>
      <c r="K187" s="75">
        <f>SANOFI!D182</f>
        <v/>
      </c>
      <c r="L187" s="75">
        <f>'SCHNEIDER ELECTRIC'!D182</f>
        <v/>
      </c>
      <c r="M187" s="75">
        <f>'TOTAL ENERGIES'!D182</f>
        <v/>
      </c>
      <c r="N187" s="75">
        <f>VINCI!D182</f>
        <v/>
      </c>
      <c r="O187" s="75">
        <f>MARKET!D182</f>
        <v/>
      </c>
      <c r="P187" s="103">
        <f>INTERBANK!D181</f>
        <v/>
      </c>
      <c r="R187" s="181" t="n">
        <v>45869</v>
      </c>
      <c r="S187" s="75">
        <f>C187-$P187</f>
        <v/>
      </c>
      <c r="T187" s="75">
        <f>D187-$P187</f>
        <v/>
      </c>
      <c r="U187" s="75">
        <f>E187-$P187</f>
        <v/>
      </c>
      <c r="V187" s="75">
        <f>F187-$P187</f>
        <v/>
      </c>
      <c r="W187" s="75">
        <f>G187-$P187</f>
        <v/>
      </c>
      <c r="X187" s="75">
        <f>H187-$P187</f>
        <v/>
      </c>
      <c r="Y187" s="75">
        <f>I187-$P187</f>
        <v/>
      </c>
      <c r="Z187" s="75">
        <f>J187-$P187</f>
        <v/>
      </c>
      <c r="AA187" s="75">
        <f>K187-$P187</f>
        <v/>
      </c>
      <c r="AB187" s="75">
        <f>L187-$P187</f>
        <v/>
      </c>
      <c r="AC187" s="75">
        <f>M187-$P187</f>
        <v/>
      </c>
      <c r="AD187" s="75">
        <f>N187-$P187</f>
        <v/>
      </c>
      <c r="AE187" s="75">
        <f>O187-$P187</f>
        <v/>
      </c>
    </row>
    <row r="188" ht="16" customHeight="1">
      <c r="B188" s="181" t="n">
        <v>45900</v>
      </c>
      <c r="C188" s="75">
        <f>AIRBUS!D183</f>
        <v/>
      </c>
      <c r="D188" s="75">
        <f>BNP!D183</f>
        <v/>
      </c>
      <c r="E188" s="75">
        <f>CAPGEMINI!D183</f>
        <v/>
      </c>
      <c r="F188" s="75">
        <f>DANONE!D183</f>
        <v/>
      </c>
      <c r="G188" s="75">
        <f>ENGIE!D183</f>
        <v/>
      </c>
      <c r="H188" s="75">
        <f>'HERMES INTL'!D183</f>
        <v/>
      </c>
      <c r="I188" s="75">
        <f>'PERNOD RICARD'!D183</f>
        <v/>
      </c>
      <c r="J188" s="75">
        <f>RENAULT!D183</f>
        <v/>
      </c>
      <c r="K188" s="75">
        <f>SANOFI!D183</f>
        <v/>
      </c>
      <c r="L188" s="75">
        <f>'SCHNEIDER ELECTRIC'!D183</f>
        <v/>
      </c>
      <c r="M188" s="75">
        <f>'TOTAL ENERGIES'!D183</f>
        <v/>
      </c>
      <c r="N188" s="75">
        <f>VINCI!D183</f>
        <v/>
      </c>
      <c r="O188" s="75">
        <f>MARKET!D183</f>
        <v/>
      </c>
      <c r="P188" s="103">
        <f>INTERBANK!D182</f>
        <v/>
      </c>
      <c r="R188" s="181" t="n">
        <v>45900</v>
      </c>
      <c r="S188" s="75">
        <f>C188-$P188</f>
        <v/>
      </c>
      <c r="T188" s="75">
        <f>D188-$P188</f>
        <v/>
      </c>
      <c r="U188" s="75">
        <f>E188-$P188</f>
        <v/>
      </c>
      <c r="V188" s="75">
        <f>F188-$P188</f>
        <v/>
      </c>
      <c r="W188" s="75">
        <f>G188-$P188</f>
        <v/>
      </c>
      <c r="X188" s="75">
        <f>H188-$P188</f>
        <v/>
      </c>
      <c r="Y188" s="75">
        <f>I188-$P188</f>
        <v/>
      </c>
      <c r="Z188" s="75">
        <f>J188-$P188</f>
        <v/>
      </c>
      <c r="AA188" s="75">
        <f>K188-$P188</f>
        <v/>
      </c>
      <c r="AB188" s="75">
        <f>L188-$P188</f>
        <v/>
      </c>
      <c r="AC188" s="75">
        <f>M188-$P188</f>
        <v/>
      </c>
      <c r="AD188" s="75">
        <f>N188-$P188</f>
        <v/>
      </c>
      <c r="AE188" s="75">
        <f>O188-$P188</f>
        <v/>
      </c>
    </row>
  </sheetData>
  <mergeCells count="13">
    <mergeCell ref="AE4:AE6"/>
    <mergeCell ref="AI3:AT3"/>
    <mergeCell ref="P4:P6"/>
    <mergeCell ref="O4:O6"/>
    <mergeCell ref="B2:P2"/>
    <mergeCell ref="R2:AF2"/>
    <mergeCell ref="AI19:AT19"/>
    <mergeCell ref="AI11:AT11"/>
    <mergeCell ref="AI2:AT2"/>
    <mergeCell ref="AI10:AT10"/>
    <mergeCell ref="C3:N3"/>
    <mergeCell ref="S3:AD3"/>
    <mergeCell ref="AI18:AT18"/>
  </mergeCells>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B2:D193"/>
  <sheetViews>
    <sheetView workbookViewId="0">
      <selection activeCell="N28" sqref="N28"/>
    </sheetView>
  </sheetViews>
  <sheetFormatPr baseColWidth="10" defaultColWidth="10.83203125" defaultRowHeight="15"/>
  <sheetData>
    <row r="2">
      <c r="B2" s="31" t="inlineStr">
        <is>
          <t>Date</t>
        </is>
      </c>
      <c r="C2" s="29" t="inlineStr">
        <is>
          <t>^FCHI</t>
        </is>
      </c>
      <c r="D2" s="29" t="inlineStr">
        <is>
          <t>Monthly Return</t>
        </is>
      </c>
    </row>
    <row r="3">
      <c r="B3" s="160" t="inlineStr">
        <is>
          <t>2010-08</t>
        </is>
      </c>
      <c r="C3" s="183" t="n">
        <v>3490.790039</v>
      </c>
      <c r="D3" s="84" t="n"/>
    </row>
    <row r="4">
      <c r="B4" s="160" t="inlineStr">
        <is>
          <t>2010-09</t>
        </is>
      </c>
      <c r="C4" s="183" t="n">
        <v>3715.179932</v>
      </c>
      <c r="D4" s="43" t="n">
        <v>0.0642805468</v>
      </c>
    </row>
    <row r="5">
      <c r="B5" s="160" t="inlineStr">
        <is>
          <t>2010-10</t>
        </is>
      </c>
      <c r="C5" s="183" t="n">
        <v>3833.5</v>
      </c>
      <c r="D5" s="43" t="n">
        <v>0.0318477357</v>
      </c>
    </row>
    <row r="6">
      <c r="B6" s="160" t="inlineStr">
        <is>
          <t>2010-11</t>
        </is>
      </c>
      <c r="C6" s="183" t="n">
        <v>3610.439941</v>
      </c>
      <c r="D6" s="43" t="n">
        <v>-0.0581870506</v>
      </c>
    </row>
    <row r="7">
      <c r="B7" s="160" t="inlineStr">
        <is>
          <t>2010-12</t>
        </is>
      </c>
      <c r="C7" s="183" t="n">
        <v>3804.780029</v>
      </c>
      <c r="D7" s="43" t="n">
        <v>0.0538272596</v>
      </c>
    </row>
    <row r="8">
      <c r="B8" s="160" t="inlineStr">
        <is>
          <t>2011-01</t>
        </is>
      </c>
      <c r="C8" s="183" t="n">
        <v>4005.5</v>
      </c>
      <c r="D8" s="43" t="n">
        <v>0.0527546847</v>
      </c>
    </row>
    <row r="9">
      <c r="B9" s="160" t="inlineStr">
        <is>
          <t>2011-02</t>
        </is>
      </c>
      <c r="C9" s="183" t="n">
        <v>4110.350098</v>
      </c>
      <c r="D9" s="43" t="n">
        <v>0.0261765317</v>
      </c>
    </row>
    <row r="10">
      <c r="B10" s="160" t="inlineStr">
        <is>
          <t>2011-03</t>
        </is>
      </c>
      <c r="C10" s="183" t="n">
        <v>3989.179932</v>
      </c>
      <c r="D10" s="43" t="n">
        <v>-0.0294792811</v>
      </c>
    </row>
    <row r="11">
      <c r="B11" s="160" t="inlineStr">
        <is>
          <t>2011-04</t>
        </is>
      </c>
      <c r="C11" s="183" t="n">
        <v>4106.919922</v>
      </c>
      <c r="D11" s="43" t="n">
        <v>0.0295148357</v>
      </c>
    </row>
    <row r="12">
      <c r="B12" s="160" t="inlineStr">
        <is>
          <t>2011-05</t>
        </is>
      </c>
      <c r="C12" s="183" t="n">
        <v>4006.939941</v>
      </c>
      <c r="D12" s="43" t="n">
        <v>-0.0243442732</v>
      </c>
    </row>
    <row r="13">
      <c r="B13" s="160" t="inlineStr">
        <is>
          <t>2011-06</t>
        </is>
      </c>
      <c r="C13" s="183" t="n">
        <v>3982.209961</v>
      </c>
      <c r="D13" s="43" t="n">
        <v>-0.0061717872</v>
      </c>
    </row>
    <row r="14">
      <c r="B14" s="160" t="inlineStr">
        <is>
          <t>2011-07</t>
        </is>
      </c>
      <c r="C14" s="183" t="n">
        <v>3672.77002</v>
      </c>
      <c r="D14" s="43" t="n">
        <v>-0.0777055817</v>
      </c>
    </row>
    <row r="15">
      <c r="B15" s="160" t="inlineStr">
        <is>
          <t>2011-08</t>
        </is>
      </c>
      <c r="C15" s="183" t="n">
        <v>3256.76001</v>
      </c>
      <c r="D15" s="43" t="n">
        <v>-0.1132687338</v>
      </c>
    </row>
    <row r="16">
      <c r="B16" s="160" t="inlineStr">
        <is>
          <t>2011-09</t>
        </is>
      </c>
      <c r="C16" s="183" t="n">
        <v>2981.959961</v>
      </c>
      <c r="D16" s="43" t="n">
        <v>-0.08437835389999999</v>
      </c>
    </row>
    <row r="17">
      <c r="B17" s="160" t="inlineStr">
        <is>
          <t>2011-10</t>
        </is>
      </c>
      <c r="C17" s="183" t="n">
        <v>3242.840088</v>
      </c>
      <c r="D17" s="43" t="n">
        <v>0.0874861267</v>
      </c>
    </row>
    <row r="18">
      <c r="B18" s="160" t="inlineStr">
        <is>
          <t>2011-11</t>
        </is>
      </c>
      <c r="C18" s="183" t="n">
        <v>3154.620117</v>
      </c>
      <c r="D18" s="43" t="n">
        <v>-0.0272045393</v>
      </c>
    </row>
    <row r="19">
      <c r="B19" s="160" t="inlineStr">
        <is>
          <t>2011-12</t>
        </is>
      </c>
      <c r="C19" s="183" t="n">
        <v>3159.810059</v>
      </c>
      <c r="D19" s="43" t="n">
        <v>0.0016451874</v>
      </c>
    </row>
    <row r="20">
      <c r="B20" s="160" t="inlineStr">
        <is>
          <t>2012-01</t>
        </is>
      </c>
      <c r="C20" s="183" t="n">
        <v>3298.550049</v>
      </c>
      <c r="D20" s="43" t="n">
        <v>0.0439076994</v>
      </c>
    </row>
    <row r="21">
      <c r="B21" s="160" t="inlineStr">
        <is>
          <t>2012-02</t>
        </is>
      </c>
      <c r="C21" s="183" t="n">
        <v>3452.449951</v>
      </c>
      <c r="D21" s="43" t="n">
        <v>0.0466568341</v>
      </c>
    </row>
    <row r="22">
      <c r="B22" s="160" t="inlineStr">
        <is>
          <t>2012-03</t>
        </is>
      </c>
      <c r="C22" s="183" t="n">
        <v>3423.810059</v>
      </c>
      <c r="D22" s="43" t="n">
        <v>-0.0082955272</v>
      </c>
    </row>
    <row r="23">
      <c r="B23" s="160" t="inlineStr">
        <is>
          <t>2012-04</t>
        </is>
      </c>
      <c r="C23" s="183" t="n">
        <v>3212.800049</v>
      </c>
      <c r="D23" s="43" t="n">
        <v>-0.061630174</v>
      </c>
    </row>
    <row r="24">
      <c r="B24" s="160" t="inlineStr">
        <is>
          <t>2012-05</t>
        </is>
      </c>
      <c r="C24" s="183" t="n">
        <v>3017.01001</v>
      </c>
      <c r="D24" s="43" t="n">
        <v>-0.0609406238</v>
      </c>
    </row>
    <row r="25">
      <c r="B25" s="160" t="inlineStr">
        <is>
          <t>2012-06</t>
        </is>
      </c>
      <c r="C25" s="183" t="n">
        <v>3196.649902</v>
      </c>
      <c r="D25" s="43" t="n">
        <v>0.0595423588</v>
      </c>
    </row>
    <row r="26">
      <c r="B26" s="160" t="inlineStr">
        <is>
          <t>2012-07</t>
        </is>
      </c>
      <c r="C26" s="183" t="n">
        <v>3291.659912</v>
      </c>
      <c r="D26" s="43" t="n">
        <v>0.0297217439</v>
      </c>
    </row>
    <row r="27">
      <c r="B27" s="160" t="inlineStr">
        <is>
          <t>2012-08</t>
        </is>
      </c>
      <c r="C27" s="183" t="n">
        <v>3413.070068</v>
      </c>
      <c r="D27" s="43" t="n">
        <v>0.0368841738</v>
      </c>
    </row>
    <row r="28">
      <c r="B28" s="160" t="inlineStr">
        <is>
          <t>2012-09</t>
        </is>
      </c>
      <c r="C28" s="183" t="n">
        <v>3354.820068</v>
      </c>
      <c r="D28" s="43" t="n">
        <v>-0.017066746</v>
      </c>
    </row>
    <row r="29">
      <c r="B29" s="160" t="inlineStr">
        <is>
          <t>2012-10</t>
        </is>
      </c>
      <c r="C29" s="183" t="n">
        <v>3429.27002</v>
      </c>
      <c r="D29" s="43" t="n">
        <v>0.0221919357</v>
      </c>
    </row>
    <row r="30">
      <c r="B30" s="160" t="inlineStr">
        <is>
          <t>2012-11</t>
        </is>
      </c>
      <c r="C30" s="183" t="n">
        <v>3557.280029</v>
      </c>
      <c r="D30" s="43" t="n">
        <v>0.0373286469</v>
      </c>
    </row>
    <row r="31">
      <c r="B31" s="160" t="inlineStr">
        <is>
          <t>2012-12</t>
        </is>
      </c>
      <c r="C31" s="183" t="n">
        <v>3641.070068</v>
      </c>
      <c r="D31" s="43" t="n">
        <v>0.0235545243</v>
      </c>
    </row>
    <row r="32">
      <c r="B32" s="160" t="inlineStr">
        <is>
          <t>2013-01</t>
        </is>
      </c>
      <c r="C32" s="183" t="n">
        <v>3732.600098</v>
      </c>
      <c r="D32" s="43" t="n">
        <v>0.0251382224</v>
      </c>
    </row>
    <row r="33">
      <c r="B33" s="160" t="inlineStr">
        <is>
          <t>2013-02</t>
        </is>
      </c>
      <c r="C33" s="183" t="n">
        <v>3723</v>
      </c>
      <c r="D33" s="43" t="n">
        <v>-0.0025719599</v>
      </c>
    </row>
    <row r="34">
      <c r="B34" s="160" t="inlineStr">
        <is>
          <t>2013-03</t>
        </is>
      </c>
      <c r="C34" s="183" t="n">
        <v>3731.419922</v>
      </c>
      <c r="D34" s="43" t="n">
        <v>0.002261596</v>
      </c>
    </row>
    <row r="35">
      <c r="B35" s="160" t="inlineStr">
        <is>
          <t>2013-04</t>
        </is>
      </c>
      <c r="C35" s="183" t="n">
        <v>3856.75</v>
      </c>
      <c r="D35" s="43" t="n">
        <v>0.0335877711</v>
      </c>
    </row>
    <row r="36">
      <c r="B36" s="160" t="inlineStr">
        <is>
          <t>2013-05</t>
        </is>
      </c>
      <c r="C36" s="183" t="n">
        <v>3948.590088</v>
      </c>
      <c r="D36" s="43" t="n">
        <v>0.0238128185</v>
      </c>
    </row>
    <row r="37">
      <c r="B37" s="160" t="inlineStr">
        <is>
          <t>2013-06</t>
        </is>
      </c>
      <c r="C37" s="183" t="n">
        <v>3738.909912</v>
      </c>
      <c r="D37" s="43" t="n">
        <v>-0.0531025432</v>
      </c>
    </row>
    <row r="38">
      <c r="B38" s="160" t="inlineStr">
        <is>
          <t>2013-07</t>
        </is>
      </c>
      <c r="C38" s="183" t="n">
        <v>3992.689941</v>
      </c>
      <c r="D38" s="43" t="n">
        <v>0.0678754063</v>
      </c>
    </row>
    <row r="39">
      <c r="B39" s="160" t="inlineStr">
        <is>
          <t>2013-08</t>
        </is>
      </c>
      <c r="C39" s="183" t="n">
        <v>3933.780029</v>
      </c>
      <c r="D39" s="43" t="n">
        <v>-0.014754442</v>
      </c>
    </row>
    <row r="40">
      <c r="B40" s="160" t="inlineStr">
        <is>
          <t>2013-09</t>
        </is>
      </c>
      <c r="C40" s="183" t="n">
        <v>4143.439941</v>
      </c>
      <c r="D40" s="43" t="n">
        <v>0.0532973147</v>
      </c>
    </row>
    <row r="41">
      <c r="B41" s="160" t="inlineStr">
        <is>
          <t>2013-10</t>
        </is>
      </c>
      <c r="C41" s="183" t="n">
        <v>4299.890137</v>
      </c>
      <c r="D41" s="43" t="n">
        <v>0.0377585285</v>
      </c>
    </row>
    <row r="42">
      <c r="B42" s="160" t="inlineStr">
        <is>
          <t>2013-11</t>
        </is>
      </c>
      <c r="C42" s="183" t="n">
        <v>4295.209961</v>
      </c>
      <c r="D42" s="43" t="n">
        <v>-0.0010884408</v>
      </c>
    </row>
    <row r="43">
      <c r="B43" s="160" t="inlineStr">
        <is>
          <t>2013-12</t>
        </is>
      </c>
      <c r="C43" s="183" t="n">
        <v>4295.950195</v>
      </c>
      <c r="D43" s="43" t="n">
        <v>0.0001723395</v>
      </c>
    </row>
    <row r="44">
      <c r="B44" s="160" t="inlineStr">
        <is>
          <t>2014-01</t>
        </is>
      </c>
      <c r="C44" s="183" t="n">
        <v>4165.720215</v>
      </c>
      <c r="D44" s="43" t="n">
        <v>-0.0303145927</v>
      </c>
    </row>
    <row r="45">
      <c r="B45" s="160" t="inlineStr">
        <is>
          <t>2014-02</t>
        </is>
      </c>
      <c r="C45" s="183" t="n">
        <v>4408.080078</v>
      </c>
      <c r="D45" s="43" t="n">
        <v>0.0581795826</v>
      </c>
    </row>
    <row r="46">
      <c r="B46" s="160" t="inlineStr">
        <is>
          <t>2014-03</t>
        </is>
      </c>
      <c r="C46" s="183" t="n">
        <v>4391.5</v>
      </c>
      <c r="D46" s="43" t="n">
        <v>-0.0037612924</v>
      </c>
    </row>
    <row r="47">
      <c r="B47" s="160" t="inlineStr">
        <is>
          <t>2014-04</t>
        </is>
      </c>
      <c r="C47" s="183" t="n">
        <v>4487.390137</v>
      </c>
      <c r="D47" s="43" t="n">
        <v>0.0218353949</v>
      </c>
    </row>
    <row r="48">
      <c r="B48" s="160" t="inlineStr">
        <is>
          <t>2014-05</t>
        </is>
      </c>
      <c r="C48" s="183" t="n">
        <v>4519.569824</v>
      </c>
      <c r="D48" s="43" t="n">
        <v>0.0071711366</v>
      </c>
    </row>
    <row r="49">
      <c r="B49" s="160" t="inlineStr">
        <is>
          <t>2014-06</t>
        </is>
      </c>
      <c r="C49" s="183" t="n">
        <v>4422.839844</v>
      </c>
      <c r="D49" s="43" t="n">
        <v>-0.0214024751</v>
      </c>
    </row>
    <row r="50">
      <c r="B50" s="160" t="inlineStr">
        <is>
          <t>2014-07</t>
        </is>
      </c>
      <c r="C50" s="183" t="n">
        <v>4246.140137</v>
      </c>
      <c r="D50" s="43" t="n">
        <v>-0.0399516404</v>
      </c>
    </row>
    <row r="51">
      <c r="B51" s="160" t="inlineStr">
        <is>
          <t>2014-08</t>
        </is>
      </c>
      <c r="C51" s="183" t="n">
        <v>4381.040039</v>
      </c>
      <c r="D51" s="43" t="n">
        <v>0.0317700071</v>
      </c>
    </row>
    <row r="52">
      <c r="B52" s="160" t="inlineStr">
        <is>
          <t>2014-09</t>
        </is>
      </c>
      <c r="C52" s="183" t="n">
        <v>4416.240234</v>
      </c>
      <c r="D52" s="43" t="n">
        <v>0.008034666399999999</v>
      </c>
    </row>
    <row r="53">
      <c r="B53" s="160" t="inlineStr">
        <is>
          <t>2014-10</t>
        </is>
      </c>
      <c r="C53" s="183" t="n">
        <v>4233.089844</v>
      </c>
      <c r="D53" s="43" t="n">
        <v>-0.0414720171</v>
      </c>
    </row>
    <row r="54">
      <c r="B54" s="160" t="inlineStr">
        <is>
          <t>2014-11</t>
        </is>
      </c>
      <c r="C54" s="183" t="n">
        <v>4390.180176</v>
      </c>
      <c r="D54" s="43" t="n">
        <v>0.0371100869</v>
      </c>
    </row>
    <row r="55">
      <c r="B55" s="160" t="inlineStr">
        <is>
          <t>2014-12</t>
        </is>
      </c>
      <c r="C55" s="183" t="n">
        <v>4272.75</v>
      </c>
      <c r="D55" s="43" t="n">
        <v>-0.0267483727</v>
      </c>
    </row>
    <row r="56">
      <c r="B56" s="160" t="inlineStr">
        <is>
          <t>2015-01</t>
        </is>
      </c>
      <c r="C56" s="183" t="n">
        <v>4604.25</v>
      </c>
      <c r="D56" s="43" t="n">
        <v>0.0775846937</v>
      </c>
    </row>
    <row r="57">
      <c r="B57" s="160" t="inlineStr">
        <is>
          <t>2015-02</t>
        </is>
      </c>
      <c r="C57" s="183" t="n">
        <v>4951.47998</v>
      </c>
      <c r="D57" s="43" t="n">
        <v>0.0754151014</v>
      </c>
    </row>
    <row r="58">
      <c r="B58" s="160" t="inlineStr">
        <is>
          <t>2015-03</t>
        </is>
      </c>
      <c r="C58" s="183" t="n">
        <v>5033.640137</v>
      </c>
      <c r="D58" s="43" t="n">
        <v>0.0165930503</v>
      </c>
    </row>
    <row r="59">
      <c r="B59" s="160" t="inlineStr">
        <is>
          <t>2015-04</t>
        </is>
      </c>
      <c r="C59" s="183" t="n">
        <v>5046.490234</v>
      </c>
      <c r="D59" s="43" t="n">
        <v>0.0025528439</v>
      </c>
    </row>
    <row r="60">
      <c r="B60" s="160" t="inlineStr">
        <is>
          <t>2015-05</t>
        </is>
      </c>
      <c r="C60" s="183" t="n">
        <v>5007.890137</v>
      </c>
      <c r="D60" s="43" t="n">
        <v>-0.0076488997</v>
      </c>
    </row>
    <row r="61">
      <c r="B61" s="160" t="inlineStr">
        <is>
          <t>2015-06</t>
        </is>
      </c>
      <c r="C61" s="183" t="n">
        <v>4790.200195</v>
      </c>
      <c r="D61" s="43" t="n">
        <v>-0.0434693924</v>
      </c>
    </row>
    <row r="62">
      <c r="B62" s="160" t="inlineStr">
        <is>
          <t>2015-07</t>
        </is>
      </c>
      <c r="C62" s="183" t="n">
        <v>5082.609863</v>
      </c>
      <c r="D62" s="43" t="n">
        <v>0.0610433084</v>
      </c>
    </row>
    <row r="63">
      <c r="B63" s="160" t="inlineStr">
        <is>
          <t>2015-08</t>
        </is>
      </c>
      <c r="C63" s="183" t="n">
        <v>4652.950195</v>
      </c>
      <c r="D63" s="43" t="n">
        <v>-0.0845352446</v>
      </c>
    </row>
    <row r="64">
      <c r="B64" s="160" t="inlineStr">
        <is>
          <t>2015-09</t>
        </is>
      </c>
      <c r="C64" s="183" t="n">
        <v>4455.290039</v>
      </c>
      <c r="D64" s="43" t="n">
        <v>-0.0424806086</v>
      </c>
    </row>
    <row r="65">
      <c r="B65" s="160" t="inlineStr">
        <is>
          <t>2015-10</t>
        </is>
      </c>
      <c r="C65" s="183" t="n">
        <v>4897.660156</v>
      </c>
      <c r="D65" s="43" t="n">
        <v>0.0992909807</v>
      </c>
    </row>
    <row r="66">
      <c r="B66" s="160" t="inlineStr">
        <is>
          <t>2015-11</t>
        </is>
      </c>
      <c r="C66" s="183" t="n">
        <v>4957.600098</v>
      </c>
      <c r="D66" s="43" t="n">
        <v>0.0122384852</v>
      </c>
    </row>
    <row r="67">
      <c r="B67" s="160" t="inlineStr">
        <is>
          <t>2015-12</t>
        </is>
      </c>
      <c r="C67" s="183" t="n">
        <v>4637.060059</v>
      </c>
      <c r="D67" s="43" t="n">
        <v>-0.0646562919</v>
      </c>
    </row>
    <row r="68">
      <c r="B68" s="160" t="inlineStr">
        <is>
          <t>2016-01</t>
        </is>
      </c>
      <c r="C68" s="183" t="n">
        <v>4417.02002</v>
      </c>
      <c r="D68" s="43" t="n">
        <v>-0.0474524885</v>
      </c>
    </row>
    <row r="69">
      <c r="B69" s="160" t="inlineStr">
        <is>
          <t>2016-02</t>
        </is>
      </c>
      <c r="C69" s="183" t="n">
        <v>4353.549805</v>
      </c>
      <c r="D69" s="43" t="n">
        <v>-0.0143694651</v>
      </c>
    </row>
    <row r="70">
      <c r="B70" s="160" t="inlineStr">
        <is>
          <t>2016-03</t>
        </is>
      </c>
      <c r="C70" s="183" t="n">
        <v>4385.060059</v>
      </c>
      <c r="D70" s="43" t="n">
        <v>0.0072378301</v>
      </c>
    </row>
    <row r="71">
      <c r="B71" s="160" t="inlineStr">
        <is>
          <t>2016-04</t>
        </is>
      </c>
      <c r="C71" s="183" t="n">
        <v>4428.959961</v>
      </c>
      <c r="D71" s="43" t="n">
        <v>0.0100112431</v>
      </c>
    </row>
    <row r="72">
      <c r="B72" s="160" t="inlineStr">
        <is>
          <t>2016-05</t>
        </is>
      </c>
      <c r="C72" s="183" t="n">
        <v>4505.620117</v>
      </c>
      <c r="D72" s="43" t="n">
        <v>0.0173088393</v>
      </c>
    </row>
    <row r="73">
      <c r="B73" s="160" t="inlineStr">
        <is>
          <t>2016-06</t>
        </is>
      </c>
      <c r="C73" s="183" t="n">
        <v>4237.47998</v>
      </c>
      <c r="D73" s="43" t="n">
        <v>-0.0595123712</v>
      </c>
    </row>
    <row r="74">
      <c r="B74" s="160" t="inlineStr">
        <is>
          <t>2016-07</t>
        </is>
      </c>
      <c r="C74" s="183" t="n">
        <v>4439.810059</v>
      </c>
      <c r="D74" s="43" t="n">
        <v>0.0477477366</v>
      </c>
    </row>
    <row r="75">
      <c r="B75" s="160" t="inlineStr">
        <is>
          <t>2016-08</t>
        </is>
      </c>
      <c r="C75" s="183" t="n">
        <v>4438.220215</v>
      </c>
      <c r="D75" s="43" t="n">
        <v>-0.0003580882</v>
      </c>
    </row>
    <row r="76">
      <c r="B76" s="160" t="inlineStr">
        <is>
          <t>2016-09</t>
        </is>
      </c>
      <c r="C76" s="183" t="n">
        <v>4448.259766</v>
      </c>
      <c r="D76" s="43" t="n">
        <v>0.0022620668</v>
      </c>
    </row>
    <row r="77">
      <c r="B77" s="160" t="inlineStr">
        <is>
          <t>2016-10</t>
        </is>
      </c>
      <c r="C77" s="183" t="n">
        <v>4509.259766</v>
      </c>
      <c r="D77" s="43" t="n">
        <v>0.0137132279</v>
      </c>
    </row>
    <row r="78">
      <c r="B78" s="160" t="inlineStr">
        <is>
          <t>2016-11</t>
        </is>
      </c>
      <c r="C78" s="183" t="n">
        <v>4578.339844</v>
      </c>
      <c r="D78" s="43" t="n">
        <v>0.0153196049</v>
      </c>
    </row>
    <row r="79">
      <c r="B79" s="160" t="inlineStr">
        <is>
          <t>2016-12</t>
        </is>
      </c>
      <c r="C79" s="183" t="n">
        <v>4862.310059</v>
      </c>
      <c r="D79" s="43" t="n">
        <v>0.062024713</v>
      </c>
    </row>
    <row r="80">
      <c r="B80" s="160" t="inlineStr">
        <is>
          <t>2017-01</t>
        </is>
      </c>
      <c r="C80" s="183" t="n">
        <v>4748.899902</v>
      </c>
      <c r="D80" s="43" t="n">
        <v>-0.0233243366</v>
      </c>
    </row>
    <row r="81">
      <c r="B81" s="160" t="inlineStr">
        <is>
          <t>2017-02</t>
        </is>
      </c>
      <c r="C81" s="183" t="n">
        <v>4858.580078</v>
      </c>
      <c r="D81" s="43" t="n">
        <v>0.0230959123</v>
      </c>
    </row>
    <row r="82">
      <c r="B82" s="160" t="inlineStr">
        <is>
          <t>2017-03</t>
        </is>
      </c>
      <c r="C82" s="183" t="n">
        <v>5122.509766</v>
      </c>
      <c r="D82" s="43" t="n">
        <v>0.0543223912</v>
      </c>
    </row>
    <row r="83">
      <c r="B83" s="160" t="inlineStr">
        <is>
          <t>2017-04</t>
        </is>
      </c>
      <c r="C83" s="183" t="n">
        <v>5267.330078</v>
      </c>
      <c r="D83" s="43" t="n">
        <v>0.028271359</v>
      </c>
    </row>
    <row r="84">
      <c r="B84" s="160" t="inlineStr">
        <is>
          <t>2017-05</t>
        </is>
      </c>
      <c r="C84" s="183" t="n">
        <v>5283.629883</v>
      </c>
      <c r="D84" s="43" t="n">
        <v>0.0030945098</v>
      </c>
    </row>
    <row r="85">
      <c r="B85" s="160" t="inlineStr">
        <is>
          <t>2017-06</t>
        </is>
      </c>
      <c r="C85" s="183" t="n">
        <v>5120.680176</v>
      </c>
      <c r="D85" s="43" t="n">
        <v>-0.0308404848</v>
      </c>
    </row>
    <row r="86">
      <c r="B86" s="160" t="inlineStr">
        <is>
          <t>2017-07</t>
        </is>
      </c>
      <c r="C86" s="183" t="n">
        <v>5093.77002</v>
      </c>
      <c r="D86" s="43" t="n">
        <v>-0.0052551918</v>
      </c>
    </row>
    <row r="87">
      <c r="B87" s="160" t="inlineStr">
        <is>
          <t>2017-08</t>
        </is>
      </c>
      <c r="C87" s="183" t="n">
        <v>5085.589844</v>
      </c>
      <c r="D87" s="43" t="n">
        <v>-0.0016059178</v>
      </c>
    </row>
    <row r="88">
      <c r="B88" s="160" t="inlineStr">
        <is>
          <t>2017-09</t>
        </is>
      </c>
      <c r="C88" s="183" t="n">
        <v>5329.810059</v>
      </c>
      <c r="D88" s="43" t="n">
        <v>0.0480220038</v>
      </c>
    </row>
    <row r="89">
      <c r="B89" s="160" t="inlineStr">
        <is>
          <t>2017-10</t>
        </is>
      </c>
      <c r="C89" s="183" t="n">
        <v>5503.290039</v>
      </c>
      <c r="D89" s="43" t="n">
        <v>0.0325489987</v>
      </c>
    </row>
    <row r="90">
      <c r="B90" s="160" t="inlineStr">
        <is>
          <t>2017-11</t>
        </is>
      </c>
      <c r="C90" s="183" t="n">
        <v>5372.790039</v>
      </c>
      <c r="D90" s="43" t="n">
        <v>-0.0237130878</v>
      </c>
    </row>
    <row r="91">
      <c r="B91" s="160" t="inlineStr">
        <is>
          <t>2017-12</t>
        </is>
      </c>
      <c r="C91" s="183" t="n">
        <v>5312.560059</v>
      </c>
      <c r="D91" s="43" t="n">
        <v>-0.0112101869</v>
      </c>
    </row>
    <row r="92">
      <c r="B92" s="160" t="inlineStr">
        <is>
          <t>2018-01</t>
        </is>
      </c>
      <c r="C92" s="183" t="n">
        <v>5481.930176</v>
      </c>
      <c r="D92" s="43" t="n">
        <v>0.0318810734</v>
      </c>
    </row>
    <row r="93">
      <c r="B93" s="160" t="inlineStr">
        <is>
          <t>2018-02</t>
        </is>
      </c>
      <c r="C93" s="183" t="n">
        <v>5320.490234</v>
      </c>
      <c r="D93" s="43" t="n">
        <v>-0.0294494706</v>
      </c>
    </row>
    <row r="94">
      <c r="B94" s="160" t="inlineStr">
        <is>
          <t>2018-03</t>
        </is>
      </c>
      <c r="C94" s="183" t="n">
        <v>5167.299805</v>
      </c>
      <c r="D94" s="43" t="n">
        <v>-0.0287925403</v>
      </c>
    </row>
    <row r="95">
      <c r="B95" s="160" t="inlineStr">
        <is>
          <t>2018-04</t>
        </is>
      </c>
      <c r="C95" s="183" t="n">
        <v>5520.5</v>
      </c>
      <c r="D95" s="43" t="n">
        <v>0.06835295199999999</v>
      </c>
    </row>
    <row r="96">
      <c r="B96" s="160" t="inlineStr">
        <is>
          <t>2018-05</t>
        </is>
      </c>
      <c r="C96" s="183" t="n">
        <v>5398.399902</v>
      </c>
      <c r="D96" s="43" t="n">
        <v>-0.0221175795</v>
      </c>
    </row>
    <row r="97">
      <c r="B97" s="160" t="inlineStr">
        <is>
          <t>2018-06</t>
        </is>
      </c>
      <c r="C97" s="183" t="n">
        <v>5323.529785</v>
      </c>
      <c r="D97" s="43" t="n">
        <v>-0.0138689461</v>
      </c>
    </row>
    <row r="98">
      <c r="B98" s="160" t="inlineStr">
        <is>
          <t>2018-07</t>
        </is>
      </c>
      <c r="C98" s="183" t="n">
        <v>5511.299805</v>
      </c>
      <c r="D98" s="43" t="n">
        <v>0.0352717139</v>
      </c>
    </row>
    <row r="99">
      <c r="B99" s="160" t="inlineStr">
        <is>
          <t>2018-08</t>
        </is>
      </c>
      <c r="C99" s="183" t="n">
        <v>5406.850098</v>
      </c>
      <c r="D99" s="43" t="n">
        <v>-0.0189519189</v>
      </c>
    </row>
    <row r="100">
      <c r="B100" s="160" t="inlineStr">
        <is>
          <t>2018-09</t>
        </is>
      </c>
      <c r="C100" s="183" t="n">
        <v>5493.490234</v>
      </c>
      <c r="D100" s="43" t="n">
        <v>0.0160241426</v>
      </c>
    </row>
    <row r="101">
      <c r="B101" s="160" t="inlineStr">
        <is>
          <t>2018-10</t>
        </is>
      </c>
      <c r="C101" s="183" t="n">
        <v>5093.439941</v>
      </c>
      <c r="D101" s="43" t="n">
        <v>-0.07282260929999999</v>
      </c>
    </row>
    <row r="102">
      <c r="B102" s="160" t="inlineStr">
        <is>
          <t>2018-11</t>
        </is>
      </c>
      <c r="C102" s="183" t="n">
        <v>5003.919922</v>
      </c>
      <c r="D102" s="43" t="n">
        <v>-0.0175755522</v>
      </c>
    </row>
    <row r="103">
      <c r="B103" s="160" t="inlineStr">
        <is>
          <t>2018-12</t>
        </is>
      </c>
      <c r="C103" s="183" t="n">
        <v>4730.689941</v>
      </c>
      <c r="D103" s="43" t="n">
        <v>-0.054603188</v>
      </c>
    </row>
    <row r="104">
      <c r="B104" s="160" t="inlineStr">
        <is>
          <t>2019-01</t>
        </is>
      </c>
      <c r="C104" s="183" t="n">
        <v>4992.720215</v>
      </c>
      <c r="D104" s="43" t="n">
        <v>0.0553894414</v>
      </c>
    </row>
    <row r="105">
      <c r="B105" s="160" t="inlineStr">
        <is>
          <t>2019-02</t>
        </is>
      </c>
      <c r="C105" s="183" t="n">
        <v>5240.529785</v>
      </c>
      <c r="D105" s="43" t="n">
        <v>0.0496341793</v>
      </c>
    </row>
    <row r="106">
      <c r="B106" s="160" t="inlineStr">
        <is>
          <t>2019-03</t>
        </is>
      </c>
      <c r="C106" s="183" t="n">
        <v>5350.529785</v>
      </c>
      <c r="D106" s="43" t="n">
        <v>0.0209902442</v>
      </c>
    </row>
    <row r="107">
      <c r="B107" s="160" t="inlineStr">
        <is>
          <t>2019-04</t>
        </is>
      </c>
      <c r="C107" s="183" t="n">
        <v>5586.410156</v>
      </c>
      <c r="D107" s="43" t="n">
        <v>0.0440854234</v>
      </c>
    </row>
    <row r="108">
      <c r="B108" s="160" t="inlineStr">
        <is>
          <t>2019-05</t>
        </is>
      </c>
      <c r="C108" s="183" t="n">
        <v>5207.629883</v>
      </c>
      <c r="D108" s="43" t="n">
        <v>-0.06780387810000001</v>
      </c>
    </row>
    <row r="109">
      <c r="B109" s="160" t="inlineStr">
        <is>
          <t>2019-06</t>
        </is>
      </c>
      <c r="C109" s="183" t="n">
        <v>5538.970215</v>
      </c>
      <c r="D109" s="43" t="n">
        <v>0.0636259372</v>
      </c>
    </row>
    <row r="110">
      <c r="B110" s="160" t="inlineStr">
        <is>
          <t>2019-07</t>
        </is>
      </c>
      <c r="C110" s="183" t="n">
        <v>5518.899902</v>
      </c>
      <c r="D110" s="43" t="n">
        <v>-0.0036234736</v>
      </c>
    </row>
    <row r="111">
      <c r="B111" s="160" t="inlineStr">
        <is>
          <t>2019-08</t>
        </is>
      </c>
      <c r="C111" s="183" t="n">
        <v>5480.47998</v>
      </c>
      <c r="D111" s="43" t="n">
        <v>-0.0069615182</v>
      </c>
    </row>
    <row r="112">
      <c r="B112" s="160" t="inlineStr">
        <is>
          <t>2019-09</t>
        </is>
      </c>
      <c r="C112" s="183" t="n">
        <v>5677.790039</v>
      </c>
      <c r="D112" s="43" t="n">
        <v>0.0360023318</v>
      </c>
    </row>
    <row r="113">
      <c r="B113" s="160" t="inlineStr">
        <is>
          <t>2019-10</t>
        </is>
      </c>
      <c r="C113" s="183" t="n">
        <v>5729.859863</v>
      </c>
      <c r="D113" s="43" t="n">
        <v>0.009170790700000001</v>
      </c>
    </row>
    <row r="114">
      <c r="B114" s="160" t="inlineStr">
        <is>
          <t>2019-11</t>
        </is>
      </c>
      <c r="C114" s="183" t="n">
        <v>5905.169922</v>
      </c>
      <c r="D114" s="43" t="n">
        <v>0.0305958719</v>
      </c>
    </row>
    <row r="115">
      <c r="B115" s="160" t="inlineStr">
        <is>
          <t>2019-12</t>
        </is>
      </c>
      <c r="C115" s="183" t="n">
        <v>5978.060059</v>
      </c>
      <c r="D115" s="43" t="n">
        <v>0.0123434444</v>
      </c>
    </row>
    <row r="116">
      <c r="B116" s="160" t="inlineStr">
        <is>
          <t>2020-01</t>
        </is>
      </c>
      <c r="C116" s="183" t="n">
        <v>5806.339844</v>
      </c>
      <c r="D116" s="43" t="n">
        <v>-0.0287250735</v>
      </c>
    </row>
    <row r="117">
      <c r="B117" s="160" t="inlineStr">
        <is>
          <t>2020-02</t>
        </is>
      </c>
      <c r="C117" s="183" t="n">
        <v>5309.899902</v>
      </c>
      <c r="D117" s="43" t="n">
        <v>-0.08549963570000001</v>
      </c>
    </row>
    <row r="118">
      <c r="B118" s="160" t="inlineStr">
        <is>
          <t>2020-03</t>
        </is>
      </c>
      <c r="C118" s="183" t="n">
        <v>4396.120117</v>
      </c>
      <c r="D118" s="43" t="n">
        <v>-0.1720898326</v>
      </c>
    </row>
    <row r="119">
      <c r="B119" s="160" t="inlineStr">
        <is>
          <t>2020-04</t>
        </is>
      </c>
      <c r="C119" s="183" t="n">
        <v>4572.180176</v>
      </c>
      <c r="D119" s="43" t="n">
        <v>0.0400489645</v>
      </c>
    </row>
    <row r="120">
      <c r="B120" s="160" t="inlineStr">
        <is>
          <t>2020-05</t>
        </is>
      </c>
      <c r="C120" s="183" t="n">
        <v>4695.439941</v>
      </c>
      <c r="D120" s="43" t="n">
        <v>0.0269586414</v>
      </c>
    </row>
    <row r="121">
      <c r="B121" s="160" t="inlineStr">
        <is>
          <t>2020-06</t>
        </is>
      </c>
      <c r="C121" s="183" t="n">
        <v>4935.990234</v>
      </c>
      <c r="D121" s="43" t="n">
        <v>0.0512306186</v>
      </c>
    </row>
    <row r="122">
      <c r="B122" s="160" t="inlineStr">
        <is>
          <t>2020-07</t>
        </is>
      </c>
      <c r="C122" s="183" t="n">
        <v>4783.689941</v>
      </c>
      <c r="D122" s="43" t="n">
        <v>-0.0308550637</v>
      </c>
    </row>
    <row r="123">
      <c r="B123" s="160" t="inlineStr">
        <is>
          <t>2020-08</t>
        </is>
      </c>
      <c r="C123" s="183" t="n">
        <v>4947.220215</v>
      </c>
      <c r="D123" s="43" t="n">
        <v>0.034184965</v>
      </c>
    </row>
    <row r="124">
      <c r="B124" s="160" t="inlineStr">
        <is>
          <t>2020-09</t>
        </is>
      </c>
      <c r="C124" s="183" t="n">
        <v>4803.439941</v>
      </c>
      <c r="D124" s="43" t="n">
        <v>-0.0290628408</v>
      </c>
    </row>
    <row r="125">
      <c r="B125" s="160" t="inlineStr">
        <is>
          <t>2020-10</t>
        </is>
      </c>
      <c r="C125" s="183" t="n">
        <v>4594.240234</v>
      </c>
      <c r="D125" s="43" t="n">
        <v>-0.0435520605</v>
      </c>
    </row>
    <row r="126">
      <c r="B126" s="160" t="inlineStr">
        <is>
          <t>2020-11</t>
        </is>
      </c>
      <c r="C126" s="183" t="n">
        <v>5518.549805</v>
      </c>
      <c r="D126" s="43" t="n">
        <v>0.2011887762</v>
      </c>
    </row>
    <row r="127">
      <c r="B127" s="160" t="inlineStr">
        <is>
          <t>2020-12</t>
        </is>
      </c>
      <c r="C127" s="183" t="n">
        <v>5551.410156</v>
      </c>
      <c r="D127" s="43" t="n">
        <v>0.0059545266</v>
      </c>
    </row>
    <row r="128">
      <c r="B128" s="160" t="inlineStr">
        <is>
          <t>2021-01</t>
        </is>
      </c>
      <c r="C128" s="183" t="n">
        <v>5399.209961</v>
      </c>
      <c r="D128" s="43" t="n">
        <v>-0.0274164926</v>
      </c>
    </row>
    <row r="129">
      <c r="B129" s="160" t="inlineStr">
        <is>
          <t>2021-02</t>
        </is>
      </c>
      <c r="C129" s="183" t="n">
        <v>5703.220215</v>
      </c>
      <c r="D129" s="43" t="n">
        <v>0.056306433</v>
      </c>
    </row>
    <row r="130">
      <c r="B130" s="160" t="inlineStr">
        <is>
          <t>2021-03</t>
        </is>
      </c>
      <c r="C130" s="183" t="n">
        <v>6067.22998</v>
      </c>
      <c r="D130" s="43" t="n">
        <v>0.0638253043</v>
      </c>
    </row>
    <row r="131">
      <c r="B131" s="160" t="inlineStr">
        <is>
          <t>2021-04</t>
        </is>
      </c>
      <c r="C131" s="183" t="n">
        <v>6269.47998</v>
      </c>
      <c r="D131" s="43" t="n">
        <v>0.0333348168</v>
      </c>
    </row>
    <row r="132">
      <c r="B132" s="160" t="inlineStr">
        <is>
          <t>2021-05</t>
        </is>
      </c>
      <c r="C132" s="183" t="n">
        <v>6447.169922</v>
      </c>
      <c r="D132" s="43" t="n">
        <v>0.0283420542</v>
      </c>
    </row>
    <row r="133">
      <c r="B133" s="160" t="inlineStr">
        <is>
          <t>2021-06</t>
        </is>
      </c>
      <c r="C133" s="183" t="n">
        <v>6507.830078</v>
      </c>
      <c r="D133" s="43" t="n">
        <v>0.009408803699999999</v>
      </c>
    </row>
    <row r="134">
      <c r="B134" s="160" t="inlineStr">
        <is>
          <t>2021-07</t>
        </is>
      </c>
      <c r="C134" s="183" t="n">
        <v>6612.759766</v>
      </c>
      <c r="D134" s="43" t="n">
        <v>0.0161236059</v>
      </c>
    </row>
    <row r="135">
      <c r="B135" s="160" t="inlineStr">
        <is>
          <t>2021-08</t>
        </is>
      </c>
      <c r="C135" s="183" t="n">
        <v>6680.180176</v>
      </c>
      <c r="D135" s="43" t="n">
        <v>0.0101955027</v>
      </c>
    </row>
    <row r="136">
      <c r="B136" s="160" t="inlineStr">
        <is>
          <t>2021-09</t>
        </is>
      </c>
      <c r="C136" s="183" t="n">
        <v>6520.009766</v>
      </c>
      <c r="D136" s="43" t="n">
        <v>-0.0239769596</v>
      </c>
    </row>
    <row r="137">
      <c r="B137" s="160" t="inlineStr">
        <is>
          <t>2021-10</t>
        </is>
      </c>
      <c r="C137" s="183" t="n">
        <v>6830.339844</v>
      </c>
      <c r="D137" s="43" t="n">
        <v>0.0475965665</v>
      </c>
    </row>
    <row r="138">
      <c r="B138" s="160" t="inlineStr">
        <is>
          <t>2021-11</t>
        </is>
      </c>
      <c r="C138" s="183" t="n">
        <v>6721.160156</v>
      </c>
      <c r="D138" s="43" t="n">
        <v>-0.0159845176</v>
      </c>
    </row>
    <row r="139">
      <c r="B139" s="160" t="inlineStr">
        <is>
          <t>2021-12</t>
        </is>
      </c>
      <c r="C139" s="183" t="n">
        <v>7153.029785</v>
      </c>
      <c r="D139" s="43" t="n">
        <v>0.0642552207</v>
      </c>
    </row>
    <row r="140">
      <c r="B140" s="160" t="inlineStr">
        <is>
          <t>2022-01</t>
        </is>
      </c>
      <c r="C140" s="183" t="n">
        <v>6999.200195</v>
      </c>
      <c r="D140" s="43" t="n">
        <v>-0.0215055151</v>
      </c>
    </row>
    <row r="141">
      <c r="B141" s="160" t="inlineStr">
        <is>
          <t>2022-02</t>
        </is>
      </c>
      <c r="C141" s="183" t="n">
        <v>6658.830078</v>
      </c>
      <c r="D141" s="43" t="n">
        <v>-0.0486298588</v>
      </c>
    </row>
    <row r="142">
      <c r="B142" s="160" t="inlineStr">
        <is>
          <t>2022-03</t>
        </is>
      </c>
      <c r="C142" s="183" t="n">
        <v>6659.870117</v>
      </c>
      <c r="D142" s="43" t="n">
        <v>0.0001561895</v>
      </c>
    </row>
    <row r="143">
      <c r="B143" s="160" t="inlineStr">
        <is>
          <t>2022-04</t>
        </is>
      </c>
      <c r="C143" s="183" t="n">
        <v>6533.77002</v>
      </c>
      <c r="D143" s="43" t="n">
        <v>-0.0189343179</v>
      </c>
    </row>
    <row r="144">
      <c r="B144" s="160" t="inlineStr">
        <is>
          <t>2022-05</t>
        </is>
      </c>
      <c r="C144" s="183" t="n">
        <v>6468.799805</v>
      </c>
      <c r="D144" s="43" t="n">
        <v>-0.009943756</v>
      </c>
    </row>
    <row r="145">
      <c r="B145" s="160" t="inlineStr">
        <is>
          <t>2022-06</t>
        </is>
      </c>
      <c r="C145" s="183" t="n">
        <v>5922.859863</v>
      </c>
      <c r="D145" s="43" t="n">
        <v>-0.08439586289999999</v>
      </c>
    </row>
    <row r="146">
      <c r="B146" s="160" t="inlineStr">
        <is>
          <t>2022-07</t>
        </is>
      </c>
      <c r="C146" s="183" t="n">
        <v>6448.5</v>
      </c>
      <c r="D146" s="43" t="n">
        <v>0.088747691</v>
      </c>
    </row>
    <row r="147">
      <c r="B147" s="160" t="inlineStr">
        <is>
          <t>2022-08</t>
        </is>
      </c>
      <c r="C147" s="183" t="n">
        <v>6125.100098</v>
      </c>
      <c r="D147" s="43" t="n">
        <v>-0.0501511828</v>
      </c>
    </row>
    <row r="148">
      <c r="B148" s="160" t="inlineStr">
        <is>
          <t>2022-09</t>
        </is>
      </c>
      <c r="C148" s="183" t="n">
        <v>5762.339844</v>
      </c>
      <c r="D148" s="43" t="n">
        <v>-0.059225196</v>
      </c>
    </row>
    <row r="149">
      <c r="B149" s="160" t="inlineStr">
        <is>
          <t>2022-10</t>
        </is>
      </c>
      <c r="C149" s="183" t="n">
        <v>6266.77002</v>
      </c>
      <c r="D149" s="43" t="n">
        <v>0.0875391229</v>
      </c>
    </row>
    <row r="150">
      <c r="B150" s="160" t="inlineStr">
        <is>
          <t>2022-11</t>
        </is>
      </c>
      <c r="C150" s="183" t="n">
        <v>6738.549805</v>
      </c>
      <c r="D150" s="43" t="n">
        <v>0.0752827667</v>
      </c>
    </row>
    <row r="151">
      <c r="B151" s="160" t="inlineStr">
        <is>
          <t>2022-12</t>
        </is>
      </c>
      <c r="C151" s="183" t="n">
        <v>6473.759766</v>
      </c>
      <c r="D151" s="43" t="n">
        <v>-0.0392948107</v>
      </c>
    </row>
    <row r="152">
      <c r="B152" s="160" t="inlineStr">
        <is>
          <t>2023-01</t>
        </is>
      </c>
      <c r="C152" s="183" t="n">
        <v>7082.419922</v>
      </c>
      <c r="D152" s="43" t="n">
        <v>0.0940195772</v>
      </c>
    </row>
    <row r="153">
      <c r="B153" s="160" t="inlineStr">
        <is>
          <t>2023-02</t>
        </is>
      </c>
      <c r="C153" s="183" t="n">
        <v>7267.930176</v>
      </c>
      <c r="D153" s="43" t="n">
        <v>0.0261930606</v>
      </c>
    </row>
    <row r="154">
      <c r="B154" s="160" t="inlineStr">
        <is>
          <t>2023-03</t>
        </is>
      </c>
      <c r="C154" s="183" t="n">
        <v>7322.390137</v>
      </c>
      <c r="D154" s="43" t="n">
        <v>0.0074931871</v>
      </c>
    </row>
    <row r="155">
      <c r="B155" s="160" t="inlineStr">
        <is>
          <t>2023-04</t>
        </is>
      </c>
      <c r="C155" s="183" t="n">
        <v>7491.5</v>
      </c>
      <c r="D155" s="43" t="n">
        <v>0.0230948994</v>
      </c>
    </row>
    <row r="156">
      <c r="B156" s="160" t="inlineStr">
        <is>
          <t>2023-05</t>
        </is>
      </c>
      <c r="C156" s="183" t="n">
        <v>7098.700195</v>
      </c>
      <c r="D156" s="43" t="n">
        <v>-0.0524327311</v>
      </c>
    </row>
    <row r="157">
      <c r="B157" s="160" t="inlineStr">
        <is>
          <t>2023-06</t>
        </is>
      </c>
      <c r="C157" s="183" t="n">
        <v>7400.060059</v>
      </c>
      <c r="D157" s="43" t="n">
        <v>0.0424528231</v>
      </c>
    </row>
    <row r="158">
      <c r="B158" s="160" t="inlineStr">
        <is>
          <t>2023-07</t>
        </is>
      </c>
      <c r="C158" s="183" t="n">
        <v>7497.779785</v>
      </c>
      <c r="D158" s="43" t="n">
        <v>0.0132052613</v>
      </c>
    </row>
    <row r="159">
      <c r="B159" s="160" t="inlineStr">
        <is>
          <t>2023-08</t>
        </is>
      </c>
      <c r="C159" s="183" t="n">
        <v>7316.700195</v>
      </c>
      <c r="D159" s="43" t="n">
        <v>-0.0241510947</v>
      </c>
    </row>
    <row r="160">
      <c r="B160" s="160" t="inlineStr">
        <is>
          <t>2023-09</t>
        </is>
      </c>
      <c r="C160" s="183" t="n">
        <v>7135.060059</v>
      </c>
      <c r="D160" s="43" t="n">
        <v>-0.0248254175</v>
      </c>
    </row>
    <row r="161">
      <c r="B161" s="160" t="inlineStr">
        <is>
          <t>2023-10</t>
        </is>
      </c>
      <c r="C161" s="183" t="n">
        <v>6885.649902</v>
      </c>
      <c r="D161" s="43" t="n">
        <v>-0.0349555791</v>
      </c>
    </row>
    <row r="162">
      <c r="B162" s="160" t="inlineStr">
        <is>
          <t>2023-11</t>
        </is>
      </c>
      <c r="C162" s="183" t="n">
        <v>7310.77002</v>
      </c>
      <c r="D162" s="43" t="n">
        <v>0.0617400134</v>
      </c>
    </row>
    <row r="163">
      <c r="B163" s="160" t="inlineStr">
        <is>
          <t>2023-12</t>
        </is>
      </c>
      <c r="C163" s="183" t="n">
        <v>7543.180176</v>
      </c>
      <c r="D163" s="43" t="n">
        <v>0.0317901063</v>
      </c>
    </row>
    <row r="164">
      <c r="B164" s="160" t="inlineStr">
        <is>
          <t>2024-01</t>
        </is>
      </c>
      <c r="C164" s="183" t="n">
        <v>7656.75</v>
      </c>
      <c r="D164" s="43" t="n">
        <v>0.0150559607</v>
      </c>
    </row>
    <row r="165">
      <c r="B165" s="160" t="inlineStr">
        <is>
          <t>2024-02</t>
        </is>
      </c>
      <c r="C165" s="183" t="n">
        <v>7927.430176</v>
      </c>
      <c r="D165" s="43" t="n">
        <v>0.0353518367</v>
      </c>
    </row>
    <row r="166">
      <c r="B166" s="160" t="inlineStr">
        <is>
          <t>2024-03</t>
        </is>
      </c>
      <c r="C166" s="183" t="n">
        <v>8205.809569999999</v>
      </c>
      <c r="D166" s="43" t="n">
        <v>0.0351159693</v>
      </c>
    </row>
    <row r="167">
      <c r="B167" s="160" t="inlineStr">
        <is>
          <t>2024-04</t>
        </is>
      </c>
      <c r="C167" s="183" t="n">
        <v>7984.930176</v>
      </c>
      <c r="D167" s="43" t="n">
        <v>-0.0269174409</v>
      </c>
    </row>
    <row r="168">
      <c r="B168" s="160" t="inlineStr">
        <is>
          <t>2024-05</t>
        </is>
      </c>
      <c r="C168" s="183" t="n">
        <v>7992.870117</v>
      </c>
      <c r="D168" s="43" t="n">
        <v>0.0009943657999999999</v>
      </c>
    </row>
    <row r="169">
      <c r="B169" s="160" t="inlineStr">
        <is>
          <t>2024-06</t>
        </is>
      </c>
      <c r="C169" s="183" t="n">
        <v>7479.399902</v>
      </c>
      <c r="D169" s="43" t="n">
        <v>-0.06424103070000001</v>
      </c>
    </row>
    <row r="170">
      <c r="B170" s="160" t="inlineStr">
        <is>
          <t>2024-07</t>
        </is>
      </c>
      <c r="C170" s="183" t="n">
        <v>7531.490234</v>
      </c>
      <c r="D170" s="43" t="n">
        <v>0.0069645069</v>
      </c>
    </row>
    <row r="171">
      <c r="B171" s="160" t="inlineStr">
        <is>
          <t>2024-08</t>
        </is>
      </c>
      <c r="C171" s="183" t="n">
        <v>7630.950195</v>
      </c>
      <c r="D171" s="43" t="n">
        <v>0.0132058806</v>
      </c>
    </row>
    <row r="172">
      <c r="B172" s="160" t="inlineStr">
        <is>
          <t>2024-09</t>
        </is>
      </c>
      <c r="C172" s="183" t="n">
        <v>7635.75</v>
      </c>
      <c r="D172" s="43" t="n">
        <v>0.0006289917</v>
      </c>
    </row>
    <row r="173">
      <c r="B173" s="160" t="inlineStr">
        <is>
          <t>2024-10</t>
        </is>
      </c>
      <c r="C173" s="183" t="n">
        <v>7350.370117</v>
      </c>
      <c r="D173" s="43" t="n">
        <v>-0.0373741784</v>
      </c>
    </row>
    <row r="174">
      <c r="B174" s="160" t="inlineStr">
        <is>
          <t>2024-11</t>
        </is>
      </c>
      <c r="C174" s="183" t="n">
        <v>7235.109863</v>
      </c>
      <c r="D174" s="43" t="n">
        <v>-0.0156808776</v>
      </c>
    </row>
    <row r="175">
      <c r="B175" s="160" t="inlineStr">
        <is>
          <t>2024-12</t>
        </is>
      </c>
      <c r="C175" s="183" t="n">
        <v>7380.740234</v>
      </c>
      <c r="D175" s="43" t="n">
        <v>0.0201282875</v>
      </c>
    </row>
    <row r="176">
      <c r="B176" s="160" t="inlineStr">
        <is>
          <t>2025-01</t>
        </is>
      </c>
      <c r="C176" s="183" t="n">
        <v>7950.169922</v>
      </c>
      <c r="D176" s="43" t="n">
        <v>0.0771507558</v>
      </c>
    </row>
    <row r="177">
      <c r="B177" s="160" t="inlineStr">
        <is>
          <t>2025-02</t>
        </is>
      </c>
      <c r="C177" s="183" t="n">
        <v>8111.629883</v>
      </c>
      <c r="D177" s="43" t="n">
        <v>0.020308995</v>
      </c>
    </row>
    <row r="178">
      <c r="B178" s="160" t="inlineStr">
        <is>
          <t>2025-03</t>
        </is>
      </c>
      <c r="C178" s="183" t="n">
        <v>7790.709961</v>
      </c>
      <c r="D178" s="43" t="n">
        <v>-0.0395629394</v>
      </c>
    </row>
    <row r="179">
      <c r="B179" s="160" t="inlineStr">
        <is>
          <t>2025-04</t>
        </is>
      </c>
      <c r="C179" s="183" t="n">
        <v>7593.870117</v>
      </c>
      <c r="D179" s="43" t="n">
        <v>-0.0252659699</v>
      </c>
    </row>
    <row r="180">
      <c r="B180" s="160" t="inlineStr">
        <is>
          <t>2025-05</t>
        </is>
      </c>
      <c r="C180" s="183" t="n">
        <v>7751.890137</v>
      </c>
      <c r="D180" s="43" t="n">
        <v>0.0208088915</v>
      </c>
    </row>
    <row r="181">
      <c r="B181" s="160" t="inlineStr">
        <is>
          <t>2025-06</t>
        </is>
      </c>
      <c r="C181" s="183" t="n">
        <v>7665.910156</v>
      </c>
      <c r="D181" s="43" t="n">
        <v>-0.0110914859</v>
      </c>
    </row>
    <row r="182">
      <c r="B182" s="160" t="inlineStr">
        <is>
          <t>2025-07</t>
        </is>
      </c>
      <c r="C182" s="183" t="n">
        <v>7771.970215</v>
      </c>
      <c r="D182" s="43" t="n">
        <v>0.0138352859</v>
      </c>
    </row>
    <row r="183">
      <c r="B183" s="160" t="inlineStr">
        <is>
          <t>2025-08</t>
        </is>
      </c>
      <c r="C183" s="183" t="n">
        <v>7703.899902</v>
      </c>
      <c r="D183" s="43" t="n">
        <v>-0.0087584371</v>
      </c>
    </row>
    <row r="184">
      <c r="B184" t="inlineStr">
        <is>
          <t>2025-09</t>
        </is>
      </c>
      <c r="C184" s="184" t="n">
        <v>7895.939941</v>
      </c>
      <c r="D184" s="35" t="n">
        <v>0.0249276394</v>
      </c>
    </row>
    <row r="185">
      <c r="B185" t="inlineStr">
        <is>
          <t>2025-10</t>
        </is>
      </c>
      <c r="C185" s="184" t="n">
        <v>8121.069824</v>
      </c>
      <c r="D185" s="35" t="n">
        <v>0.0285121068</v>
      </c>
    </row>
    <row r="186">
      <c r="B186" t="inlineStr">
        <is>
          <t>2025-11</t>
        </is>
      </c>
      <c r="C186" s="184" t="n">
        <v>8122.709961</v>
      </c>
      <c r="D186" s="35" t="n">
        <v>0.0002019607</v>
      </c>
    </row>
    <row r="187">
      <c r="B187" t="inlineStr">
        <is>
          <t>2025-12</t>
        </is>
      </c>
      <c r="C187" s="184" t="n">
        <v>8149.5</v>
      </c>
      <c r="D187" s="35" t="n">
        <v>0.0032981652</v>
      </c>
    </row>
    <row r="188">
      <c r="B188" t="inlineStr">
        <is>
          <t>2026-01</t>
        </is>
      </c>
      <c r="C188" s="184" t="n">
        <v>8126.529785</v>
      </c>
      <c r="D188" s="35" t="n">
        <v>-0.0028186042</v>
      </c>
    </row>
    <row r="189">
      <c r="B189" t="inlineStr">
        <is>
          <t>2026-02</t>
        </is>
      </c>
      <c r="C189" s="184" t="n">
        <v>8580.75</v>
      </c>
      <c r="D189" s="35" t="n">
        <v>0.0558935027</v>
      </c>
    </row>
    <row r="190">
      <c r="B190" t="inlineStr">
        <is>
          <t>2026-03</t>
        </is>
      </c>
      <c r="C190" s="184" t="n">
        <v>7816.939941</v>
      </c>
      <c r="D190" s="35" t="n">
        <v>-0.0890143704</v>
      </c>
    </row>
    <row r="191">
      <c r="B191" t="inlineStr">
        <is>
          <t>2026-04</t>
        </is>
      </c>
      <c r="C191" s="184" t="n">
        <v>8114.839844</v>
      </c>
      <c r="D191" s="35" t="n">
        <v>0.0381095294</v>
      </c>
    </row>
    <row r="192">
      <c r="B192" t="inlineStr">
        <is>
          <t>2026-05</t>
        </is>
      </c>
      <c r="C192" s="184" t="n">
        <v>8183.339844</v>
      </c>
      <c r="D192" s="35" t="n">
        <v>0.0084413249</v>
      </c>
    </row>
    <row r="193">
      <c r="B193" t="inlineStr">
        <is>
          <t>2026-06</t>
        </is>
      </c>
      <c r="C193" s="184" t="n">
        <v>8218.240234000001</v>
      </c>
      <c r="D193" s="35" t="n">
        <v>0.0042648101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B2:D182"/>
  <sheetViews>
    <sheetView workbookViewId="0">
      <selection activeCell="D3" sqref="D3"/>
    </sheetView>
  </sheetViews>
  <sheetFormatPr baseColWidth="10" defaultColWidth="10.83203125" defaultRowHeight="15"/>
  <cols>
    <col width="15.6640625" bestFit="1" customWidth="1" min="2" max="3"/>
    <col width="13.1640625" bestFit="1" customWidth="1" min="4" max="4"/>
  </cols>
  <sheetData>
    <row r="2">
      <c r="B2" s="85" t="inlineStr">
        <is>
          <t>observation_date</t>
        </is>
      </c>
      <c r="C2" s="86" t="inlineStr">
        <is>
          <t>IR3TIB01FRM156N</t>
        </is>
      </c>
      <c r="D2" s="29" t="inlineStr">
        <is>
          <t>Monthly Return</t>
        </is>
      </c>
    </row>
    <row r="3">
      <c r="B3" s="87" t="n">
        <v>40422</v>
      </c>
      <c r="C3" s="89" t="n">
        <v>0.881</v>
      </c>
      <c r="D3" s="90">
        <f>C3/(100*12)</f>
        <v/>
      </c>
    </row>
    <row r="4">
      <c r="B4" s="87" t="n">
        <v>40452</v>
      </c>
      <c r="C4" s="89" t="n">
        <v>0.998</v>
      </c>
      <c r="D4" s="90">
        <f>C4/(100*12)</f>
        <v/>
      </c>
    </row>
    <row r="5">
      <c r="B5" s="87" t="n">
        <v>40483</v>
      </c>
      <c r="C5" s="89" t="n">
        <v>1.042</v>
      </c>
      <c r="D5" s="90">
        <f>C5/(100*12)</f>
        <v/>
      </c>
    </row>
    <row r="6">
      <c r="B6" s="87" t="n">
        <v>40513</v>
      </c>
      <c r="C6" s="89" t="n">
        <v>1.022</v>
      </c>
      <c r="D6" s="90">
        <f>C6/(100*12)</f>
        <v/>
      </c>
    </row>
    <row r="7">
      <c r="B7" s="87" t="n">
        <v>40544</v>
      </c>
      <c r="C7" s="89" t="n">
        <v>1.017</v>
      </c>
      <c r="D7" s="90">
        <f>C7/(100*12)</f>
        <v/>
      </c>
    </row>
    <row r="8">
      <c r="B8" s="87" t="n">
        <v>40575</v>
      </c>
      <c r="C8" s="89" t="n">
        <v>1.087</v>
      </c>
      <c r="D8" s="90">
        <f>C8/(100*12)</f>
        <v/>
      </c>
    </row>
    <row r="9">
      <c r="B9" s="87" t="n">
        <v>40603</v>
      </c>
      <c r="C9" s="89" t="n">
        <v>1.176</v>
      </c>
      <c r="D9" s="90">
        <f>C9/(100*12)</f>
        <v/>
      </c>
    </row>
    <row r="10">
      <c r="B10" s="87" t="n">
        <v>40634</v>
      </c>
      <c r="C10" s="89" t="n">
        <v>1.321</v>
      </c>
      <c r="D10" s="90">
        <f>C10/(100*12)</f>
        <v/>
      </c>
    </row>
    <row r="11">
      <c r="B11" s="87" t="n">
        <v>40664</v>
      </c>
      <c r="C11" s="89" t="n">
        <v>1.425</v>
      </c>
      <c r="D11" s="90">
        <f>C11/(100*12)</f>
        <v/>
      </c>
    </row>
    <row r="12">
      <c r="B12" s="87" t="n">
        <v>40695</v>
      </c>
      <c r="C12" s="89" t="n">
        <v>1.489</v>
      </c>
      <c r="D12" s="90">
        <f>C12/(100*12)</f>
        <v/>
      </c>
    </row>
    <row r="13">
      <c r="B13" s="87" t="n">
        <v>40725</v>
      </c>
      <c r="C13" s="89" t="n">
        <v>1.598</v>
      </c>
      <c r="D13" s="90">
        <f>C13/(100*12)</f>
        <v/>
      </c>
    </row>
    <row r="14">
      <c r="B14" s="87" t="n">
        <v>40756</v>
      </c>
      <c r="C14" s="89" t="n">
        <v>1.552</v>
      </c>
      <c r="D14" s="90">
        <f>C14/(100*12)</f>
        <v/>
      </c>
    </row>
    <row r="15">
      <c r="B15" s="87" t="n">
        <v>40787</v>
      </c>
      <c r="C15" s="89" t="n">
        <v>1.536</v>
      </c>
      <c r="D15" s="90">
        <f>C15/(100*12)</f>
        <v/>
      </c>
    </row>
    <row r="16">
      <c r="B16" s="87" t="n">
        <v>40817</v>
      </c>
      <c r="C16" s="89" t="n">
        <v>1.576</v>
      </c>
      <c r="D16" s="90">
        <f>C16/(100*12)</f>
        <v/>
      </c>
    </row>
    <row r="17">
      <c r="B17" s="87" t="n">
        <v>40848</v>
      </c>
      <c r="C17" s="89" t="n">
        <v>1.485</v>
      </c>
      <c r="D17" s="90">
        <f>C17/(100*12)</f>
        <v/>
      </c>
    </row>
    <row r="18">
      <c r="B18" s="87" t="n">
        <v>40878</v>
      </c>
      <c r="C18" s="89" t="n">
        <v>1.426</v>
      </c>
      <c r="D18" s="90">
        <f>C18/(100*12)</f>
        <v/>
      </c>
    </row>
    <row r="19">
      <c r="B19" s="87" t="n">
        <v>40909</v>
      </c>
      <c r="C19" s="89" t="n">
        <v>1.222</v>
      </c>
      <c r="D19" s="90">
        <f>C19/(100*12)</f>
        <v/>
      </c>
    </row>
    <row r="20">
      <c r="B20" s="87" t="n">
        <v>40940</v>
      </c>
      <c r="C20" s="89" t="n">
        <v>1.048</v>
      </c>
      <c r="D20" s="90">
        <f>C20/(100*12)</f>
        <v/>
      </c>
    </row>
    <row r="21">
      <c r="B21" s="87" t="n">
        <v>40969</v>
      </c>
      <c r="C21" s="89" t="n">
        <v>0.858</v>
      </c>
      <c r="D21" s="90">
        <f>C21/(100*12)</f>
        <v/>
      </c>
    </row>
    <row r="22">
      <c r="B22" s="87" t="n">
        <v>41000</v>
      </c>
      <c r="C22" s="89" t="n">
        <v>0.744</v>
      </c>
      <c r="D22" s="90">
        <f>C22/(100*12)</f>
        <v/>
      </c>
    </row>
    <row r="23">
      <c r="B23" s="87" t="n">
        <v>41030</v>
      </c>
      <c r="C23" s="89" t="n">
        <v>0.6850000000000001</v>
      </c>
      <c r="D23" s="90">
        <f>C23/(100*12)</f>
        <v/>
      </c>
    </row>
    <row r="24">
      <c r="B24" s="87" t="n">
        <v>41061</v>
      </c>
      <c r="C24" s="89" t="n">
        <v>0.659</v>
      </c>
      <c r="D24" s="90">
        <f>C24/(100*12)</f>
        <v/>
      </c>
    </row>
    <row r="25">
      <c r="B25" s="87" t="n">
        <v>41091</v>
      </c>
      <c r="C25" s="89" t="n">
        <v>0.497</v>
      </c>
      <c r="D25" s="90">
        <f>C25/(100*12)</f>
        <v/>
      </c>
    </row>
    <row r="26">
      <c r="B26" s="87" t="n">
        <v>41122</v>
      </c>
      <c r="C26" s="89" t="n">
        <v>0.332</v>
      </c>
      <c r="D26" s="90">
        <f>C26/(100*12)</f>
        <v/>
      </c>
    </row>
    <row r="27">
      <c r="B27" s="87" t="n">
        <v>41153</v>
      </c>
      <c r="C27" s="89" t="n">
        <v>0.246</v>
      </c>
      <c r="D27" s="90">
        <f>C27/(100*12)</f>
        <v/>
      </c>
    </row>
    <row r="28">
      <c r="B28" s="87" t="n">
        <v>41183</v>
      </c>
      <c r="C28" s="89" t="n">
        <v>0.208</v>
      </c>
      <c r="D28" s="90">
        <f>C28/(100*12)</f>
        <v/>
      </c>
    </row>
    <row r="29">
      <c r="B29" s="87" t="n">
        <v>41214</v>
      </c>
      <c r="C29" s="89" t="n">
        <v>0.192</v>
      </c>
      <c r="D29" s="90">
        <f>C29/(100*12)</f>
        <v/>
      </c>
    </row>
    <row r="30">
      <c r="B30" s="87" t="n">
        <v>41244</v>
      </c>
      <c r="C30" s="89" t="n">
        <v>0.185</v>
      </c>
      <c r="D30" s="90">
        <f>C30/(100*12)</f>
        <v/>
      </c>
    </row>
    <row r="31">
      <c r="B31" s="87" t="n">
        <v>41275</v>
      </c>
      <c r="C31" s="89" t="n">
        <v>0.205</v>
      </c>
      <c r="D31" s="90">
        <f>C31/(100*12)</f>
        <v/>
      </c>
    </row>
    <row r="32">
      <c r="B32" s="87" t="n">
        <v>41306</v>
      </c>
      <c r="C32" s="89" t="n">
        <v>0.223</v>
      </c>
      <c r="D32" s="90">
        <f>C32/(100*12)</f>
        <v/>
      </c>
    </row>
    <row r="33">
      <c r="B33" s="87" t="n">
        <v>41334</v>
      </c>
      <c r="C33" s="89" t="n">
        <v>0.206</v>
      </c>
      <c r="D33" s="90">
        <f>C33/(100*12)</f>
        <v/>
      </c>
    </row>
    <row r="34">
      <c r="B34" s="87" t="n">
        <v>41365</v>
      </c>
      <c r="C34" s="89" t="n">
        <v>0.209</v>
      </c>
      <c r="D34" s="90">
        <f>C34/(100*12)</f>
        <v/>
      </c>
    </row>
    <row r="35">
      <c r="B35" s="87" t="n">
        <v>41395</v>
      </c>
      <c r="C35" s="89" t="n">
        <v>0.201</v>
      </c>
      <c r="D35" s="90">
        <f>C35/(100*12)</f>
        <v/>
      </c>
    </row>
    <row r="36">
      <c r="B36" s="87" t="n">
        <v>41426</v>
      </c>
      <c r="C36" s="89" t="n">
        <v>0.21</v>
      </c>
      <c r="D36" s="90">
        <f>C36/(100*12)</f>
        <v/>
      </c>
    </row>
    <row r="37">
      <c r="B37" s="87" t="n">
        <v>41456</v>
      </c>
      <c r="C37" s="89" t="n">
        <v>0.221</v>
      </c>
      <c r="D37" s="90">
        <f>C37/(100*12)</f>
        <v/>
      </c>
    </row>
    <row r="38">
      <c r="B38" s="87" t="n">
        <v>41487</v>
      </c>
      <c r="C38" s="89" t="n">
        <v>0.226</v>
      </c>
      <c r="D38" s="90">
        <f>C38/(100*12)</f>
        <v/>
      </c>
    </row>
    <row r="39">
      <c r="B39" s="87" t="n">
        <v>41518</v>
      </c>
      <c r="C39" s="89" t="n">
        <v>0.223</v>
      </c>
      <c r="D39" s="90">
        <f>C39/(100*12)</f>
        <v/>
      </c>
    </row>
    <row r="40">
      <c r="B40" s="87" t="n">
        <v>41548</v>
      </c>
      <c r="C40" s="89" t="n">
        <v>0.226</v>
      </c>
      <c r="D40" s="90">
        <f>C40/(100*12)</f>
        <v/>
      </c>
    </row>
    <row r="41">
      <c r="B41" s="87" t="n">
        <v>41579</v>
      </c>
      <c r="C41" s="89" t="n">
        <v>0.223</v>
      </c>
      <c r="D41" s="90">
        <f>C41/(100*12)</f>
        <v/>
      </c>
    </row>
    <row r="42">
      <c r="B42" s="87" t="n">
        <v>41609</v>
      </c>
      <c r="C42" s="89" t="n">
        <v>0.274</v>
      </c>
      <c r="D42" s="90">
        <f>C42/(100*12)</f>
        <v/>
      </c>
    </row>
    <row r="43">
      <c r="B43" s="87" t="n">
        <v>41640</v>
      </c>
      <c r="C43" s="89" t="n">
        <v>0.292</v>
      </c>
      <c r="D43" s="90">
        <f>C43/(100*12)</f>
        <v/>
      </c>
    </row>
    <row r="44">
      <c r="B44" s="87" t="n">
        <v>41671</v>
      </c>
      <c r="C44" s="89" t="n">
        <v>0.288</v>
      </c>
      <c r="D44" s="90">
        <f>C44/(100*12)</f>
        <v/>
      </c>
    </row>
    <row r="45">
      <c r="B45" s="87" t="n">
        <v>41699</v>
      </c>
      <c r="C45" s="89" t="n">
        <v>0.305</v>
      </c>
      <c r="D45" s="90">
        <f>C45/(100*12)</f>
        <v/>
      </c>
    </row>
    <row r="46">
      <c r="B46" s="87" t="n">
        <v>41730</v>
      </c>
      <c r="C46" s="89" t="n">
        <v>0.33</v>
      </c>
      <c r="D46" s="90">
        <f>C46/(100*12)</f>
        <v/>
      </c>
    </row>
    <row r="47">
      <c r="B47" s="87" t="n">
        <v>41760</v>
      </c>
      <c r="C47" s="89" t="n">
        <v>0.325</v>
      </c>
      <c r="D47" s="90">
        <f>C47/(100*12)</f>
        <v/>
      </c>
    </row>
    <row r="48">
      <c r="B48" s="87" t="n">
        <v>41791</v>
      </c>
      <c r="C48" s="89" t="n">
        <v>0.241</v>
      </c>
      <c r="D48" s="90">
        <f>C48/(100*12)</f>
        <v/>
      </c>
    </row>
    <row r="49">
      <c r="B49" s="87" t="n">
        <v>41821</v>
      </c>
      <c r="C49" s="89" t="n">
        <v>0.205</v>
      </c>
      <c r="D49" s="90">
        <f>C49/(100*12)</f>
        <v/>
      </c>
    </row>
    <row r="50">
      <c r="B50" s="87" t="n">
        <v>41852</v>
      </c>
      <c r="C50" s="89" t="n">
        <v>0.192</v>
      </c>
      <c r="D50" s="90">
        <f>C50/(100*12)</f>
        <v/>
      </c>
    </row>
    <row r="51">
      <c r="B51" s="87" t="n">
        <v>41883</v>
      </c>
      <c r="C51" s="89" t="n">
        <v>0.097</v>
      </c>
      <c r="D51" s="90">
        <f>C51/(100*12)</f>
        <v/>
      </c>
    </row>
    <row r="52">
      <c r="B52" s="87" t="n">
        <v>41913</v>
      </c>
      <c r="C52" s="89" t="n">
        <v>0.083</v>
      </c>
      <c r="D52" s="90">
        <f>C52/(100*12)</f>
        <v/>
      </c>
    </row>
    <row r="53">
      <c r="B53" s="87" t="n">
        <v>41944</v>
      </c>
      <c r="C53" s="89" t="n">
        <v>0.081</v>
      </c>
      <c r="D53" s="90">
        <f>C53/(100*12)</f>
        <v/>
      </c>
    </row>
    <row r="54">
      <c r="B54" s="87" t="n">
        <v>41974</v>
      </c>
      <c r="C54" s="89" t="n">
        <v>0.081</v>
      </c>
      <c r="D54" s="90">
        <f>C54/(100*12)</f>
        <v/>
      </c>
    </row>
    <row r="55">
      <c r="B55" s="87" t="n">
        <v>42005</v>
      </c>
      <c r="C55" s="89" t="n">
        <v>0.063</v>
      </c>
      <c r="D55" s="90">
        <f>C55/(100*12)</f>
        <v/>
      </c>
    </row>
    <row r="56">
      <c r="B56" s="87" t="n">
        <v>42036</v>
      </c>
      <c r="C56" s="89" t="n">
        <v>0.048</v>
      </c>
      <c r="D56" s="90">
        <f>C56/(100*12)</f>
        <v/>
      </c>
    </row>
    <row r="57">
      <c r="B57" s="87" t="n">
        <v>42064</v>
      </c>
      <c r="C57" s="89" t="n">
        <v>0.027</v>
      </c>
      <c r="D57" s="90">
        <f>C57/(100*12)</f>
        <v/>
      </c>
    </row>
    <row r="58">
      <c r="B58" s="87" t="n">
        <v>42095</v>
      </c>
      <c r="C58" s="89" t="n">
        <v>0.005</v>
      </c>
      <c r="D58" s="90">
        <f>C58/(100*12)</f>
        <v/>
      </c>
    </row>
    <row r="59">
      <c r="B59" s="87" t="n">
        <v>42125</v>
      </c>
      <c r="C59" s="89" t="n">
        <v>-0.01</v>
      </c>
      <c r="D59" s="90">
        <f>C59/(100*12)</f>
        <v/>
      </c>
    </row>
    <row r="60">
      <c r="B60" s="87" t="n">
        <v>42156</v>
      </c>
      <c r="C60" s="89" t="n">
        <v>-0.014</v>
      </c>
      <c r="D60" s="90">
        <f>C60/(100*12)</f>
        <v/>
      </c>
    </row>
    <row r="61">
      <c r="B61" s="87" t="n">
        <v>42186</v>
      </c>
      <c r="C61" s="89" t="n">
        <v>-0.019</v>
      </c>
      <c r="D61" s="90">
        <f>C61/(100*12)</f>
        <v/>
      </c>
    </row>
    <row r="62">
      <c r="B62" s="87" t="n">
        <v>42217</v>
      </c>
      <c r="C62" s="89" t="n">
        <v>-0.028</v>
      </c>
      <c r="D62" s="90">
        <f>C62/(100*12)</f>
        <v/>
      </c>
    </row>
    <row r="63">
      <c r="B63" s="87" t="n">
        <v>42248</v>
      </c>
      <c r="C63" s="89" t="n">
        <v>-0.037</v>
      </c>
      <c r="D63" s="90">
        <f>C63/(100*12)</f>
        <v/>
      </c>
    </row>
    <row r="64">
      <c r="B64" s="87" t="n">
        <v>42278</v>
      </c>
      <c r="C64" s="89" t="n">
        <v>-0.054</v>
      </c>
      <c r="D64" s="90">
        <f>C64/(100*12)</f>
        <v/>
      </c>
    </row>
    <row r="65">
      <c r="B65" s="87" t="n">
        <v>42309</v>
      </c>
      <c r="C65" s="89" t="n">
        <v>-0.08799999999999999</v>
      </c>
      <c r="D65" s="90">
        <f>C65/(100*12)</f>
        <v/>
      </c>
    </row>
    <row r="66">
      <c r="B66" s="87" t="n">
        <v>42339</v>
      </c>
      <c r="C66" s="89" t="n">
        <v>-0.126</v>
      </c>
      <c r="D66" s="90">
        <f>C66/(100*12)</f>
        <v/>
      </c>
    </row>
    <row r="67">
      <c r="B67" s="87" t="n">
        <v>42370</v>
      </c>
      <c r="C67" s="89" t="n">
        <v>-0.146</v>
      </c>
      <c r="D67" s="90">
        <f>C67/(100*12)</f>
        <v/>
      </c>
    </row>
    <row r="68">
      <c r="B68" s="87" t="n">
        <v>42401</v>
      </c>
      <c r="C68" s="89" t="n">
        <v>-0.184</v>
      </c>
      <c r="D68" s="90">
        <f>C68/(100*12)</f>
        <v/>
      </c>
    </row>
    <row r="69">
      <c r="B69" s="87" t="n">
        <v>42430</v>
      </c>
      <c r="C69" s="89" t="n">
        <v>-0.229</v>
      </c>
      <c r="D69" s="90">
        <f>C69/(100*12)</f>
        <v/>
      </c>
    </row>
    <row r="70">
      <c r="B70" s="87" t="n">
        <v>42461</v>
      </c>
      <c r="C70" s="89" t="n">
        <v>-0.249</v>
      </c>
      <c r="D70" s="90">
        <f>C70/(100*12)</f>
        <v/>
      </c>
    </row>
    <row r="71">
      <c r="B71" s="87" t="n">
        <v>42491</v>
      </c>
      <c r="C71" s="89" t="n">
        <v>-0.257</v>
      </c>
      <c r="D71" s="90">
        <f>C71/(100*12)</f>
        <v/>
      </c>
    </row>
    <row r="72">
      <c r="B72" s="87" t="n">
        <v>42522</v>
      </c>
      <c r="C72" s="89" t="n">
        <v>-0.268</v>
      </c>
      <c r="D72" s="90">
        <f>C72/(100*12)</f>
        <v/>
      </c>
    </row>
    <row r="73">
      <c r="B73" s="87" t="n">
        <v>42552</v>
      </c>
      <c r="C73" s="89" t="n">
        <v>-0.295</v>
      </c>
      <c r="D73" s="90">
        <f>C73/(100*12)</f>
        <v/>
      </c>
    </row>
    <row r="74">
      <c r="B74" s="87" t="n">
        <v>42583</v>
      </c>
      <c r="C74" s="89" t="n">
        <v>-0.298</v>
      </c>
      <c r="D74" s="90">
        <f>C74/(100*12)</f>
        <v/>
      </c>
    </row>
    <row r="75">
      <c r="B75" s="87" t="n">
        <v>42614</v>
      </c>
      <c r="C75" s="89" t="n">
        <v>-0.302</v>
      </c>
      <c r="D75" s="90">
        <f>C75/(100*12)</f>
        <v/>
      </c>
    </row>
    <row r="76">
      <c r="B76" s="87" t="n">
        <v>42644</v>
      </c>
      <c r="C76" s="89" t="n">
        <v>-0.309</v>
      </c>
      <c r="D76" s="90">
        <f>C76/(100*12)</f>
        <v/>
      </c>
    </row>
    <row r="77">
      <c r="B77" s="87" t="n">
        <v>42675</v>
      </c>
      <c r="C77" s="89" t="n">
        <v>-0.313</v>
      </c>
      <c r="D77" s="90">
        <f>C77/(100*12)</f>
        <v/>
      </c>
    </row>
    <row r="78">
      <c r="B78" s="87" t="n">
        <v>42705</v>
      </c>
      <c r="C78" s="89" t="n">
        <v>-0.316</v>
      </c>
      <c r="D78" s="90">
        <f>C78/(100*12)</f>
        <v/>
      </c>
    </row>
    <row r="79">
      <c r="B79" s="87" t="n">
        <v>42736</v>
      </c>
      <c r="C79" s="89" t="n">
        <v>-0.326</v>
      </c>
      <c r="D79" s="90">
        <f>C79/(100*12)</f>
        <v/>
      </c>
    </row>
    <row r="80">
      <c r="B80" s="87" t="n">
        <v>42767</v>
      </c>
      <c r="C80" s="89" t="n">
        <v>-0.329</v>
      </c>
      <c r="D80" s="90">
        <f>C80/(100*12)</f>
        <v/>
      </c>
    </row>
    <row r="81">
      <c r="B81" s="87" t="n">
        <v>42795</v>
      </c>
      <c r="C81" s="89" t="n">
        <v>-0.329</v>
      </c>
      <c r="D81" s="90">
        <f>C81/(100*12)</f>
        <v/>
      </c>
    </row>
    <row r="82">
      <c r="B82" s="87" t="n">
        <v>42826</v>
      </c>
      <c r="C82" s="89" t="n">
        <v>-0.33</v>
      </c>
      <c r="D82" s="90">
        <f>C82/(100*12)</f>
        <v/>
      </c>
    </row>
    <row r="83">
      <c r="B83" s="87" t="n">
        <v>42856</v>
      </c>
      <c r="C83" s="89" t="n">
        <v>-0.329</v>
      </c>
      <c r="D83" s="90">
        <f>C83/(100*12)</f>
        <v/>
      </c>
    </row>
    <row r="84">
      <c r="B84" s="87" t="n">
        <v>42887</v>
      </c>
      <c r="C84" s="89" t="n">
        <v>-0.33</v>
      </c>
      <c r="D84" s="90">
        <f>C84/(100*12)</f>
        <v/>
      </c>
    </row>
    <row r="85">
      <c r="B85" s="87" t="n">
        <v>42917</v>
      </c>
      <c r="C85" s="89" t="n">
        <v>-0.33</v>
      </c>
      <c r="D85" s="90">
        <f>C85/(100*12)</f>
        <v/>
      </c>
    </row>
    <row r="86">
      <c r="B86" s="87" t="n">
        <v>42948</v>
      </c>
      <c r="C86" s="89" t="n">
        <v>-0.329</v>
      </c>
      <c r="D86" s="90">
        <f>C86/(100*12)</f>
        <v/>
      </c>
    </row>
    <row r="87">
      <c r="B87" s="87" t="n">
        <v>42979</v>
      </c>
      <c r="C87" s="89" t="n">
        <v>-0.329</v>
      </c>
      <c r="D87" s="90">
        <f>C87/(100*12)</f>
        <v/>
      </c>
    </row>
    <row r="88">
      <c r="B88" s="87" t="n">
        <v>43009</v>
      </c>
      <c r="C88" s="89" t="n">
        <v>-0.33</v>
      </c>
      <c r="D88" s="90">
        <f>C88/(100*12)</f>
        <v/>
      </c>
    </row>
    <row r="89">
      <c r="B89" s="87" t="n">
        <v>43040</v>
      </c>
      <c r="C89" s="89" t="n">
        <v>-0.329</v>
      </c>
      <c r="D89" s="90">
        <f>C89/(100*12)</f>
        <v/>
      </c>
    </row>
    <row r="90">
      <c r="B90" s="87" t="n">
        <v>43070</v>
      </c>
      <c r="C90" s="89" t="n">
        <v>-0.328</v>
      </c>
      <c r="D90" s="90">
        <f>C90/(100*12)</f>
        <v/>
      </c>
    </row>
    <row r="91">
      <c r="B91" s="87" t="n">
        <v>43101</v>
      </c>
      <c r="C91" s="89" t="n">
        <v>-0.328</v>
      </c>
      <c r="D91" s="90">
        <f>C91/(100*12)</f>
        <v/>
      </c>
    </row>
    <row r="92">
      <c r="B92" s="87" t="n">
        <v>43132</v>
      </c>
      <c r="C92" s="89" t="n">
        <v>-0.329</v>
      </c>
      <c r="D92" s="90">
        <f>C92/(100*12)</f>
        <v/>
      </c>
    </row>
    <row r="93">
      <c r="B93" s="87" t="n">
        <v>43160</v>
      </c>
      <c r="C93" s="89" t="n">
        <v>-0.328</v>
      </c>
      <c r="D93" s="90">
        <f>C93/(100*12)</f>
        <v/>
      </c>
    </row>
    <row r="94">
      <c r="B94" s="87" t="n">
        <v>43191</v>
      </c>
      <c r="C94" s="89" t="n">
        <v>-0.328</v>
      </c>
      <c r="D94" s="90">
        <f>C94/(100*12)</f>
        <v/>
      </c>
    </row>
    <row r="95">
      <c r="B95" s="87" t="n">
        <v>43221</v>
      </c>
      <c r="C95" s="89" t="n">
        <v>-0.325</v>
      </c>
      <c r="D95" s="90">
        <f>C95/(100*12)</f>
        <v/>
      </c>
    </row>
    <row r="96">
      <c r="B96" s="87" t="n">
        <v>43252</v>
      </c>
      <c r="C96" s="89" t="n">
        <v>-0.322</v>
      </c>
      <c r="D96" s="90">
        <f>C96/(100*12)</f>
        <v/>
      </c>
    </row>
    <row r="97">
      <c r="B97" s="87" t="n">
        <v>43282</v>
      </c>
      <c r="C97" s="89" t="n">
        <v>-0.321</v>
      </c>
      <c r="D97" s="90">
        <f>C97/(100*12)</f>
        <v/>
      </c>
    </row>
    <row r="98">
      <c r="B98" s="87" t="n">
        <v>43313</v>
      </c>
      <c r="C98" s="89" t="n">
        <v>-0.319</v>
      </c>
      <c r="D98" s="90">
        <f>C98/(100*12)</f>
        <v/>
      </c>
    </row>
    <row r="99">
      <c r="B99" s="87" t="n">
        <v>43344</v>
      </c>
      <c r="C99" s="89" t="n">
        <v>-0.319</v>
      </c>
      <c r="D99" s="90">
        <f>C99/(100*12)</f>
        <v/>
      </c>
    </row>
    <row r="100">
      <c r="B100" s="87" t="n">
        <v>43374</v>
      </c>
      <c r="C100" s="89" t="n">
        <v>-0.318</v>
      </c>
      <c r="D100" s="90">
        <f>C100/(100*12)</f>
        <v/>
      </c>
    </row>
    <row r="101">
      <c r="B101" s="87" t="n">
        <v>43405</v>
      </c>
      <c r="C101" s="89" t="n">
        <v>-0.316</v>
      </c>
      <c r="D101" s="90">
        <f>C101/(100*12)</f>
        <v/>
      </c>
    </row>
    <row r="102">
      <c r="B102" s="87" t="n">
        <v>43435</v>
      </c>
      <c r="C102" s="89" t="n">
        <v>-0.312</v>
      </c>
      <c r="D102" s="90">
        <f>C102/(100*12)</f>
        <v/>
      </c>
    </row>
    <row r="103">
      <c r="B103" s="87" t="n">
        <v>43466</v>
      </c>
      <c r="C103" s="89" t="n">
        <v>-0.308</v>
      </c>
      <c r="D103" s="90">
        <f>C103/(100*12)</f>
        <v/>
      </c>
    </row>
    <row r="104">
      <c r="B104" s="87" t="n">
        <v>43497</v>
      </c>
      <c r="C104" s="89" t="n">
        <v>-0.308</v>
      </c>
      <c r="D104" s="90">
        <f>C104/(100*12)</f>
        <v/>
      </c>
    </row>
    <row r="105">
      <c r="B105" s="87" t="n">
        <v>43525</v>
      </c>
      <c r="C105" s="89" t="n">
        <v>-0.309</v>
      </c>
      <c r="D105" s="90">
        <f>C105/(100*12)</f>
        <v/>
      </c>
    </row>
    <row r="106">
      <c r="B106" s="87" t="n">
        <v>43556</v>
      </c>
      <c r="C106" s="89" t="n">
        <v>-0.31</v>
      </c>
      <c r="D106" s="90">
        <f>C106/(100*12)</f>
        <v/>
      </c>
    </row>
    <row r="107">
      <c r="B107" s="87" t="n">
        <v>43586</v>
      </c>
      <c r="C107" s="89" t="n">
        <v>-0.312</v>
      </c>
      <c r="D107" s="90">
        <f>C107/(100*12)</f>
        <v/>
      </c>
    </row>
    <row r="108">
      <c r="B108" s="87" t="n">
        <v>43617</v>
      </c>
      <c r="C108" s="89" t="n">
        <v>-0.329</v>
      </c>
      <c r="D108" s="90">
        <f>C108/(100*12)</f>
        <v/>
      </c>
    </row>
    <row r="109">
      <c r="B109" s="87" t="n">
        <v>43647</v>
      </c>
      <c r="C109" s="89" t="n">
        <v>-0.365</v>
      </c>
      <c r="D109" s="90">
        <f>C109/(100*12)</f>
        <v/>
      </c>
    </row>
    <row r="110">
      <c r="B110" s="87" t="n">
        <v>43678</v>
      </c>
      <c r="C110" s="89" t="n">
        <v>-0.408</v>
      </c>
      <c r="D110" s="90">
        <f>C110/(100*12)</f>
        <v/>
      </c>
    </row>
    <row r="111">
      <c r="B111" s="87" t="n">
        <v>43709</v>
      </c>
      <c r="C111" s="89" t="n">
        <v>-0.418</v>
      </c>
      <c r="D111" s="90">
        <f>C111/(100*12)</f>
        <v/>
      </c>
    </row>
    <row r="112">
      <c r="B112" s="87" t="n">
        <v>43739</v>
      </c>
      <c r="C112" s="89" t="n">
        <v>-0.413</v>
      </c>
      <c r="D112" s="90">
        <f>C112/(100*12)</f>
        <v/>
      </c>
    </row>
    <row r="113">
      <c r="B113" s="87" t="n">
        <v>43770</v>
      </c>
      <c r="C113" s="89" t="n">
        <v>-0.401</v>
      </c>
      <c r="D113" s="90">
        <f>C113/(100*12)</f>
        <v/>
      </c>
    </row>
    <row r="114">
      <c r="B114" s="87" t="n">
        <v>43800</v>
      </c>
      <c r="C114" s="89" t="n">
        <v>-0.395</v>
      </c>
      <c r="D114" s="90">
        <f>C114/(100*12)</f>
        <v/>
      </c>
    </row>
    <row r="115">
      <c r="B115" s="87" t="n">
        <v>43831</v>
      </c>
      <c r="C115" s="89" t="n">
        <v>-0.391</v>
      </c>
      <c r="D115" s="90">
        <f>C115/(100*12)</f>
        <v/>
      </c>
    </row>
    <row r="116">
      <c r="B116" s="87" t="n">
        <v>43862</v>
      </c>
      <c r="C116" s="89" t="n">
        <v>-0.409</v>
      </c>
      <c r="D116" s="90">
        <f>C116/(100*12)</f>
        <v/>
      </c>
    </row>
    <row r="117">
      <c r="B117" s="87" t="n">
        <v>43891</v>
      </c>
      <c r="C117" s="89" t="n">
        <v>-0.417</v>
      </c>
      <c r="D117" s="90">
        <f>C117/(100*12)</f>
        <v/>
      </c>
    </row>
    <row r="118">
      <c r="B118" s="87" t="n">
        <v>43922</v>
      </c>
      <c r="C118" s="89" t="n">
        <v>-0.254</v>
      </c>
      <c r="D118" s="90">
        <f>C118/(100*12)</f>
        <v/>
      </c>
    </row>
    <row r="119">
      <c r="B119" s="87" t="n">
        <v>43952</v>
      </c>
      <c r="C119" s="89" t="n">
        <v>-0.272</v>
      </c>
      <c r="D119" s="90">
        <f>C119/(100*12)</f>
        <v/>
      </c>
    </row>
    <row r="120">
      <c r="B120" s="87" t="n">
        <v>43983</v>
      </c>
      <c r="C120" s="89" t="n">
        <v>-0.376</v>
      </c>
      <c r="D120" s="90">
        <f>C120/(100*12)</f>
        <v/>
      </c>
    </row>
    <row r="121">
      <c r="B121" s="87" t="n">
        <v>44013</v>
      </c>
      <c r="C121" s="89" t="n">
        <v>-0.444</v>
      </c>
      <c r="D121" s="90">
        <f>C121/(100*12)</f>
        <v/>
      </c>
    </row>
    <row r="122">
      <c r="B122" s="87" t="n">
        <v>44044</v>
      </c>
      <c r="C122" s="89" t="n">
        <v>-0.48</v>
      </c>
      <c r="D122" s="90">
        <f>C122/(100*12)</f>
        <v/>
      </c>
    </row>
    <row r="123">
      <c r="B123" s="87" t="n">
        <v>44075</v>
      </c>
      <c r="C123" s="89" t="n">
        <v>-0.491</v>
      </c>
      <c r="D123" s="90">
        <f>C123/(100*12)</f>
        <v/>
      </c>
    </row>
    <row r="124">
      <c r="B124" s="87" t="n">
        <v>44105</v>
      </c>
      <c r="C124" s="89" t="n">
        <v>-0.509</v>
      </c>
      <c r="D124" s="90">
        <f>C124/(100*12)</f>
        <v/>
      </c>
    </row>
    <row r="125">
      <c r="B125" s="87" t="n">
        <v>44136</v>
      </c>
      <c r="C125" s="89" t="n">
        <v>-0.521</v>
      </c>
      <c r="D125" s="90">
        <f>C125/(100*12)</f>
        <v/>
      </c>
    </row>
    <row r="126">
      <c r="B126" s="87" t="n">
        <v>44166</v>
      </c>
      <c r="C126" s="89" t="n">
        <v>-0.538</v>
      </c>
      <c r="D126" s="90">
        <f>C126/(100*12)</f>
        <v/>
      </c>
    </row>
    <row r="127">
      <c r="B127" s="87" t="n">
        <v>44197</v>
      </c>
      <c r="C127" s="89" t="n">
        <v>-0.547</v>
      </c>
      <c r="D127" s="90">
        <f>C127/(100*12)</f>
        <v/>
      </c>
    </row>
    <row r="128">
      <c r="B128" s="87" t="n">
        <v>44228</v>
      </c>
      <c r="C128" s="89" t="n">
        <v>-0.541</v>
      </c>
      <c r="D128" s="90">
        <f>C128/(100*12)</f>
        <v/>
      </c>
    </row>
    <row r="129">
      <c r="B129" s="87" t="n">
        <v>44256</v>
      </c>
      <c r="C129" s="89" t="n">
        <v>-0.539</v>
      </c>
      <c r="D129" s="90">
        <f>C129/(100*12)</f>
        <v/>
      </c>
    </row>
    <row r="130">
      <c r="B130" s="87" t="n">
        <v>44287</v>
      </c>
      <c r="C130" s="89" t="n">
        <v>-0.538</v>
      </c>
      <c r="D130" s="90">
        <f>C130/(100*12)</f>
        <v/>
      </c>
    </row>
    <row r="131">
      <c r="B131" s="87" t="n">
        <v>44317</v>
      </c>
      <c r="C131" s="89" t="n">
        <v>-0.54</v>
      </c>
      <c r="D131" s="90">
        <f>C131/(100*12)</f>
        <v/>
      </c>
    </row>
    <row r="132">
      <c r="B132" s="87" t="n">
        <v>44348</v>
      </c>
      <c r="C132" s="89" t="n">
        <v>-0.543</v>
      </c>
      <c r="D132" s="90">
        <f>C132/(100*12)</f>
        <v/>
      </c>
    </row>
    <row r="133">
      <c r="B133" s="87" t="n">
        <v>44378</v>
      </c>
      <c r="C133" s="89" t="n">
        <v>-0.545</v>
      </c>
      <c r="D133" s="90">
        <f>C133/(100*12)</f>
        <v/>
      </c>
    </row>
    <row r="134">
      <c r="B134" s="87" t="n">
        <v>44409</v>
      </c>
      <c r="C134" s="89" t="n">
        <v>-0.548</v>
      </c>
      <c r="D134" s="90">
        <f>C134/(100*12)</f>
        <v/>
      </c>
    </row>
    <row r="135">
      <c r="B135" s="87" t="n">
        <v>44440</v>
      </c>
      <c r="C135" s="89" t="n">
        <v>-0.545</v>
      </c>
      <c r="D135" s="90">
        <f>C135/(100*12)</f>
        <v/>
      </c>
    </row>
    <row r="136">
      <c r="B136" s="87" t="n">
        <v>44470</v>
      </c>
      <c r="C136" s="89" t="n">
        <v>-0.55</v>
      </c>
      <c r="D136" s="90">
        <f>C136/(100*12)</f>
        <v/>
      </c>
    </row>
    <row r="137">
      <c r="B137" s="87" t="n">
        <v>44501</v>
      </c>
      <c r="C137" s="89" t="n">
        <v>-0.5669999999999999</v>
      </c>
      <c r="D137" s="90">
        <f>C137/(100*12)</f>
        <v/>
      </c>
    </row>
    <row r="138">
      <c r="B138" s="87" t="n">
        <v>44531</v>
      </c>
      <c r="C138" s="89" t="n">
        <v>-0.582</v>
      </c>
      <c r="D138" s="90">
        <f>C138/(100*12)</f>
        <v/>
      </c>
    </row>
    <row r="139">
      <c r="B139" s="87" t="n">
        <v>44562</v>
      </c>
      <c r="C139" s="89" t="n">
        <v>-0.5600000000000001</v>
      </c>
      <c r="D139" s="90">
        <f>C139/(100*12)</f>
        <v/>
      </c>
    </row>
    <row r="140">
      <c r="B140" s="87" t="n">
        <v>44593</v>
      </c>
      <c r="C140" s="89" t="n">
        <v>-0.532</v>
      </c>
      <c r="D140" s="90">
        <f>C140/(100*12)</f>
        <v/>
      </c>
    </row>
    <row r="141">
      <c r="B141" s="87" t="n">
        <v>44621</v>
      </c>
      <c r="C141" s="89" t="n">
        <v>-0.495</v>
      </c>
      <c r="D141" s="90">
        <f>C141/(100*12)</f>
        <v/>
      </c>
    </row>
    <row r="142">
      <c r="B142" s="87" t="n">
        <v>44652</v>
      </c>
      <c r="C142" s="89" t="n">
        <v>-0.448</v>
      </c>
      <c r="D142" s="90">
        <f>C142/(100*12)</f>
        <v/>
      </c>
    </row>
    <row r="143">
      <c r="B143" s="87" t="n">
        <v>44682</v>
      </c>
      <c r="C143" s="89" t="n">
        <v>-0.386</v>
      </c>
      <c r="D143" s="90">
        <f>C143/(100*12)</f>
        <v/>
      </c>
    </row>
    <row r="144">
      <c r="B144" s="87" t="n">
        <v>44713</v>
      </c>
      <c r="C144" s="89" t="n">
        <v>-0.239</v>
      </c>
      <c r="D144" s="90">
        <f>C144/(100*12)</f>
        <v/>
      </c>
    </row>
    <row r="145">
      <c r="B145" s="87" t="n">
        <v>44743</v>
      </c>
      <c r="C145" s="89" t="n">
        <v>0.037</v>
      </c>
      <c r="D145" s="90">
        <f>C145/(100*12)</f>
        <v/>
      </c>
    </row>
    <row r="146">
      <c r="B146" s="87" t="n">
        <v>44774</v>
      </c>
      <c r="C146" s="89" t="n">
        <v>0.395</v>
      </c>
      <c r="D146" s="90">
        <f>C146/(100*12)</f>
        <v/>
      </c>
    </row>
    <row r="147">
      <c r="B147" s="87" t="n">
        <v>44805</v>
      </c>
      <c r="C147" s="89" t="n">
        <v>1.011</v>
      </c>
      <c r="D147" s="90">
        <f>C147/(100*12)</f>
        <v/>
      </c>
    </row>
    <row r="148">
      <c r="B148" s="87" t="n">
        <v>44835</v>
      </c>
      <c r="C148" s="89" t="n">
        <v>1.428</v>
      </c>
      <c r="D148" s="90">
        <f>C148/(100*12)</f>
        <v/>
      </c>
    </row>
    <row r="149">
      <c r="B149" s="87" t="n">
        <v>44866</v>
      </c>
      <c r="C149" s="89" t="n">
        <v>1.825</v>
      </c>
      <c r="D149" s="90">
        <f>C149/(100*12)</f>
        <v/>
      </c>
    </row>
    <row r="150">
      <c r="B150" s="87" t="n">
        <v>44896</v>
      </c>
      <c r="C150" s="89" t="n">
        <v>2.063</v>
      </c>
      <c r="D150" s="90">
        <f>C150/(100*12)</f>
        <v/>
      </c>
    </row>
    <row r="151">
      <c r="B151" s="87" t="n">
        <v>44927</v>
      </c>
      <c r="C151" s="89" t="n">
        <v>2.345</v>
      </c>
      <c r="D151" s="90">
        <f>C151/(100*12)</f>
        <v/>
      </c>
    </row>
    <row r="152">
      <c r="B152" s="87" t="n">
        <v>44958</v>
      </c>
      <c r="C152" s="89" t="n">
        <v>2.64</v>
      </c>
      <c r="D152" s="90">
        <f>C152/(100*12)</f>
        <v/>
      </c>
    </row>
    <row r="153">
      <c r="B153" s="87" t="n">
        <v>44986</v>
      </c>
      <c r="C153" s="89" t="n">
        <v>2.911</v>
      </c>
      <c r="D153" s="90">
        <f>C153/(100*12)</f>
        <v/>
      </c>
    </row>
    <row r="154">
      <c r="B154" s="87" t="n">
        <v>45017</v>
      </c>
      <c r="C154" s="89" t="n">
        <v>3.167</v>
      </c>
      <c r="D154" s="90">
        <f>C154/(100*12)</f>
        <v/>
      </c>
    </row>
    <row r="155">
      <c r="B155" s="87" t="n">
        <v>45047</v>
      </c>
      <c r="C155" s="89" t="n">
        <v>3.366</v>
      </c>
      <c r="D155" s="90">
        <f>C155/(100*12)</f>
        <v/>
      </c>
    </row>
    <row r="156">
      <c r="B156" s="87" t="n">
        <v>45078</v>
      </c>
      <c r="C156" s="89" t="n">
        <v>3.536</v>
      </c>
      <c r="D156" s="90">
        <f>C156/(100*12)</f>
        <v/>
      </c>
    </row>
    <row r="157">
      <c r="B157" s="87" t="n">
        <v>45108</v>
      </c>
      <c r="C157" s="89" t="n">
        <v>3.672</v>
      </c>
      <c r="D157" s="90">
        <f>C157/(100*12)</f>
        <v/>
      </c>
    </row>
    <row r="158">
      <c r="B158" s="87" t="n">
        <v>45139</v>
      </c>
      <c r="C158" s="89" t="n">
        <v>3.78</v>
      </c>
      <c r="D158" s="90">
        <f>C158/(100*12)</f>
        <v/>
      </c>
    </row>
    <row r="159">
      <c r="B159" s="87" t="n">
        <v>45170</v>
      </c>
      <c r="C159" s="89" t="n">
        <v>3.88</v>
      </c>
      <c r="D159" s="90">
        <f>C159/(100*12)</f>
        <v/>
      </c>
    </row>
    <row r="160">
      <c r="B160" s="87" t="n">
        <v>45200</v>
      </c>
      <c r="C160" s="89" t="n">
        <v>3.968</v>
      </c>
      <c r="D160" s="90">
        <f>C160/(100*12)</f>
        <v/>
      </c>
    </row>
    <row r="161">
      <c r="B161" s="87" t="n">
        <v>45231</v>
      </c>
      <c r="C161" s="89" t="n">
        <v>3.972</v>
      </c>
      <c r="D161" s="90">
        <f>C161/(100*12)</f>
        <v/>
      </c>
    </row>
    <row r="162">
      <c r="B162" s="87" t="n">
        <v>45261</v>
      </c>
      <c r="C162" s="89" t="n">
        <v>3.933</v>
      </c>
      <c r="D162" s="90">
        <f>C162/(100*12)</f>
        <v/>
      </c>
    </row>
    <row r="163">
      <c r="B163" s="87" t="n">
        <v>45292</v>
      </c>
      <c r="C163" s="89" t="n">
        <v>3.925</v>
      </c>
      <c r="D163" s="90">
        <f>C163/(100*12)</f>
        <v/>
      </c>
    </row>
    <row r="164">
      <c r="B164" s="87" t="n">
        <v>45323</v>
      </c>
      <c r="C164" s="89" t="n">
        <v>3.923</v>
      </c>
      <c r="D164" s="90">
        <f>C164/(100*12)</f>
        <v/>
      </c>
    </row>
    <row r="165">
      <c r="B165" s="87" t="n">
        <v>45352</v>
      </c>
      <c r="C165" s="89" t="n">
        <v>3.922</v>
      </c>
      <c r="D165" s="90">
        <f>C165/(100*12)</f>
        <v/>
      </c>
    </row>
    <row r="166">
      <c r="B166" s="87" t="n">
        <v>45383</v>
      </c>
      <c r="C166" s="89" t="n">
        <v>3.886</v>
      </c>
      <c r="D166" s="90">
        <f>C166/(100*12)</f>
        <v/>
      </c>
    </row>
    <row r="167">
      <c r="B167" s="87" t="n">
        <v>45413</v>
      </c>
      <c r="C167" s="89" t="n">
        <v>3.814</v>
      </c>
      <c r="D167" s="90">
        <f>C167/(100*12)</f>
        <v/>
      </c>
    </row>
    <row r="168">
      <c r="B168" s="87" t="n">
        <v>45444</v>
      </c>
      <c r="C168" s="89" t="n">
        <v>3.725</v>
      </c>
      <c r="D168" s="90">
        <f>C168/(100*12)</f>
        <v/>
      </c>
    </row>
    <row r="169">
      <c r="B169" s="87" t="n">
        <v>45474</v>
      </c>
      <c r="C169" s="89" t="n">
        <v>3.685</v>
      </c>
      <c r="D169" s="90">
        <f>C169/(100*12)</f>
        <v/>
      </c>
    </row>
    <row r="170">
      <c r="B170" s="87" t="n">
        <v>45505</v>
      </c>
      <c r="C170" s="89" t="n">
        <v>3.548</v>
      </c>
      <c r="D170" s="90">
        <f>C170/(100*12)</f>
        <v/>
      </c>
    </row>
    <row r="171">
      <c r="B171" s="87" t="n">
        <v>45536</v>
      </c>
      <c r="C171" s="89" t="n">
        <v>3.434</v>
      </c>
      <c r="D171" s="90">
        <f>C171/(100*12)</f>
        <v/>
      </c>
    </row>
    <row r="172">
      <c r="B172" s="87" t="n">
        <v>45566</v>
      </c>
      <c r="C172" s="89" t="n">
        <v>3.167</v>
      </c>
      <c r="D172" s="90">
        <f>C172/(100*12)</f>
        <v/>
      </c>
    </row>
    <row r="173">
      <c r="B173" s="87" t="n">
        <v>45597</v>
      </c>
      <c r="C173" s="89" t="n">
        <v>3.007</v>
      </c>
      <c r="D173" s="90">
        <f>C173/(100*12)</f>
        <v/>
      </c>
    </row>
    <row r="174">
      <c r="B174" s="87" t="n">
        <v>45627</v>
      </c>
      <c r="C174" s="89" t="n">
        <v>2.816</v>
      </c>
      <c r="D174" s="90">
        <f>C174/(100*12)</f>
        <v/>
      </c>
    </row>
    <row r="175">
      <c r="B175" s="87" t="n">
        <v>45658</v>
      </c>
      <c r="C175" s="89" t="n">
        <v>2.703</v>
      </c>
      <c r="D175" s="90">
        <f>C175/(100*12)</f>
        <v/>
      </c>
    </row>
    <row r="176">
      <c r="B176" s="87" t="n">
        <v>45689</v>
      </c>
      <c r="C176" s="89" t="n">
        <v>2.525</v>
      </c>
      <c r="D176" s="90">
        <f>C176/(100*12)</f>
        <v/>
      </c>
    </row>
    <row r="177">
      <c r="B177" s="87" t="n">
        <v>45717</v>
      </c>
      <c r="C177" s="89" t="n">
        <v>2.442</v>
      </c>
      <c r="D177" s="90">
        <f>C177/(100*12)</f>
        <v/>
      </c>
    </row>
    <row r="178">
      <c r="B178" s="87" t="n">
        <v>45748</v>
      </c>
      <c r="C178" s="89" t="n">
        <v>2.248</v>
      </c>
      <c r="D178" s="90">
        <f>C178/(100*12)</f>
        <v/>
      </c>
    </row>
    <row r="179">
      <c r="B179" s="87" t="n">
        <v>45778</v>
      </c>
      <c r="C179" s="89" t="n">
        <v>2.091</v>
      </c>
      <c r="D179" s="90">
        <f>C179/(100*12)</f>
        <v/>
      </c>
    </row>
    <row r="180">
      <c r="B180" s="87" t="n">
        <v>45809</v>
      </c>
      <c r="C180" s="89" t="n">
        <v>1.984</v>
      </c>
      <c r="D180" s="90">
        <f>C180/(100*12)</f>
        <v/>
      </c>
    </row>
    <row r="181">
      <c r="B181" s="87" t="n">
        <v>45839</v>
      </c>
      <c r="C181" s="89" t="n">
        <v>1.986</v>
      </c>
      <c r="D181" s="90">
        <f>C181/(100*12)</f>
        <v/>
      </c>
    </row>
    <row r="182">
      <c r="B182" s="87" t="n">
        <v>45870</v>
      </c>
      <c r="C182" s="89" t="n">
        <v>2.021</v>
      </c>
      <c r="D182" s="90">
        <f>C182/(100*12)</f>
        <v/>
      </c>
    </row>
  </sheetData>
  <pageMargins left="0.7" right="0.7" top="0.75" bottom="0.75" header="0.3" footer="0.3"/>
</worksheet>
</file>

<file path=xl/worksheets/sheet11.xml><?xml version="1.0" encoding="utf-8"?>
<worksheet xmlns="http://schemas.openxmlformats.org/spreadsheetml/2006/main">
  <sheetPr>
    <tabColor theme="9" tint="0.5999938962981048"/>
    <outlinePr summaryBelow="1" summaryRight="1"/>
    <pageSetUpPr/>
  </sheetPr>
  <dimension ref="B2:D14"/>
  <sheetViews>
    <sheetView showGridLines="0" topLeftCell="B2" zoomScale="132" workbookViewId="0">
      <selection activeCell="D3" sqref="D3"/>
    </sheetView>
  </sheetViews>
  <sheetFormatPr baseColWidth="10" defaultColWidth="0" defaultRowHeight="15" zeroHeight="1"/>
  <cols>
    <col hidden="1" min="1" max="1"/>
    <col width="10.83203125" customWidth="1" min="2" max="2"/>
    <col width="26.1640625" bestFit="1" customWidth="1" min="3" max="3"/>
    <col width="17.5" bestFit="1" customWidth="1" min="4" max="4"/>
    <col hidden="1" width="10.83203125" customWidth="1" min="5" max="16384"/>
  </cols>
  <sheetData>
    <row r="2">
      <c r="B2" s="29" t="inlineStr">
        <is>
          <t>#</t>
        </is>
      </c>
      <c r="C2" s="29" t="inlineStr">
        <is>
          <t>Company name</t>
        </is>
      </c>
      <c r="D2" s="29" t="inlineStr">
        <is>
          <t>Ticker Yahoo Finance</t>
        </is>
      </c>
    </row>
    <row r="3">
      <c r="B3" t="n">
        <v>1</v>
      </c>
      <c r="C3" t="inlineStr">
        <is>
          <t>AIRBUS</t>
        </is>
      </c>
      <c r="D3" t="inlineStr">
        <is>
          <t>AIR.PA</t>
        </is>
      </c>
    </row>
    <row r="4">
      <c r="B4" t="n">
        <v>2</v>
      </c>
      <c r="C4" t="inlineStr">
        <is>
          <t>BNP PARIBAS ACT.A</t>
        </is>
      </c>
      <c r="D4" t="inlineStr">
        <is>
          <t>BNP.PA</t>
        </is>
      </c>
    </row>
    <row r="5">
      <c r="B5" t="n">
        <v>3</v>
      </c>
      <c r="C5" t="inlineStr">
        <is>
          <t>CAPGEMINI</t>
        </is>
      </c>
      <c r="D5" t="inlineStr">
        <is>
          <t>CAP.PA</t>
        </is>
      </c>
    </row>
    <row r="6">
      <c r="B6" t="n">
        <v>4</v>
      </c>
      <c r="C6" t="inlineStr">
        <is>
          <t>DANONE</t>
        </is>
      </c>
      <c r="D6" t="inlineStr">
        <is>
          <t>BN.PA</t>
        </is>
      </c>
    </row>
    <row r="7">
      <c r="B7" t="n">
        <v>5</v>
      </c>
      <c r="C7" t="inlineStr">
        <is>
          <t>ENGIE</t>
        </is>
      </c>
      <c r="D7" t="inlineStr">
        <is>
          <t>ENGI.PA</t>
        </is>
      </c>
    </row>
    <row r="8">
      <c r="B8" t="n">
        <v>6</v>
      </c>
      <c r="C8" t="inlineStr">
        <is>
          <t>HERMES INTL</t>
        </is>
      </c>
      <c r="D8" t="inlineStr">
        <is>
          <t>RMS.PA</t>
        </is>
      </c>
    </row>
    <row r="9">
      <c r="B9" t="n">
        <v>7</v>
      </c>
      <c r="C9" t="inlineStr">
        <is>
          <t>PERNOD RICARD</t>
        </is>
      </c>
      <c r="D9" t="inlineStr">
        <is>
          <t>RI.PA</t>
        </is>
      </c>
    </row>
    <row r="10">
      <c r="B10" t="n">
        <v>8</v>
      </c>
      <c r="C10" t="inlineStr">
        <is>
          <t>RENAULT</t>
        </is>
      </c>
      <c r="D10" t="inlineStr">
        <is>
          <t>RNO.PA</t>
        </is>
      </c>
    </row>
    <row r="11">
      <c r="B11" t="n">
        <v>9</v>
      </c>
      <c r="C11" t="inlineStr">
        <is>
          <t>SANOFI</t>
        </is>
      </c>
      <c r="D11" t="inlineStr">
        <is>
          <t>SAN.PA</t>
        </is>
      </c>
    </row>
    <row r="12">
      <c r="B12" t="n">
        <v>10</v>
      </c>
      <c r="C12" t="inlineStr">
        <is>
          <t>SCHNEIDER ELECTRIC</t>
        </is>
      </c>
      <c r="D12" t="inlineStr">
        <is>
          <t>SU.PA</t>
        </is>
      </c>
    </row>
    <row r="13">
      <c r="B13" t="n">
        <v>11</v>
      </c>
      <c r="C13" t="inlineStr">
        <is>
          <t>TOTALENERGIES</t>
        </is>
      </c>
      <c r="D13" t="inlineStr">
        <is>
          <t>TTE.PA</t>
        </is>
      </c>
    </row>
    <row r="14">
      <c r="B14" t="n">
        <v>12</v>
      </c>
      <c r="C14" t="inlineStr">
        <is>
          <t>VINCI</t>
        </is>
      </c>
      <c r="D14" t="inlineStr">
        <is>
          <t>DG.PA</t>
        </is>
      </c>
    </row>
  </sheetData>
  <pageMargins left="0.7" right="0.7" top="0.75" bottom="0.75" header="0.3" footer="0.3"/>
  <pageSetup orientation="portrait" paperSize="9" horizontalDpi="0" verticalDpi="0"/>
</worksheet>
</file>

<file path=xl/worksheets/sheet12.xml><?xml version="1.0" encoding="utf-8"?>
<worksheet xmlns="http://schemas.openxmlformats.org/spreadsheetml/2006/main">
  <sheetPr>
    <tabColor theme="7" tint="0.7999816888943144"/>
    <outlinePr summaryBelow="1" summaryRight="1"/>
    <pageSetUpPr/>
  </sheetPr>
  <dimension ref="B2:D184"/>
  <sheetViews>
    <sheetView showGridLines="0" zoomScale="125" workbookViewId="0">
      <selection activeCell="G15" sqref="G15"/>
    </sheetView>
  </sheetViews>
  <sheetFormatPr baseColWidth="10" defaultColWidth="10.83203125" defaultRowHeight="15"/>
  <cols>
    <col width="13.1640625" bestFit="1" customWidth="1" min="4" max="4"/>
  </cols>
  <sheetData>
    <row r="2">
      <c r="B2" s="31" t="inlineStr">
        <is>
          <t>Date</t>
        </is>
      </c>
      <c r="C2" s="29" t="inlineStr">
        <is>
          <t>AIR.PA</t>
        </is>
      </c>
      <c r="D2" s="29" t="inlineStr">
        <is>
          <t>Monthly Return</t>
        </is>
      </c>
    </row>
    <row r="3">
      <c r="B3" s="160" t="inlineStr">
        <is>
          <t>2010-08</t>
        </is>
      </c>
      <c r="C3" s="167" t="n">
        <v>13.991005897522</v>
      </c>
    </row>
    <row r="4">
      <c r="B4" s="160" t="n">
        <v>40451</v>
      </c>
      <c r="C4" s="167" t="n">
        <v>14.7403078079224</v>
      </c>
      <c r="D4" s="34">
        <f>(C4-C3)/C3</f>
        <v/>
      </c>
    </row>
    <row r="5">
      <c r="B5" s="160" t="n">
        <v>40482</v>
      </c>
      <c r="C5" s="167" t="n">
        <v>15.2156734466553</v>
      </c>
      <c r="D5" s="34">
        <f>(C5-C4)/C4</f>
        <v/>
      </c>
    </row>
    <row r="6">
      <c r="B6" s="160" t="n">
        <v>40512</v>
      </c>
      <c r="C6" s="167" t="n">
        <v>13.9064054489136</v>
      </c>
      <c r="D6" s="34">
        <f>(C6-C5)/C5</f>
        <v/>
      </c>
    </row>
    <row r="7">
      <c r="B7" s="160" t="n">
        <v>40543</v>
      </c>
      <c r="C7" s="167" t="n">
        <v>14.0514345169067</v>
      </c>
      <c r="D7" s="34">
        <f>(C7-C6)/C6</f>
        <v/>
      </c>
    </row>
    <row r="8">
      <c r="B8" s="160" t="n">
        <v>40574</v>
      </c>
      <c r="C8" s="167" t="n">
        <v>16.960018157959</v>
      </c>
      <c r="D8" s="34">
        <f>(C8-C7)/C7</f>
        <v/>
      </c>
    </row>
    <row r="9">
      <c r="B9" s="160" t="n">
        <v>40602</v>
      </c>
      <c r="C9" s="167" t="n">
        <v>16.8875026702881</v>
      </c>
      <c r="D9" s="34">
        <f>(C9-C8)/C8</f>
        <v/>
      </c>
    </row>
    <row r="10">
      <c r="B10" s="160" t="n">
        <v>40633</v>
      </c>
      <c r="C10" s="167" t="n">
        <v>16.549108505249</v>
      </c>
      <c r="D10" s="34">
        <f>(C10-C9)/C9</f>
        <v/>
      </c>
    </row>
    <row r="11">
      <c r="B11" s="160" t="n">
        <v>40663</v>
      </c>
      <c r="C11" s="167" t="n">
        <v>16.8311042785645</v>
      </c>
      <c r="D11" s="34">
        <f>(C11-C10)/C10</f>
        <v/>
      </c>
    </row>
    <row r="12">
      <c r="B12" s="160" t="n">
        <v>40694</v>
      </c>
      <c r="C12" s="167" t="n">
        <v>18.4344520568848</v>
      </c>
      <c r="D12" s="34">
        <f>(C12-C11)/C11</f>
        <v/>
      </c>
    </row>
    <row r="13">
      <c r="B13" s="160" t="n">
        <v>40724</v>
      </c>
      <c r="C13" s="167" t="n">
        <v>18.595588684082</v>
      </c>
      <c r="D13" s="34">
        <f>(C13-C12)/C12</f>
        <v/>
      </c>
    </row>
    <row r="14">
      <c r="B14" s="160" t="n">
        <v>40755</v>
      </c>
      <c r="C14" s="167" t="n">
        <v>19.6872730255127</v>
      </c>
      <c r="D14" s="34">
        <f>(C14-C13)/C13</f>
        <v/>
      </c>
    </row>
    <row r="15">
      <c r="B15" s="160" t="n">
        <v>40786</v>
      </c>
      <c r="C15" s="167" t="n">
        <v>18.0114154815674</v>
      </c>
      <c r="D15" s="34">
        <f>(C15-C14)/C14</f>
        <v/>
      </c>
    </row>
    <row r="16">
      <c r="B16" s="160" t="n">
        <v>40816</v>
      </c>
      <c r="C16" s="167" t="n">
        <v>17.2507705688477</v>
      </c>
      <c r="D16" s="34">
        <f>(C16-C15)/C15</f>
        <v/>
      </c>
    </row>
    <row r="17">
      <c r="B17" s="160" t="n">
        <v>40847</v>
      </c>
      <c r="C17" s="167" t="n">
        <v>17.3850059509277</v>
      </c>
      <c r="D17" s="34">
        <f>(C17-C16)/C16</f>
        <v/>
      </c>
    </row>
    <row r="18">
      <c r="B18" s="160" t="n">
        <v>40877</v>
      </c>
      <c r="C18" s="167" t="n">
        <v>18.0561618804932</v>
      </c>
      <c r="D18" s="34">
        <f>(C18-C17)/C17</f>
        <v/>
      </c>
    </row>
    <row r="19">
      <c r="B19" s="160" t="n">
        <v>40908</v>
      </c>
      <c r="C19" s="167" t="n">
        <v>19.6466007232666</v>
      </c>
      <c r="D19" s="34">
        <f>(C19-C18)/C18</f>
        <v/>
      </c>
    </row>
    <row r="20">
      <c r="B20" s="160" t="n">
        <v>40939</v>
      </c>
      <c r="C20" s="167" t="n">
        <v>20.8912906646729</v>
      </c>
      <c r="D20" s="34">
        <f>(C20-C19)/C19</f>
        <v/>
      </c>
    </row>
    <row r="21">
      <c r="B21" s="160" t="n">
        <v>40968</v>
      </c>
      <c r="C21" s="167" t="n">
        <v>22.1807270050049</v>
      </c>
      <c r="D21" s="34">
        <f>(C21-C20)/C20</f>
        <v/>
      </c>
    </row>
    <row r="22">
      <c r="B22" s="160" t="n">
        <v>40999</v>
      </c>
      <c r="C22" s="167" t="n">
        <v>24.979248046875</v>
      </c>
      <c r="D22" s="34">
        <f>(C22-C21)/C21</f>
        <v/>
      </c>
    </row>
    <row r="23">
      <c r="B23" s="160" t="n">
        <v>41029</v>
      </c>
      <c r="C23" s="167" t="n">
        <v>24.2633514404297</v>
      </c>
      <c r="D23" s="34">
        <f>(C23-C22)/C22</f>
        <v/>
      </c>
    </row>
    <row r="24">
      <c r="B24" s="160" t="n">
        <v>41060</v>
      </c>
      <c r="C24" s="167" t="n">
        <v>22.022087097168</v>
      </c>
      <c r="D24" s="34">
        <f>(C24-C23)/C23</f>
        <v/>
      </c>
    </row>
    <row r="25">
      <c r="B25" s="160" t="n">
        <v>41090</v>
      </c>
      <c r="C25" s="167" t="n">
        <v>22.7298545837402</v>
      </c>
      <c r="D25" s="34">
        <f>(C25-C24)/C24</f>
        <v/>
      </c>
    </row>
    <row r="26">
      <c r="B26" s="160" t="n">
        <v>41121</v>
      </c>
      <c r="C26" s="167" t="n">
        <v>24.2205028533936</v>
      </c>
      <c r="D26" s="34">
        <f>(C26-C25)/C25</f>
        <v/>
      </c>
    </row>
    <row r="27">
      <c r="B27" s="160" t="n">
        <v>41152</v>
      </c>
      <c r="C27" s="167" t="n">
        <v>25.0979385375977</v>
      </c>
      <c r="D27" s="34">
        <f>(C27-C26)/C26</f>
        <v/>
      </c>
    </row>
    <row r="28">
      <c r="B28" s="160" t="n">
        <v>41182</v>
      </c>
      <c r="C28" s="167" t="n">
        <v>20.4169063568115</v>
      </c>
      <c r="D28" s="34">
        <f>(C28-C27)/C27</f>
        <v/>
      </c>
    </row>
    <row r="29">
      <c r="B29" s="160" t="n">
        <v>41213</v>
      </c>
      <c r="C29" s="167" t="n">
        <v>22.6891307830811</v>
      </c>
      <c r="D29" s="34">
        <f>(C29-C28)/C28</f>
        <v/>
      </c>
    </row>
    <row r="30">
      <c r="B30" s="160" t="n">
        <v>41243</v>
      </c>
      <c r="C30" s="167" t="n">
        <v>21.4309215545654</v>
      </c>
      <c r="D30" s="34">
        <f>(C30-C29)/C29</f>
        <v/>
      </c>
    </row>
    <row r="31">
      <c r="B31" s="160" t="n">
        <v>41274</v>
      </c>
      <c r="C31" s="167" t="n">
        <v>24.4191665649414</v>
      </c>
      <c r="D31" s="34">
        <f>(C31-C30)/C30</f>
        <v/>
      </c>
    </row>
    <row r="32">
      <c r="B32" s="160" t="n">
        <v>41305</v>
      </c>
      <c r="C32" s="167" t="n">
        <v>28.6449279785156</v>
      </c>
      <c r="D32" s="34">
        <f>(C32-C31)/C31</f>
        <v/>
      </c>
    </row>
    <row r="33">
      <c r="B33" s="160" t="n">
        <v>41333</v>
      </c>
      <c r="C33" s="167" t="n">
        <v>32.4319610595703</v>
      </c>
      <c r="D33" s="34">
        <f>(C33-C32)/C32</f>
        <v/>
      </c>
    </row>
    <row r="34">
      <c r="B34" s="160" t="n">
        <v>41364</v>
      </c>
      <c r="C34" s="167" t="n">
        <v>32.8624038696289</v>
      </c>
      <c r="D34" s="34">
        <f>(C34-C33)/C33</f>
        <v/>
      </c>
    </row>
    <row r="35">
      <c r="B35" s="160" t="n">
        <v>41394</v>
      </c>
      <c r="C35" s="167" t="n">
        <v>33.1976470947266</v>
      </c>
      <c r="D35" s="34">
        <f>(C35-C34)/C34</f>
        <v/>
      </c>
    </row>
    <row r="36">
      <c r="B36" s="160" t="n">
        <v>41425</v>
      </c>
      <c r="C36" s="167" t="n">
        <v>36.794303894043</v>
      </c>
      <c r="D36" s="34">
        <f>(C36-C35)/C35</f>
        <v/>
      </c>
    </row>
    <row r="37">
      <c r="B37" s="160" t="n">
        <v>41455</v>
      </c>
      <c r="C37" s="167" t="n">
        <v>34.4596061706543</v>
      </c>
      <c r="D37" s="34">
        <f>(C37-C36)/C36</f>
        <v/>
      </c>
    </row>
    <row r="38">
      <c r="B38" s="160" t="n">
        <v>41486</v>
      </c>
      <c r="C38" s="167" t="n">
        <v>37.6651573181152</v>
      </c>
      <c r="D38" s="34">
        <f>(C38-C37)/C37</f>
        <v/>
      </c>
    </row>
    <row r="39">
      <c r="B39" s="160" t="n">
        <v>41517</v>
      </c>
      <c r="C39" s="167" t="n">
        <v>36.5910453796387</v>
      </c>
      <c r="D39" s="34">
        <f>(C39-C38)/C38</f>
        <v/>
      </c>
    </row>
    <row r="40">
      <c r="B40" s="160" t="n">
        <v>41547</v>
      </c>
      <c r="C40" s="167" t="n">
        <v>39.5196723937988</v>
      </c>
      <c r="D40" s="34">
        <f>(C40-C39)/C39</f>
        <v/>
      </c>
    </row>
    <row r="41">
      <c r="B41" s="160" t="n">
        <v>41578</v>
      </c>
      <c r="C41" s="167" t="n">
        <v>42.4692764282227</v>
      </c>
      <c r="D41" s="34">
        <f>(C41-C40)/C40</f>
        <v/>
      </c>
    </row>
    <row r="42">
      <c r="B42" s="160" t="n">
        <v>41608</v>
      </c>
      <c r="C42" s="167" t="n">
        <v>43.8538665771484</v>
      </c>
      <c r="D42" s="34">
        <f>(C42-C41)/C41</f>
        <v/>
      </c>
    </row>
    <row r="43">
      <c r="B43" s="160" t="n">
        <v>41639</v>
      </c>
      <c r="C43" s="167" t="n">
        <v>46.8328475952148</v>
      </c>
      <c r="D43" s="34">
        <f>(C43-C42)/C42</f>
        <v/>
      </c>
    </row>
    <row r="44">
      <c r="B44" s="160" t="n">
        <v>41670</v>
      </c>
      <c r="C44" s="167" t="n">
        <v>44.1475715637207</v>
      </c>
      <c r="D44" s="34">
        <f>(C44-C43)/C43</f>
        <v/>
      </c>
    </row>
    <row r="45">
      <c r="B45" s="160" t="n">
        <v>41698</v>
      </c>
      <c r="C45" s="167" t="n">
        <v>44.8021125793457</v>
      </c>
      <c r="D45" s="34">
        <f>(C45-C44)/C44</f>
        <v/>
      </c>
    </row>
    <row r="46">
      <c r="B46" s="160" t="n">
        <v>41729</v>
      </c>
      <c r="C46" s="167" t="n">
        <v>43.6273040771484</v>
      </c>
      <c r="D46" s="34">
        <f>(C46-C45)/C45</f>
        <v/>
      </c>
    </row>
    <row r="47">
      <c r="B47" s="160" t="n">
        <v>41759</v>
      </c>
      <c r="C47" s="167" t="n">
        <v>41.5294342041016</v>
      </c>
      <c r="D47" s="34">
        <f>(C47-C46)/C46</f>
        <v/>
      </c>
    </row>
    <row r="48">
      <c r="B48" s="160" t="n">
        <v>41790</v>
      </c>
      <c r="C48" s="167" t="n">
        <v>44.1475715637207</v>
      </c>
      <c r="D48" s="34">
        <f>(C48-C47)/C47</f>
        <v/>
      </c>
    </row>
    <row r="49">
      <c r="B49" s="160" t="n">
        <v>41820</v>
      </c>
      <c r="C49" s="167" t="n">
        <v>41.6560401916504</v>
      </c>
      <c r="D49" s="34">
        <f>(C49-C48)/C48</f>
        <v/>
      </c>
    </row>
    <row r="50">
      <c r="B50" s="160" t="n">
        <v>41851</v>
      </c>
      <c r="C50" s="167" t="n">
        <v>36.9065322875977</v>
      </c>
      <c r="D50" s="34">
        <f>(C50-C49)/C49</f>
        <v/>
      </c>
    </row>
    <row r="51">
      <c r="B51" s="160" t="n">
        <v>41882</v>
      </c>
      <c r="C51" s="167" t="n">
        <v>39.8388061523438</v>
      </c>
      <c r="D51" s="34">
        <f>(C51-C50)/C50</f>
        <v/>
      </c>
    </row>
    <row r="52">
      <c r="B52" s="160" t="n">
        <v>41912</v>
      </c>
      <c r="C52" s="167" t="n">
        <v>42.4050674438477</v>
      </c>
      <c r="D52" s="34">
        <f>(C52-C51)/C51</f>
        <v/>
      </c>
    </row>
    <row r="53">
      <c r="B53" s="160" t="n">
        <v>41943</v>
      </c>
      <c r="C53" s="167" t="n">
        <v>40.5154762268066</v>
      </c>
      <c r="D53" s="34">
        <f>(C53-C52)/C52</f>
        <v/>
      </c>
    </row>
    <row r="54">
      <c r="B54" s="160" t="n">
        <v>41973</v>
      </c>
      <c r="C54" s="167" t="n">
        <v>41.7028541564941</v>
      </c>
      <c r="D54" s="34">
        <f>(C54-C53)/C53</f>
        <v/>
      </c>
    </row>
    <row r="55">
      <c r="B55" s="160" t="n">
        <v>42004</v>
      </c>
      <c r="C55" s="167" t="n">
        <v>35.1956901550293</v>
      </c>
      <c r="D55" s="34">
        <f>(C55-C54)/C54</f>
        <v/>
      </c>
    </row>
    <row r="56">
      <c r="B56" s="160" t="n">
        <v>42035</v>
      </c>
      <c r="C56" s="167" t="n">
        <v>40.1750144958496</v>
      </c>
      <c r="D56" s="34">
        <f>(C56-C55)/C55</f>
        <v/>
      </c>
    </row>
    <row r="57">
      <c r="B57" s="160" t="n">
        <v>42063</v>
      </c>
      <c r="C57" s="167" t="n">
        <v>47.0949897766113</v>
      </c>
      <c r="D57" s="34">
        <f>(C57-C56)/C56</f>
        <v/>
      </c>
    </row>
    <row r="58">
      <c r="B58" s="160" t="n">
        <v>42094</v>
      </c>
      <c r="C58" s="167" t="n">
        <v>51.4444427490234</v>
      </c>
      <c r="D58" s="34">
        <f>(C58-C57)/C57</f>
        <v/>
      </c>
    </row>
    <row r="59">
      <c r="B59" s="160" t="n">
        <v>42124</v>
      </c>
      <c r="C59" s="167" t="n">
        <v>52.7722663879395</v>
      </c>
      <c r="D59" s="34">
        <f>(C59-C58)/C58</f>
        <v/>
      </c>
    </row>
    <row r="60">
      <c r="B60" s="160" t="n">
        <v>42155</v>
      </c>
      <c r="C60" s="167" t="n">
        <v>52.7722663879395</v>
      </c>
      <c r="D60" s="34">
        <f>(C60-C59)/C59</f>
        <v/>
      </c>
    </row>
    <row r="61">
      <c r="B61" s="160" t="n">
        <v>42185</v>
      </c>
      <c r="C61" s="167" t="n">
        <v>49.5378341674805</v>
      </c>
      <c r="D61" s="34">
        <f>(C61-C60)/C60</f>
        <v/>
      </c>
    </row>
    <row r="62">
      <c r="B62" s="160" t="n">
        <v>42216</v>
      </c>
      <c r="C62" s="167" t="n">
        <v>56.0705261230469</v>
      </c>
      <c r="D62" s="34">
        <f>(C62-C61)/C61</f>
        <v/>
      </c>
    </row>
    <row r="63">
      <c r="B63" s="160" t="n">
        <v>42247</v>
      </c>
      <c r="C63" s="167" t="n">
        <v>50.4200744628906</v>
      </c>
      <c r="D63" s="34">
        <f>(C63-C62)/C62</f>
        <v/>
      </c>
    </row>
    <row r="64">
      <c r="B64" s="160" t="n">
        <v>42277</v>
      </c>
      <c r="C64" s="167" t="n">
        <v>45.9240226745606</v>
      </c>
      <c r="D64" s="34">
        <f>(C64-C63)/C63</f>
        <v/>
      </c>
    </row>
    <row r="65">
      <c r="B65" s="160" t="n">
        <v>42308</v>
      </c>
      <c r="C65" s="167" t="n">
        <v>54.9942512512207</v>
      </c>
      <c r="D65" s="34">
        <f>(C65-C64)/C64</f>
        <v/>
      </c>
    </row>
    <row r="66">
      <c r="B66" s="160" t="n">
        <v>42338</v>
      </c>
      <c r="C66" s="167" t="n">
        <v>59.4035186767578</v>
      </c>
      <c r="D66" s="34">
        <f>(C66-C65)/C65</f>
        <v/>
      </c>
    </row>
    <row r="67">
      <c r="B67" s="160" t="n">
        <v>42369</v>
      </c>
      <c r="C67" s="167" t="n">
        <v>53.8138275146484</v>
      </c>
      <c r="D67" s="34">
        <f>(C67-C66)/C66</f>
        <v/>
      </c>
    </row>
    <row r="68">
      <c r="B68" s="160" t="n">
        <v>42400</v>
      </c>
      <c r="C68" s="167" t="n">
        <v>50.1857261657715</v>
      </c>
      <c r="D68" s="34">
        <f>(C68-C67)/C67</f>
        <v/>
      </c>
    </row>
    <row r="69">
      <c r="B69" s="160" t="n">
        <v>42429</v>
      </c>
      <c r="C69" s="167" t="n">
        <v>51.8869361877441</v>
      </c>
      <c r="D69" s="34">
        <f>(C69-C68)/C68</f>
        <v/>
      </c>
    </row>
    <row r="70">
      <c r="B70" s="160" t="n">
        <v>42460</v>
      </c>
      <c r="C70" s="167" t="n">
        <v>50.6457443237305</v>
      </c>
      <c r="D70" s="34">
        <f>(C70-C69)/C69</f>
        <v/>
      </c>
    </row>
    <row r="71">
      <c r="B71" s="160" t="n">
        <v>42490</v>
      </c>
      <c r="C71" s="167" t="n">
        <v>47.3995590209961</v>
      </c>
      <c r="D71" s="34">
        <f>(C71-C70)/C70</f>
        <v/>
      </c>
    </row>
    <row r="72">
      <c r="B72" s="160" t="n">
        <v>42521</v>
      </c>
      <c r="C72" s="167" t="n">
        <v>48.6233901977539</v>
      </c>
      <c r="D72" s="34">
        <f>(C72-C71)/C71</f>
        <v/>
      </c>
    </row>
    <row r="73">
      <c r="B73" s="160" t="n">
        <v>42551</v>
      </c>
      <c r="C73" s="167" t="n">
        <v>45.9947319030762</v>
      </c>
      <c r="D73" s="34">
        <f>(C73-C72)/C72</f>
        <v/>
      </c>
    </row>
    <row r="74">
      <c r="B74" s="160" t="n">
        <v>42582</v>
      </c>
      <c r="C74" s="167" t="n">
        <v>46.7949485778809</v>
      </c>
      <c r="D74" s="34">
        <f>(C74-C73)/C73</f>
        <v/>
      </c>
    </row>
    <row r="75">
      <c r="B75" s="160" t="n">
        <v>42613</v>
      </c>
      <c r="C75" s="167" t="n">
        <v>46.4926452636719</v>
      </c>
      <c r="D75" s="34">
        <f>(C75-C74)/C74</f>
        <v/>
      </c>
    </row>
    <row r="76">
      <c r="B76" s="160" t="n">
        <v>42643</v>
      </c>
      <c r="C76" s="167" t="n">
        <v>47.870792388916</v>
      </c>
      <c r="D76" s="34">
        <f>(C76-C75)/C75</f>
        <v/>
      </c>
    </row>
    <row r="77">
      <c r="B77" s="160" t="n">
        <v>42674</v>
      </c>
      <c r="C77" s="167" t="n">
        <v>48.1464309692383</v>
      </c>
      <c r="D77" s="34">
        <f>(C77-C76)/C76</f>
        <v/>
      </c>
    </row>
    <row r="78">
      <c r="B78" s="160" t="n">
        <v>42704</v>
      </c>
      <c r="C78" s="167" t="n">
        <v>53.5879058837891</v>
      </c>
      <c r="D78" s="34">
        <f>(C78-C77)/C77</f>
        <v/>
      </c>
    </row>
    <row r="79">
      <c r="B79" s="160" t="n">
        <v>42735</v>
      </c>
      <c r="C79" s="167" t="n">
        <v>55.8729705810547</v>
      </c>
      <c r="D79" s="34">
        <f>(C79-C78)/C78</f>
        <v/>
      </c>
    </row>
    <row r="80">
      <c r="B80" s="160" t="n">
        <v>42766</v>
      </c>
      <c r="C80" s="167" t="n">
        <v>55.8018341064453</v>
      </c>
      <c r="D80" s="34">
        <f>(C80-C79)/C79</f>
        <v/>
      </c>
    </row>
    <row r="81">
      <c r="B81" s="160" t="n">
        <v>42794</v>
      </c>
      <c r="C81" s="167" t="n">
        <v>61.6345405578613</v>
      </c>
      <c r="D81" s="34">
        <f>(C81-C80)/C80</f>
        <v/>
      </c>
    </row>
    <row r="82">
      <c r="B82" s="160" t="n">
        <v>42825</v>
      </c>
      <c r="C82" s="167" t="n">
        <v>63.4216995239258</v>
      </c>
      <c r="D82" s="34">
        <f>(C82-C81)/C81</f>
        <v/>
      </c>
    </row>
    <row r="83">
      <c r="B83" s="160" t="n">
        <v>42855</v>
      </c>
      <c r="C83" s="167" t="n">
        <v>66.0001754760742</v>
      </c>
      <c r="D83" s="34">
        <f>(C83-C82)/C82</f>
        <v/>
      </c>
    </row>
    <row r="84">
      <c r="B84" s="160" t="n">
        <v>42886</v>
      </c>
      <c r="C84" s="167" t="n">
        <v>66.2221145629883</v>
      </c>
      <c r="D84" s="34">
        <f>(C84-C83)/C83</f>
        <v/>
      </c>
    </row>
    <row r="85">
      <c r="B85" s="160" t="n">
        <v>42916</v>
      </c>
      <c r="C85" s="167" t="n">
        <v>65.25238037109381</v>
      </c>
      <c r="D85" s="34">
        <f>(C85-C84)/C84</f>
        <v/>
      </c>
    </row>
    <row r="86">
      <c r="B86" s="160" t="n">
        <v>42947</v>
      </c>
      <c r="C86" s="167" t="n">
        <v>63.9835929870606</v>
      </c>
      <c r="D86" s="34">
        <f>(C86-C85)/C85</f>
        <v/>
      </c>
    </row>
    <row r="87">
      <c r="B87" s="160" t="n">
        <v>42978</v>
      </c>
      <c r="C87" s="167" t="n">
        <v>63.9926567077637</v>
      </c>
      <c r="D87" s="34">
        <f>(C87-C86)/C86</f>
        <v/>
      </c>
    </row>
    <row r="88">
      <c r="B88" s="160" t="n">
        <v>43008</v>
      </c>
      <c r="C88" s="167" t="n">
        <v>72.8742294311523</v>
      </c>
      <c r="D88" s="34">
        <f>(C88-C87)/C87</f>
        <v/>
      </c>
    </row>
    <row r="89">
      <c r="B89" s="160" t="n">
        <v>43039</v>
      </c>
      <c r="C89" s="167" t="n">
        <v>79.5263366699219</v>
      </c>
      <c r="D89" s="34">
        <f>(C89-C88)/C88</f>
        <v/>
      </c>
    </row>
    <row r="90">
      <c r="B90" s="160" t="n">
        <v>43069</v>
      </c>
      <c r="C90" s="167" t="n">
        <v>79.1094512939453</v>
      </c>
      <c r="D90" s="34">
        <f>(C90-C89)/C89</f>
        <v/>
      </c>
    </row>
    <row r="91">
      <c r="B91" s="160" t="n">
        <v>43100</v>
      </c>
      <c r="C91" s="167" t="n">
        <v>75.22149658203131</v>
      </c>
      <c r="D91" s="34">
        <f>(C91-C90)/C90</f>
        <v/>
      </c>
    </row>
    <row r="92">
      <c r="B92" s="160" t="n">
        <v>43131</v>
      </c>
      <c r="C92" s="167" t="n">
        <v>83.83119964599609</v>
      </c>
      <c r="D92" s="34">
        <f>(C92-C91)/C91</f>
        <v/>
      </c>
    </row>
    <row r="93">
      <c r="B93" s="160" t="n">
        <v>43159</v>
      </c>
      <c r="C93" s="167" t="n">
        <v>89.12387847900391</v>
      </c>
      <c r="D93" s="34">
        <f>(C93-C92)/C92</f>
        <v/>
      </c>
    </row>
    <row r="94">
      <c r="B94" s="160" t="n">
        <v>43190</v>
      </c>
      <c r="C94" s="167" t="n">
        <v>85.0093536376953</v>
      </c>
      <c r="D94" s="34">
        <f>(C94-C93)/C93</f>
        <v/>
      </c>
    </row>
    <row r="95">
      <c r="B95" s="160" t="n">
        <v>43220</v>
      </c>
      <c r="C95" s="167" t="n">
        <v>88.2719802856445</v>
      </c>
      <c r="D95" s="34">
        <f>(C95-C94)/C94</f>
        <v/>
      </c>
    </row>
    <row r="96">
      <c r="B96" s="160" t="n">
        <v>43251</v>
      </c>
      <c r="C96" s="167" t="n">
        <v>89.66025543212891</v>
      </c>
      <c r="D96" s="34">
        <f>(C96-C95)/C95</f>
        <v/>
      </c>
    </row>
    <row r="97">
      <c r="B97" s="160" t="n">
        <v>43281</v>
      </c>
      <c r="C97" s="167" t="n">
        <v>92.3783493041992</v>
      </c>
      <c r="D97" s="34">
        <f>(C97-C96)/C96</f>
        <v/>
      </c>
    </row>
    <row r="98">
      <c r="B98" s="160" t="n">
        <v>43312</v>
      </c>
      <c r="C98" s="167" t="n">
        <v>97.667106628418</v>
      </c>
      <c r="D98" s="34">
        <f>(C98-C97)/C97</f>
        <v/>
      </c>
    </row>
    <row r="99">
      <c r="B99" s="160" t="n">
        <v>43343</v>
      </c>
      <c r="C99" s="167" t="n">
        <v>97.9066696166992</v>
      </c>
      <c r="D99" s="34">
        <f>(C99-C98)/C98</f>
        <v/>
      </c>
    </row>
    <row r="100">
      <c r="B100" s="160" t="n">
        <v>43373</v>
      </c>
      <c r="C100" s="167" t="n">
        <v>99.6757354736328</v>
      </c>
      <c r="D100" s="34">
        <f>(C100-C99)/C99</f>
        <v/>
      </c>
    </row>
    <row r="101">
      <c r="B101" s="160" t="n">
        <v>43404</v>
      </c>
      <c r="C101" s="167" t="n">
        <v>90.02880859375</v>
      </c>
      <c r="D101" s="34">
        <f>(C101-C100)/C100</f>
        <v/>
      </c>
    </row>
    <row r="102">
      <c r="B102" s="160" t="n">
        <v>43434</v>
      </c>
      <c r="C102" s="167" t="n">
        <v>87.1817169189453</v>
      </c>
      <c r="D102" s="34">
        <f>(C102-C101)/C101</f>
        <v/>
      </c>
    </row>
    <row r="103">
      <c r="B103" s="160" t="n">
        <v>43465</v>
      </c>
      <c r="C103" s="167" t="n">
        <v>77.35971832275391</v>
      </c>
      <c r="D103" s="34">
        <f>(C103-C102)/C102</f>
        <v/>
      </c>
    </row>
    <row r="104">
      <c r="B104" s="160" t="n">
        <v>43496</v>
      </c>
      <c r="C104" s="167" t="n">
        <v>92.34149169921881</v>
      </c>
      <c r="D104" s="34">
        <f>(C104-C103)/C103</f>
        <v/>
      </c>
    </row>
    <row r="105">
      <c r="B105" s="160" t="n">
        <v>43524</v>
      </c>
      <c r="C105" s="167" t="n">
        <v>104.669654846191</v>
      </c>
      <c r="D105" s="34">
        <f>(C105-C104)/C104</f>
        <v/>
      </c>
    </row>
    <row r="106">
      <c r="B106" s="160" t="n">
        <v>43555</v>
      </c>
      <c r="C106" s="167" t="n">
        <v>108.631629943848</v>
      </c>
      <c r="D106" s="34">
        <f>(C106-C105)/C105</f>
        <v/>
      </c>
    </row>
    <row r="107">
      <c r="B107" s="160" t="n">
        <v>43585</v>
      </c>
      <c r="C107" s="167" t="n">
        <v>112.298751831055</v>
      </c>
      <c r="D107" s="34">
        <f>(C107-C106)/C106</f>
        <v/>
      </c>
    </row>
    <row r="108">
      <c r="B108" s="160" t="n">
        <v>43616</v>
      </c>
      <c r="C108" s="167" t="n">
        <v>107.32373046875</v>
      </c>
      <c r="D108" s="34">
        <f>(C108-C107)/C107</f>
        <v/>
      </c>
    </row>
    <row r="109">
      <c r="B109" s="160" t="n">
        <v>43646</v>
      </c>
      <c r="C109" s="167" t="n">
        <v>116.499412536621</v>
      </c>
      <c r="D109" s="34">
        <f>(C109-C108)/C108</f>
        <v/>
      </c>
    </row>
    <row r="110">
      <c r="B110" s="160" t="n">
        <v>43677</v>
      </c>
      <c r="C110" s="167" t="n">
        <v>119.657638549805</v>
      </c>
      <c r="D110" s="34">
        <f>(C110-C109)/C109</f>
        <v/>
      </c>
    </row>
    <row r="111">
      <c r="B111" s="160" t="n">
        <v>43708</v>
      </c>
      <c r="C111" s="167" t="n">
        <v>117.116104125977</v>
      </c>
      <c r="D111" s="34">
        <f>(C111-C110)/C110</f>
        <v/>
      </c>
    </row>
    <row r="112">
      <c r="B112" s="160" t="n">
        <v>43738</v>
      </c>
      <c r="C112" s="167" t="n">
        <v>111.378967285156</v>
      </c>
      <c r="D112" s="34">
        <f>(C112-C111)/C111</f>
        <v/>
      </c>
    </row>
    <row r="113">
      <c r="B113" s="160" t="n">
        <v>43769</v>
      </c>
      <c r="C113" s="167" t="n">
        <v>119.994018554688</v>
      </c>
      <c r="D113" s="34">
        <f>(C113-C112)/C112</f>
        <v/>
      </c>
    </row>
    <row r="114">
      <c r="B114" s="160" t="n">
        <v>43799</v>
      </c>
      <c r="C114" s="167" t="n">
        <v>124.647270202637</v>
      </c>
      <c r="D114" s="34">
        <f>(C114-C113)/C113</f>
        <v/>
      </c>
    </row>
    <row r="115">
      <c r="B115" s="160" t="n">
        <v>43830</v>
      </c>
      <c r="C115" s="167" t="n">
        <v>121.91886138916</v>
      </c>
      <c r="D115" s="34">
        <f>(C115-C114)/C114</f>
        <v/>
      </c>
    </row>
    <row r="116">
      <c r="B116" s="160" t="n">
        <v>43861</v>
      </c>
      <c r="C116" s="167" t="n">
        <v>124.497772216797</v>
      </c>
      <c r="D116" s="34">
        <f>(C116-C115)/C115</f>
        <v/>
      </c>
    </row>
    <row r="117">
      <c r="B117" s="160" t="n">
        <v>43890</v>
      </c>
      <c r="C117" s="167" t="n">
        <v>101.007263183594</v>
      </c>
      <c r="D117" s="34">
        <f>(C117-C116)/C116</f>
        <v/>
      </c>
    </row>
    <row r="118">
      <c r="B118" s="160" t="n">
        <v>43921</v>
      </c>
      <c r="C118" s="167" t="n">
        <v>55.4465408325195</v>
      </c>
      <c r="D118" s="34">
        <f>(C118-C117)/C117</f>
        <v/>
      </c>
    </row>
    <row r="119">
      <c r="B119" s="160" t="n">
        <v>43951</v>
      </c>
      <c r="C119" s="167" t="n">
        <v>54.0823402404785</v>
      </c>
      <c r="D119" s="34">
        <f>(C119-C118)/C118</f>
        <v/>
      </c>
    </row>
    <row r="120">
      <c r="B120" s="160" t="n">
        <v>43982</v>
      </c>
      <c r="C120" s="167" t="n">
        <v>52.9797630310059</v>
      </c>
      <c r="D120" s="34">
        <f>(C120-C119)/C119</f>
        <v/>
      </c>
    </row>
    <row r="121">
      <c r="B121" s="160" t="n">
        <v>44012</v>
      </c>
      <c r="C121" s="167" t="n">
        <v>59.3522872924805</v>
      </c>
      <c r="D121" s="34">
        <f>(C121-C120)/C120</f>
        <v/>
      </c>
    </row>
    <row r="122">
      <c r="B122" s="160" t="n">
        <v>44043</v>
      </c>
      <c r="C122" s="167" t="n">
        <v>57.9413566589356</v>
      </c>
      <c r="D122" s="34">
        <f>(C122-C121)/C121</f>
        <v/>
      </c>
    </row>
    <row r="123">
      <c r="B123" s="160" t="n">
        <v>44074</v>
      </c>
      <c r="C123" s="167" t="n">
        <v>64.32321929931641</v>
      </c>
      <c r="D123" s="34">
        <f>(C123-C122)/C122</f>
        <v/>
      </c>
    </row>
    <row r="124">
      <c r="B124" s="160" t="n">
        <v>44104</v>
      </c>
      <c r="C124" s="167" t="n">
        <v>57.9974212646484</v>
      </c>
      <c r="D124" s="34">
        <f>(C124-C123)/C123</f>
        <v/>
      </c>
    </row>
    <row r="125">
      <c r="B125" s="160" t="n">
        <v>44135</v>
      </c>
      <c r="C125" s="167" t="n">
        <v>58.4833068847656</v>
      </c>
      <c r="D125" s="34">
        <f>(C125-C124)/C124</f>
        <v/>
      </c>
    </row>
    <row r="126">
      <c r="B126" s="160" t="n">
        <v>44165</v>
      </c>
      <c r="C126" s="167" t="n">
        <v>81.9738082885742</v>
      </c>
      <c r="D126" s="34">
        <f>(C126-C125)/C125</f>
        <v/>
      </c>
    </row>
    <row r="127">
      <c r="B127" s="160" t="n">
        <v>44196</v>
      </c>
      <c r="C127" s="167" t="n">
        <v>83.889289855957</v>
      </c>
      <c r="D127" s="34">
        <f>(C127-C126)/C126</f>
        <v/>
      </c>
    </row>
    <row r="128">
      <c r="B128" s="160" t="n">
        <v>44227</v>
      </c>
      <c r="C128" s="167" t="n">
        <v>77.74102783203131</v>
      </c>
      <c r="D128" s="34">
        <f>(C128-C127)/C127</f>
        <v/>
      </c>
    </row>
    <row r="129">
      <c r="B129" s="160" t="n">
        <v>44255</v>
      </c>
      <c r="C129" s="167" t="n">
        <v>89.61708831787109</v>
      </c>
      <c r="D129" s="34">
        <f>(C129-C128)/C128</f>
        <v/>
      </c>
    </row>
    <row r="130">
      <c r="B130" s="160" t="n">
        <v>44286</v>
      </c>
      <c r="C130" s="167" t="n">
        <v>90.2057571411133</v>
      </c>
      <c r="D130" s="34">
        <f>(C130-C129)/C129</f>
        <v/>
      </c>
    </row>
    <row r="131">
      <c r="B131" s="160" t="n">
        <v>44316</v>
      </c>
      <c r="C131" s="167" t="n">
        <v>93.38267517089839</v>
      </c>
      <c r="D131" s="34">
        <f>(C131-C130)/C130</f>
        <v/>
      </c>
    </row>
    <row r="132">
      <c r="B132" s="160" t="n">
        <v>44347</v>
      </c>
      <c r="C132" s="167" t="n">
        <v>99.66175842285161</v>
      </c>
      <c r="D132" s="34">
        <f>(C132-C131)/C131</f>
        <v/>
      </c>
    </row>
    <row r="133">
      <c r="B133" s="160" t="n">
        <v>44377</v>
      </c>
      <c r="C133" s="167" t="n">
        <v>101.324966430664</v>
      </c>
      <c r="D133" s="34">
        <f>(C133-C132)/C132</f>
        <v/>
      </c>
    </row>
    <row r="134">
      <c r="B134" s="160" t="n">
        <v>44408</v>
      </c>
      <c r="C134" s="167" t="n">
        <v>108.108612060547</v>
      </c>
      <c r="D134" s="34">
        <f>(C134-C133)/C133</f>
        <v/>
      </c>
    </row>
    <row r="135">
      <c r="B135" s="160" t="n">
        <v>44439</v>
      </c>
      <c r="C135" s="167" t="n">
        <v>108.108612060547</v>
      </c>
      <c r="D135" s="34">
        <f>(C135-C134)/C134</f>
        <v/>
      </c>
    </row>
    <row r="136">
      <c r="B136" s="160" t="n">
        <v>44469</v>
      </c>
      <c r="C136" s="167" t="n">
        <v>107.547981262207</v>
      </c>
      <c r="D136" s="34">
        <f>(C136-C135)/C135</f>
        <v/>
      </c>
    </row>
    <row r="137">
      <c r="B137" s="160" t="n">
        <v>44500</v>
      </c>
      <c r="C137" s="167" t="n">
        <v>103.343231201172</v>
      </c>
      <c r="D137" s="34">
        <f>(C137-C136)/C136</f>
        <v/>
      </c>
    </row>
    <row r="138">
      <c r="B138" s="160" t="n">
        <v>44530</v>
      </c>
      <c r="C138" s="167" t="n">
        <v>92.2427215576172</v>
      </c>
      <c r="D138" s="34">
        <f>(C138-C137)/C137</f>
        <v/>
      </c>
    </row>
    <row r="139">
      <c r="B139" s="160" t="n">
        <v>44561</v>
      </c>
      <c r="C139" s="167" t="n">
        <v>104.987762451172</v>
      </c>
      <c r="D139" s="34">
        <f>(C139-C138)/C138</f>
        <v/>
      </c>
    </row>
    <row r="140">
      <c r="B140" s="160" t="n">
        <v>44592</v>
      </c>
      <c r="C140" s="167" t="n">
        <v>104.76350402832</v>
      </c>
      <c r="D140" s="34">
        <f>(C140-C139)/C139</f>
        <v/>
      </c>
    </row>
    <row r="141">
      <c r="B141" s="160" t="n">
        <v>44620</v>
      </c>
      <c r="C141" s="167" t="n">
        <v>107.361106872559</v>
      </c>
      <c r="D141" s="34">
        <f>(C141-C140)/C140</f>
        <v/>
      </c>
    </row>
    <row r="142">
      <c r="B142" s="160" t="n">
        <v>44651</v>
      </c>
      <c r="C142" s="167" t="n">
        <v>103.118988037109</v>
      </c>
      <c r="D142" s="34">
        <f>(C142-C141)/C141</f>
        <v/>
      </c>
    </row>
    <row r="143">
      <c r="B143" s="160" t="n">
        <v>44681</v>
      </c>
      <c r="C143" s="167" t="n">
        <v>98.6152420043945</v>
      </c>
      <c r="D143" s="34">
        <f>(C143-C142)/C142</f>
        <v/>
      </c>
    </row>
    <row r="144">
      <c r="B144" s="160" t="n">
        <v>44712</v>
      </c>
      <c r="C144" s="167" t="n">
        <v>103.099967956543</v>
      </c>
      <c r="D144" s="34">
        <f>(C144-C143)/C143</f>
        <v/>
      </c>
    </row>
    <row r="145">
      <c r="B145" s="160" t="n">
        <v>44742</v>
      </c>
      <c r="C145" s="167" t="n">
        <v>87.6226425170898</v>
      </c>
      <c r="D145" s="34">
        <f>(C145-C144)/C144</f>
        <v/>
      </c>
    </row>
    <row r="146">
      <c r="B146" s="160" t="n">
        <v>44773</v>
      </c>
      <c r="C146" s="167" t="n">
        <v>99.4036102294922</v>
      </c>
      <c r="D146" s="34">
        <f>(C146-C145)/C145</f>
        <v/>
      </c>
    </row>
    <row r="147">
      <c r="B147" s="160" t="n">
        <v>44804</v>
      </c>
      <c r="C147" s="167" t="n">
        <v>92.7785949707031</v>
      </c>
      <c r="D147" s="34">
        <f>(C147-C146)/C146</f>
        <v/>
      </c>
    </row>
    <row r="148">
      <c r="B148" s="160" t="n">
        <v>44834</v>
      </c>
      <c r="C148" s="167" t="n">
        <v>84.24853515625</v>
      </c>
      <c r="D148" s="34">
        <f>(C148-C147)/C147</f>
        <v/>
      </c>
    </row>
    <row r="149">
      <c r="B149" s="160" t="n">
        <v>44865</v>
      </c>
      <c r="C149" s="167" t="n">
        <v>103.858192443848</v>
      </c>
      <c r="D149" s="34">
        <f>(C149-C148)/C148</f>
        <v/>
      </c>
    </row>
    <row r="150">
      <c r="B150" s="160" t="n">
        <v>44895</v>
      </c>
      <c r="C150" s="167" t="n">
        <v>103.498039245605</v>
      </c>
      <c r="D150" s="34">
        <f>(C150-C149)/C149</f>
        <v/>
      </c>
    </row>
    <row r="151">
      <c r="B151" s="160" t="n">
        <v>44926</v>
      </c>
      <c r="C151" s="167" t="n">
        <v>105.222999572754</v>
      </c>
      <c r="D151" s="34">
        <f>(C151-C150)/C150</f>
        <v/>
      </c>
    </row>
    <row r="152">
      <c r="B152" s="160" t="n">
        <v>44957</v>
      </c>
      <c r="C152" s="167" t="n">
        <v>108.843536376953</v>
      </c>
      <c r="D152" s="34">
        <f>(C152-C151)/C151</f>
        <v/>
      </c>
    </row>
    <row r="153">
      <c r="B153" s="160" t="n">
        <v>44985</v>
      </c>
      <c r="C153" s="167" t="n">
        <v>117.54419708252</v>
      </c>
      <c r="D153" s="34">
        <f>(C153-C152)/C152</f>
        <v/>
      </c>
    </row>
    <row r="154">
      <c r="B154" s="160" t="n">
        <v>45016</v>
      </c>
      <c r="C154" s="167" t="n">
        <v>116.842834472656</v>
      </c>
      <c r="D154" s="34">
        <f>(C154-C153)/C153</f>
        <v/>
      </c>
    </row>
    <row r="155">
      <c r="B155" s="160" t="n">
        <v>45046</v>
      </c>
      <c r="C155" s="167" t="n">
        <v>120.501281738281</v>
      </c>
      <c r="D155" s="34">
        <f>(C155-C154)/C154</f>
        <v/>
      </c>
    </row>
    <row r="156">
      <c r="B156" s="160" t="n">
        <v>45077</v>
      </c>
      <c r="C156" s="167" t="n">
        <v>117.794868469238</v>
      </c>
      <c r="D156" s="34">
        <f>(C156-C155)/C155</f>
        <v/>
      </c>
    </row>
    <row r="157">
      <c r="B157" s="160" t="n">
        <v>45107</v>
      </c>
      <c r="C157" s="167" t="n">
        <v>127.234603881836</v>
      </c>
      <c r="D157" s="34">
        <f>(C157-C156)/C156</f>
        <v/>
      </c>
    </row>
    <row r="158">
      <c r="B158" s="160" t="n">
        <v>45138</v>
      </c>
      <c r="C158" s="167" t="n">
        <v>128.791870117188</v>
      </c>
      <c r="D158" s="34">
        <f>(C158-C157)/C157</f>
        <v/>
      </c>
    </row>
    <row r="159">
      <c r="B159" s="160" t="n">
        <v>45169</v>
      </c>
      <c r="C159" s="167" t="n">
        <v>130.137664794922</v>
      </c>
      <c r="D159" s="34">
        <f>(C159-C158)/C158</f>
        <v/>
      </c>
    </row>
    <row r="160">
      <c r="B160" s="160" t="n">
        <v>45199</v>
      </c>
      <c r="C160" s="167" t="n">
        <v>122.062942504883</v>
      </c>
      <c r="D160" s="34">
        <f>(C160-C159)/C159</f>
        <v/>
      </c>
    </row>
    <row r="161">
      <c r="B161" s="160" t="n">
        <v>45230</v>
      </c>
      <c r="C161" s="167" t="n">
        <v>121.390037536621</v>
      </c>
      <c r="D161" s="34">
        <f>(C161-C160)/C160</f>
        <v/>
      </c>
    </row>
    <row r="162">
      <c r="B162" s="160" t="n">
        <v>45260</v>
      </c>
      <c r="C162" s="167" t="n">
        <v>130.925903320313</v>
      </c>
      <c r="D162" s="34">
        <f>(C162-C161)/C161</f>
        <v/>
      </c>
    </row>
    <row r="163">
      <c r="B163" s="160" t="n">
        <v>45291</v>
      </c>
      <c r="C163" s="167" t="n">
        <v>134.367279052734</v>
      </c>
      <c r="D163" s="34">
        <f>(C163-C162)/C162</f>
        <v/>
      </c>
    </row>
    <row r="164">
      <c r="B164" s="160" t="n">
        <v>45322</v>
      </c>
      <c r="C164" s="167" t="n">
        <v>142.076721191406</v>
      </c>
      <c r="D164" s="34">
        <f>(C164-C163)/C163</f>
        <v/>
      </c>
    </row>
    <row r="165">
      <c r="B165" s="160" t="n">
        <v>45351</v>
      </c>
      <c r="C165" s="167" t="n">
        <v>147.017684936523</v>
      </c>
      <c r="D165" s="34">
        <f>(C165-C164)/C164</f>
        <v/>
      </c>
    </row>
    <row r="166">
      <c r="B166" s="160" t="n">
        <v>45382</v>
      </c>
      <c r="C166" s="167" t="n">
        <v>164.109191894531</v>
      </c>
      <c r="D166" s="34">
        <f>(C166-C165)/C165</f>
        <v/>
      </c>
    </row>
    <row r="167">
      <c r="B167" s="160" t="n">
        <v>45412</v>
      </c>
      <c r="C167" s="167" t="n">
        <v>148.690292358398</v>
      </c>
      <c r="D167" s="34">
        <f>(C167-C166)/C166</f>
        <v/>
      </c>
    </row>
    <row r="168">
      <c r="B168" s="160" t="n">
        <v>45443</v>
      </c>
      <c r="C168" s="167" t="n">
        <v>152.472610473633</v>
      </c>
      <c r="D168" s="34">
        <f>(C168-C167)/C167</f>
        <v/>
      </c>
    </row>
    <row r="169">
      <c r="B169" s="160" t="n">
        <v>45473</v>
      </c>
      <c r="C169" s="167" t="n">
        <v>125.440269470215</v>
      </c>
      <c r="D169" s="34">
        <f>(C169-C168)/C168</f>
        <v/>
      </c>
    </row>
    <row r="170">
      <c r="B170" s="160" t="n">
        <v>45504</v>
      </c>
      <c r="C170" s="167" t="n">
        <v>136.883056640625</v>
      </c>
      <c r="D170" s="34">
        <f>(C170-C169)/C169</f>
        <v/>
      </c>
    </row>
    <row r="171">
      <c r="B171" s="160" t="n">
        <v>45535</v>
      </c>
      <c r="C171" s="167" t="n">
        <v>135.768127441406</v>
      </c>
      <c r="D171" s="34">
        <f>(C171-C170)/C170</f>
        <v/>
      </c>
    </row>
    <row r="172">
      <c r="B172" s="160" t="n">
        <v>45565</v>
      </c>
      <c r="C172" s="167" t="n">
        <v>128.335205078125</v>
      </c>
      <c r="D172" s="34">
        <f>(C172-C171)/C171</f>
        <v/>
      </c>
    </row>
    <row r="173">
      <c r="B173" s="160" t="n">
        <v>45596</v>
      </c>
      <c r="C173" s="167" t="n">
        <v>137.078659057617</v>
      </c>
      <c r="D173" s="34">
        <f>(C173-C172)/C172</f>
        <v/>
      </c>
    </row>
    <row r="174">
      <c r="B174" s="160" t="n">
        <v>45626</v>
      </c>
      <c r="C174" s="167" t="n">
        <v>144.315963745117</v>
      </c>
      <c r="D174" s="34">
        <f>(C174-C173)/C173</f>
        <v/>
      </c>
    </row>
    <row r="175">
      <c r="B175" s="160" t="n">
        <v>45657</v>
      </c>
      <c r="C175" s="167" t="n">
        <v>151.377243041992</v>
      </c>
      <c r="D175" s="34">
        <f>(C175-C174)/C174</f>
        <v/>
      </c>
    </row>
    <row r="176">
      <c r="B176" s="160" t="n">
        <v>45688</v>
      </c>
      <c r="C176" s="167" t="n">
        <v>163.445953369141</v>
      </c>
      <c r="D176" s="34">
        <f>(C176-C175)/C175</f>
        <v/>
      </c>
    </row>
    <row r="177">
      <c r="B177" s="160" t="n">
        <v>45716</v>
      </c>
      <c r="C177" s="167" t="n">
        <v>162.057174682617</v>
      </c>
      <c r="D177" s="34">
        <f>(C177-C176)/C176</f>
        <v/>
      </c>
    </row>
    <row r="178">
      <c r="B178" s="160" t="n">
        <v>45747</v>
      </c>
      <c r="C178" s="167" t="n">
        <v>159.201370239258</v>
      </c>
      <c r="D178" s="34">
        <f>(C178-C177)/C177</f>
        <v/>
      </c>
    </row>
    <row r="179">
      <c r="B179" s="160" t="n">
        <v>45777</v>
      </c>
      <c r="C179" s="167" t="n">
        <v>143.905212402344</v>
      </c>
      <c r="D179" s="34">
        <f>(C179-C178)/C178</f>
        <v/>
      </c>
    </row>
    <row r="180">
      <c r="B180" s="160" t="n">
        <v>45808</v>
      </c>
      <c r="C180" s="167" t="n">
        <v>162.080001831055</v>
      </c>
      <c r="D180" s="34">
        <f>(C180-C179)/C179</f>
        <v/>
      </c>
    </row>
    <row r="181">
      <c r="B181" s="160" t="n">
        <v>45838</v>
      </c>
      <c r="C181" s="167" t="n">
        <v>177.259994506836</v>
      </c>
      <c r="D181" s="34">
        <f>(C181-C180)/C180</f>
        <v/>
      </c>
    </row>
    <row r="182">
      <c r="B182" s="160" t="n">
        <v>45869</v>
      </c>
      <c r="C182" s="167" t="n">
        <v>176.039993286133</v>
      </c>
      <c r="D182" s="34">
        <f>(C182-C181)/C181</f>
        <v/>
      </c>
    </row>
    <row r="183">
      <c r="B183" s="160" t="n">
        <v>45900</v>
      </c>
      <c r="C183" s="167" t="n">
        <v>179.059997558594</v>
      </c>
      <c r="D183" s="34">
        <f>(C183-C182)/C182</f>
        <v/>
      </c>
    </row>
    <row r="184">
      <c r="D184" t="inlineStr">
        <is>
          <t>x</t>
        </is>
      </c>
    </row>
  </sheetData>
  <pageMargins left="0.7" right="0.7" top="0.75" bottom="0.75" header="0.3" footer="0.3"/>
</worksheet>
</file>

<file path=xl/worksheets/sheet13.xml><?xml version="1.0" encoding="utf-8"?>
<worksheet xmlns="http://schemas.openxmlformats.org/spreadsheetml/2006/main">
  <sheetPr>
    <tabColor theme="7" tint="0.7999816888943144"/>
    <outlinePr summaryBelow="1" summaryRight="1"/>
    <pageSetUpPr/>
  </sheetPr>
  <dimension ref="B2:D183"/>
  <sheetViews>
    <sheetView showGridLines="0" workbookViewId="0">
      <selection activeCell="H11" sqref="H11"/>
    </sheetView>
  </sheetViews>
  <sheetFormatPr baseColWidth="10" defaultColWidth="10.83203125" defaultRowHeight="15"/>
  <sheetData>
    <row r="2">
      <c r="B2" s="30" t="inlineStr">
        <is>
          <t>Date</t>
        </is>
      </c>
      <c r="C2" s="31" t="inlineStr">
        <is>
          <t>BNP.PA</t>
        </is>
      </c>
      <c r="D2" s="29" t="inlineStr">
        <is>
          <t>Monthly Return</t>
        </is>
      </c>
    </row>
    <row r="3">
      <c r="B3" s="160" t="inlineStr">
        <is>
          <t>2010-08</t>
        </is>
      </c>
      <c r="C3" s="167" t="n">
        <v>23.6455860137939</v>
      </c>
    </row>
    <row r="4">
      <c r="B4" s="160" t="n">
        <v>40451</v>
      </c>
      <c r="C4" s="167" t="n">
        <v>24.9866333007813</v>
      </c>
      <c r="D4" s="34">
        <f>(C4-C3)/C3</f>
        <v/>
      </c>
    </row>
    <row r="5">
      <c r="B5" s="160" t="n">
        <v>40482</v>
      </c>
      <c r="C5" s="167" t="n">
        <v>25.168628692627</v>
      </c>
      <c r="D5" s="34">
        <f>(C5-C4)/C4</f>
        <v/>
      </c>
    </row>
    <row r="6">
      <c r="B6" s="160" t="n">
        <v>40512</v>
      </c>
      <c r="C6" s="167" t="n">
        <v>21.8399562835693</v>
      </c>
      <c r="D6" s="34">
        <f>(C6-C5)/C5</f>
        <v/>
      </c>
    </row>
    <row r="7">
      <c r="B7" s="160" t="n">
        <v>40543</v>
      </c>
      <c r="C7" s="167" t="n">
        <v>22.8026371002197</v>
      </c>
      <c r="D7" s="34">
        <f>(C7-C6)/C6</f>
        <v/>
      </c>
    </row>
    <row r="8">
      <c r="B8" s="160" t="n">
        <v>40574</v>
      </c>
      <c r="C8" s="167" t="n">
        <v>26.1504764556885</v>
      </c>
      <c r="D8" s="34">
        <f>(C8-C7)/C7</f>
        <v/>
      </c>
    </row>
    <row r="9">
      <c r="B9" s="160" t="n">
        <v>40602</v>
      </c>
      <c r="C9" s="167" t="n">
        <v>27.0987854003906</v>
      </c>
      <c r="D9" s="34">
        <f>(C9-C8)/C8</f>
        <v/>
      </c>
    </row>
    <row r="10">
      <c r="B10" s="160" t="n">
        <v>40633</v>
      </c>
      <c r="C10" s="167" t="n">
        <v>24.7184238433838</v>
      </c>
      <c r="D10" s="34">
        <f>(C10-C9)/C9</f>
        <v/>
      </c>
    </row>
    <row r="11">
      <c r="B11" s="160" t="n">
        <v>40663</v>
      </c>
      <c r="C11" s="167" t="n">
        <v>25.5901069641113</v>
      </c>
      <c r="D11" s="34">
        <f>(C11-C10)/C10</f>
        <v/>
      </c>
    </row>
    <row r="12">
      <c r="B12" s="160" t="n">
        <v>40694</v>
      </c>
      <c r="C12" s="167" t="n">
        <v>25.9684753417969</v>
      </c>
      <c r="D12" s="34">
        <f>(C12-C11)/C11</f>
        <v/>
      </c>
    </row>
    <row r="13">
      <c r="B13" s="160" t="n">
        <v>40724</v>
      </c>
      <c r="C13" s="167" t="n">
        <v>26.5191688537598</v>
      </c>
      <c r="D13" s="34">
        <f>(C13-C12)/C12</f>
        <v/>
      </c>
    </row>
    <row r="14">
      <c r="B14" s="160" t="n">
        <v>40755</v>
      </c>
      <c r="C14" s="167" t="n">
        <v>22.6506462097168</v>
      </c>
      <c r="D14" s="34">
        <f>(C14-C13)/C13</f>
        <v/>
      </c>
    </row>
    <row r="15">
      <c r="B15" s="160" t="n">
        <v>40786</v>
      </c>
      <c r="C15" s="167" t="n">
        <v>17.8704204559326</v>
      </c>
      <c r="D15" s="34">
        <f>(C15-C14)/C14</f>
        <v/>
      </c>
    </row>
    <row r="16">
      <c r="B16" s="160" t="n">
        <v>40816</v>
      </c>
      <c r="C16" s="167" t="n">
        <v>14.9708967208862</v>
      </c>
      <c r="D16" s="34">
        <f>(C16-C15)/C15</f>
        <v/>
      </c>
    </row>
    <row r="17">
      <c r="B17" s="160" t="n">
        <v>40847</v>
      </c>
      <c r="C17" s="167" t="n">
        <v>16.3658580780029</v>
      </c>
      <c r="D17" s="34">
        <f>(C17-C16)/C16</f>
        <v/>
      </c>
    </row>
    <row r="18">
      <c r="B18" s="160" t="n">
        <v>40877</v>
      </c>
      <c r="C18" s="167" t="n">
        <v>14.6819429397583</v>
      </c>
      <c r="D18" s="34">
        <f>(C18-C17)/C17</f>
        <v/>
      </c>
    </row>
    <row r="19">
      <c r="B19" s="160" t="n">
        <v>40908</v>
      </c>
      <c r="C19" s="167" t="n">
        <v>15.1203584671021</v>
      </c>
      <c r="D19" s="34">
        <f>(C19-C18)/C18</f>
        <v/>
      </c>
    </row>
    <row r="20">
      <c r="B20" s="160" t="n">
        <v>40939</v>
      </c>
      <c r="C20" s="167" t="n">
        <v>16.1267223358154</v>
      </c>
      <c r="D20" s="34">
        <f>(C20-C19)/C19</f>
        <v/>
      </c>
    </row>
    <row r="21">
      <c r="B21" s="160" t="n">
        <v>40968</v>
      </c>
      <c r="C21" s="167" t="n">
        <v>18.2515392303467</v>
      </c>
      <c r="D21" s="34">
        <f>(C21-C20)/C20</f>
        <v/>
      </c>
    </row>
    <row r="22">
      <c r="B22" s="160" t="n">
        <v>40999</v>
      </c>
      <c r="C22" s="167" t="n">
        <v>17.7234535217285</v>
      </c>
      <c r="D22" s="34">
        <f>(C22-C21)/C21</f>
        <v/>
      </c>
    </row>
    <row r="23">
      <c r="B23" s="160" t="n">
        <v>41029</v>
      </c>
      <c r="C23" s="167" t="n">
        <v>15.1203584671021</v>
      </c>
      <c r="D23" s="34">
        <f>(C23-C22)/C22</f>
        <v/>
      </c>
    </row>
    <row r="24">
      <c r="B24" s="160" t="n">
        <v>41060</v>
      </c>
      <c r="C24" s="167" t="n">
        <v>12.8161859512329</v>
      </c>
      <c r="D24" s="34">
        <f>(C24-C23)/C23</f>
        <v/>
      </c>
    </row>
    <row r="25">
      <c r="B25" s="160" t="n">
        <v>41090</v>
      </c>
      <c r="C25" s="167" t="n">
        <v>15.8361349105835</v>
      </c>
      <c r="D25" s="34">
        <f>(C25-C24)/C24</f>
        <v/>
      </c>
    </row>
    <row r="26">
      <c r="B26" s="160" t="n">
        <v>41121</v>
      </c>
      <c r="C26" s="167" t="n">
        <v>15.75</v>
      </c>
      <c r="D26" s="34">
        <f>(C26-C25)/C25</f>
        <v/>
      </c>
    </row>
    <row r="27">
      <c r="B27" s="160" t="n">
        <v>41152</v>
      </c>
      <c r="C27" s="167" t="n">
        <v>18.0391483306885</v>
      </c>
      <c r="D27" s="34">
        <f>(C27-C26)/C26</f>
        <v/>
      </c>
    </row>
    <row r="28">
      <c r="B28" s="160" t="n">
        <v>41182</v>
      </c>
      <c r="C28" s="167" t="n">
        <v>19.3051013946533</v>
      </c>
      <c r="D28" s="34">
        <f>(C28-C27)/C27</f>
        <v/>
      </c>
    </row>
    <row r="29">
      <c r="B29" s="160" t="n">
        <v>41213</v>
      </c>
      <c r="C29" s="167" t="n">
        <v>20.2604351043701</v>
      </c>
      <c r="D29" s="34">
        <f>(C29-C28)/C28</f>
        <v/>
      </c>
    </row>
    <row r="30">
      <c r="B30" s="160" t="n">
        <v>41243</v>
      </c>
      <c r="C30" s="167" t="n">
        <v>22.4190807342529</v>
      </c>
      <c r="D30" s="34">
        <f>(C30-C29)/C29</f>
        <v/>
      </c>
    </row>
    <row r="31">
      <c r="B31" s="160" t="n">
        <v>41274</v>
      </c>
      <c r="C31" s="167" t="n">
        <v>22.2311458587647</v>
      </c>
      <c r="D31" s="34">
        <f>(C31-C30)/C30</f>
        <v/>
      </c>
    </row>
    <row r="32">
      <c r="B32" s="160" t="n">
        <v>41305</v>
      </c>
      <c r="C32" s="167" t="n">
        <v>24.1235466003418</v>
      </c>
      <c r="D32" s="34">
        <f>(C32-C31)/C31</f>
        <v/>
      </c>
    </row>
    <row r="33">
      <c r="B33" s="160" t="n">
        <v>41333</v>
      </c>
      <c r="C33" s="167" t="n">
        <v>22.5026073455811</v>
      </c>
      <c r="D33" s="34">
        <f>(C33-C32)/C32</f>
        <v/>
      </c>
    </row>
    <row r="34">
      <c r="B34" s="160" t="n">
        <v>41364</v>
      </c>
      <c r="C34" s="167" t="n">
        <v>20.9025478363037</v>
      </c>
      <c r="D34" s="34">
        <f>(C34-C33)/C33</f>
        <v/>
      </c>
    </row>
    <row r="35">
      <c r="B35" s="160" t="n">
        <v>41394</v>
      </c>
      <c r="C35" s="167" t="n">
        <v>22.0875911712647</v>
      </c>
      <c r="D35" s="34">
        <f>(C35-C34)/C34</f>
        <v/>
      </c>
    </row>
    <row r="36">
      <c r="B36" s="160" t="n">
        <v>41425</v>
      </c>
      <c r="C36" s="167" t="n">
        <v>23.6615390777588</v>
      </c>
      <c r="D36" s="34">
        <f>(C36-C35)/C35</f>
        <v/>
      </c>
    </row>
    <row r="37">
      <c r="B37" s="160" t="n">
        <v>41455</v>
      </c>
      <c r="C37" s="167" t="n">
        <v>22.6398105621338</v>
      </c>
      <c r="D37" s="34">
        <f>(C37-C36)/C36</f>
        <v/>
      </c>
    </row>
    <row r="38">
      <c r="B38" s="160" t="n">
        <v>41486</v>
      </c>
      <c r="C38" s="167" t="n">
        <v>26.2319774627686</v>
      </c>
      <c r="D38" s="34">
        <f>(C38-C37)/C37</f>
        <v/>
      </c>
    </row>
    <row r="39">
      <c r="B39" s="160" t="n">
        <v>41517</v>
      </c>
      <c r="C39" s="167" t="n">
        <v>25.5739517211914</v>
      </c>
      <c r="D39" s="34">
        <f>(C39-C38)/C38</f>
        <v/>
      </c>
    </row>
    <row r="40">
      <c r="B40" s="160" t="n">
        <v>41547</v>
      </c>
      <c r="C40" s="167" t="n">
        <v>26.9682121276855</v>
      </c>
      <c r="D40" s="34">
        <f>(C40-C39)/C39</f>
        <v/>
      </c>
    </row>
    <row r="41">
      <c r="B41" s="160" t="n">
        <v>41578</v>
      </c>
      <c r="C41" s="167" t="n">
        <v>29.4169254302979</v>
      </c>
      <c r="D41" s="34">
        <f>(C41-C40)/C40</f>
        <v/>
      </c>
    </row>
    <row r="42">
      <c r="B42" s="160" t="n">
        <v>41608</v>
      </c>
      <c r="C42" s="167" t="n">
        <v>29.7998676300049</v>
      </c>
      <c r="D42" s="34">
        <f>(C42-C41)/C41</f>
        <v/>
      </c>
    </row>
    <row r="43">
      <c r="B43" s="160" t="n">
        <v>41639</v>
      </c>
      <c r="C43" s="167" t="n">
        <v>30.5549755096436</v>
      </c>
      <c r="D43" s="34">
        <f>(C43-C42)/C42</f>
        <v/>
      </c>
    </row>
    <row r="44">
      <c r="B44" s="160" t="n">
        <v>41670</v>
      </c>
      <c r="C44" s="167" t="n">
        <v>30.9864730834961</v>
      </c>
      <c r="D44" s="34">
        <f>(C44-C43)/C43</f>
        <v/>
      </c>
    </row>
    <row r="45">
      <c r="B45" s="160" t="n">
        <v>41698</v>
      </c>
      <c r="C45" s="167" t="n">
        <v>32.0705909729004</v>
      </c>
      <c r="D45" s="34">
        <f>(C45-C44)/C44</f>
        <v/>
      </c>
    </row>
    <row r="46">
      <c r="B46" s="160" t="n">
        <v>41729</v>
      </c>
      <c r="C46" s="167" t="n">
        <v>30.1990032196045</v>
      </c>
      <c r="D46" s="34">
        <f>(C46-C45)/C45</f>
        <v/>
      </c>
    </row>
    <row r="47">
      <c r="B47" s="160" t="n">
        <v>41759</v>
      </c>
      <c r="C47" s="167" t="n">
        <v>29.1849956512451</v>
      </c>
      <c r="D47" s="34">
        <f>(C47-C46)/C46</f>
        <v/>
      </c>
    </row>
    <row r="48">
      <c r="B48" s="160" t="n">
        <v>41790</v>
      </c>
      <c r="C48" s="167" t="n">
        <v>27.7071380615234</v>
      </c>
      <c r="D48" s="34">
        <f>(C48-C47)/C47</f>
        <v/>
      </c>
    </row>
    <row r="49">
      <c r="B49" s="160" t="n">
        <v>41820</v>
      </c>
      <c r="C49" s="167" t="n">
        <v>27.5134124755859</v>
      </c>
      <c r="D49" s="34">
        <f>(C49-C48)/C48</f>
        <v/>
      </c>
    </row>
    <row r="50">
      <c r="B50" s="160" t="n">
        <v>41851</v>
      </c>
      <c r="C50" s="167" t="n">
        <v>27.4884223937988</v>
      </c>
      <c r="D50" s="34">
        <f>(C50-C49)/C49</f>
        <v/>
      </c>
    </row>
    <row r="51">
      <c r="B51" s="160" t="n">
        <v>41882</v>
      </c>
      <c r="C51" s="167" t="n">
        <v>28.5324325561523</v>
      </c>
      <c r="D51" s="34">
        <f>(C51-C50)/C50</f>
        <v/>
      </c>
    </row>
    <row r="52">
      <c r="B52" s="160" t="n">
        <v>41912</v>
      </c>
      <c r="C52" s="167" t="n">
        <v>29.1654949188232</v>
      </c>
      <c r="D52" s="34">
        <f>(C52-C51)/C51</f>
        <v/>
      </c>
    </row>
    <row r="53">
      <c r="B53" s="160" t="n">
        <v>41943</v>
      </c>
      <c r="C53" s="167" t="n">
        <v>27.8438320159912</v>
      </c>
      <c r="D53" s="34">
        <f>(C53-C52)/C52</f>
        <v/>
      </c>
    </row>
    <row r="54">
      <c r="B54" s="160" t="n">
        <v>41973</v>
      </c>
      <c r="C54" s="167" t="n">
        <v>28.6323871612549</v>
      </c>
      <c r="D54" s="34">
        <f>(C54-C53)/C53</f>
        <v/>
      </c>
    </row>
    <row r="55">
      <c r="B55" s="160" t="n">
        <v>42004</v>
      </c>
      <c r="C55" s="167" t="n">
        <v>27.3551483154297</v>
      </c>
      <c r="D55" s="34">
        <f>(C55-C54)/C54</f>
        <v/>
      </c>
    </row>
    <row r="56">
      <c r="B56" s="160" t="n">
        <v>42035</v>
      </c>
      <c r="C56" s="167" t="n">
        <v>25.9751720428467</v>
      </c>
      <c r="D56" s="34">
        <f>(C56-C55)/C55</f>
        <v/>
      </c>
    </row>
    <row r="57">
      <c r="B57" s="160" t="n">
        <v>42063</v>
      </c>
      <c r="C57" s="167" t="n">
        <v>28.9266986846924</v>
      </c>
      <c r="D57" s="34">
        <f>(C57-C56)/C56</f>
        <v/>
      </c>
    </row>
    <row r="58">
      <c r="B58" s="160" t="n">
        <v>42094</v>
      </c>
      <c r="C58" s="167" t="n">
        <v>31.4145450592041</v>
      </c>
      <c r="D58" s="34">
        <f>(C58-C57)/C57</f>
        <v/>
      </c>
    </row>
    <row r="59">
      <c r="B59" s="160" t="n">
        <v>42124</v>
      </c>
      <c r="C59" s="167" t="n">
        <v>31.3423557281494</v>
      </c>
      <c r="D59" s="34">
        <f>(C59-C58)/C58</f>
        <v/>
      </c>
    </row>
    <row r="60">
      <c r="B60" s="160" t="n">
        <v>42155</v>
      </c>
      <c r="C60" s="167" t="n">
        <v>30.5038185119629</v>
      </c>
      <c r="D60" s="34">
        <f>(C60-C59)/C59</f>
        <v/>
      </c>
    </row>
    <row r="61">
      <c r="B61" s="160" t="n">
        <v>42185</v>
      </c>
      <c r="C61" s="167" t="n">
        <v>30.8774337768555</v>
      </c>
      <c r="D61" s="34">
        <f>(C61-C60)/C60</f>
        <v/>
      </c>
    </row>
    <row r="62">
      <c r="B62" s="160" t="n">
        <v>42216</v>
      </c>
      <c r="C62" s="167" t="n">
        <v>33.8197746276856</v>
      </c>
      <c r="D62" s="34">
        <f>(C62-C61)/C61</f>
        <v/>
      </c>
    </row>
    <row r="63">
      <c r="B63" s="160" t="n">
        <v>42247</v>
      </c>
      <c r="C63" s="167" t="n">
        <v>32.086296081543</v>
      </c>
      <c r="D63" s="34">
        <f>(C63-C62)/C62</f>
        <v/>
      </c>
    </row>
    <row r="64">
      <c r="B64" s="160" t="n">
        <v>42277</v>
      </c>
      <c r="C64" s="167" t="n">
        <v>29.9137592315674</v>
      </c>
      <c r="D64" s="34">
        <f>(C64-C63)/C63</f>
        <v/>
      </c>
    </row>
    <row r="65">
      <c r="B65" s="160" t="n">
        <v>42308</v>
      </c>
      <c r="C65" s="167" t="n">
        <v>31.5103740692139</v>
      </c>
      <c r="D65" s="34">
        <f>(C65-C64)/C64</f>
        <v/>
      </c>
    </row>
    <row r="66">
      <c r="B66" s="160" t="n">
        <v>42338</v>
      </c>
      <c r="C66" s="167" t="n">
        <v>31.9950637817383</v>
      </c>
      <c r="D66" s="34">
        <f>(C66-C65)/C65</f>
        <v/>
      </c>
    </row>
    <row r="67">
      <c r="B67" s="160" t="n">
        <v>42369</v>
      </c>
      <c r="C67" s="167" t="n">
        <v>29.7826042175293</v>
      </c>
      <c r="D67" s="34">
        <f>(C67-C66)/C66</f>
        <v/>
      </c>
    </row>
    <row r="68">
      <c r="B68" s="160" t="n">
        <v>42400</v>
      </c>
      <c r="C68" s="167" t="n">
        <v>24.9328861236572</v>
      </c>
      <c r="D68" s="34">
        <f>(C68-C67)/C67</f>
        <v/>
      </c>
    </row>
    <row r="69">
      <c r="B69" s="160" t="n">
        <v>42429</v>
      </c>
      <c r="C69" s="167" t="n">
        <v>24.5194759368897</v>
      </c>
      <c r="D69" s="34">
        <f>(C69-C68)/C68</f>
        <v/>
      </c>
    </row>
    <row r="70">
      <c r="B70" s="160" t="n">
        <v>42460</v>
      </c>
      <c r="C70" s="167" t="n">
        <v>25.2208461761475</v>
      </c>
      <c r="D70" s="34">
        <f>(C70-C69)/C69</f>
        <v/>
      </c>
    </row>
    <row r="71">
      <c r="B71" s="160" t="n">
        <v>42490</v>
      </c>
      <c r="C71" s="167" t="n">
        <v>26.3669853210449</v>
      </c>
      <c r="D71" s="34">
        <f>(C71-C70)/C70</f>
        <v/>
      </c>
    </row>
    <row r="72">
      <c r="B72" s="160" t="n">
        <v>42521</v>
      </c>
      <c r="C72" s="167" t="n">
        <v>28.3770160675049</v>
      </c>
      <c r="D72" s="34">
        <f>(C72-C71)/C71</f>
        <v/>
      </c>
    </row>
    <row r="73">
      <c r="B73" s="160" t="n">
        <v>42551</v>
      </c>
      <c r="C73" s="167" t="n">
        <v>22.6691131591797</v>
      </c>
      <c r="D73" s="34">
        <f>(C73-C72)/C72</f>
        <v/>
      </c>
    </row>
    <row r="74">
      <c r="B74" s="160" t="n">
        <v>42582</v>
      </c>
      <c r="C74" s="167" t="n">
        <v>26.5472240447998</v>
      </c>
      <c r="D74" s="34">
        <f>(C74-C73)/C73</f>
        <v/>
      </c>
    </row>
    <row r="75">
      <c r="B75" s="160" t="n">
        <v>42613</v>
      </c>
      <c r="C75" s="167" t="n">
        <v>27.2953681945801</v>
      </c>
      <c r="D75" s="34">
        <f>(C75-C74)/C74</f>
        <v/>
      </c>
    </row>
    <row r="76">
      <c r="B76" s="160" t="n">
        <v>42643</v>
      </c>
      <c r="C76" s="167" t="n">
        <v>27.3941230773926</v>
      </c>
      <c r="D76" s="34">
        <f>(C76-C75)/C75</f>
        <v/>
      </c>
    </row>
    <row r="77">
      <c r="B77" s="160" t="n">
        <v>42674</v>
      </c>
      <c r="C77" s="167" t="n">
        <v>31.625638961792</v>
      </c>
      <c r="D77" s="34">
        <f>(C77-C76)/C76</f>
        <v/>
      </c>
    </row>
    <row r="78">
      <c r="B78" s="160" t="n">
        <v>42704</v>
      </c>
      <c r="C78" s="167" t="n">
        <v>32.7867584228516</v>
      </c>
      <c r="D78" s="34">
        <f>(C78-C77)/C77</f>
        <v/>
      </c>
    </row>
    <row r="79">
      <c r="B79" s="160" t="n">
        <v>42735</v>
      </c>
      <c r="C79" s="167" t="n">
        <v>36.2402000427246</v>
      </c>
      <c r="D79" s="34">
        <f>(C79-C78)/C78</f>
        <v/>
      </c>
    </row>
    <row r="80">
      <c r="B80" s="160" t="n">
        <v>42766</v>
      </c>
      <c r="C80" s="167" t="n">
        <v>35.4202346801758</v>
      </c>
      <c r="D80" s="34">
        <f>(C80-C79)/C79</f>
        <v/>
      </c>
    </row>
    <row r="81">
      <c r="B81" s="160" t="n">
        <v>42794</v>
      </c>
      <c r="C81" s="167" t="n">
        <v>32.9962387084961</v>
      </c>
      <c r="D81" s="34">
        <f>(C81-C80)/C80</f>
        <v/>
      </c>
    </row>
    <row r="82">
      <c r="B82" s="160" t="n">
        <v>42825</v>
      </c>
      <c r="C82" s="167" t="n">
        <v>37.3654136657715</v>
      </c>
      <c r="D82" s="34">
        <f>(C82-C81)/C81</f>
        <v/>
      </c>
    </row>
    <row r="83">
      <c r="B83" s="160" t="n">
        <v>42855</v>
      </c>
      <c r="C83" s="167" t="n">
        <v>38.7719306945801</v>
      </c>
      <c r="D83" s="34">
        <f>(C83-C82)/C82</f>
        <v/>
      </c>
    </row>
    <row r="84">
      <c r="B84" s="160" t="n">
        <v>42886</v>
      </c>
      <c r="C84" s="167" t="n">
        <v>37.5988349914551</v>
      </c>
      <c r="D84" s="34">
        <f>(C84-C83)/C83</f>
        <v/>
      </c>
    </row>
    <row r="85">
      <c r="B85" s="160" t="n">
        <v>42916</v>
      </c>
      <c r="C85" s="167" t="n">
        <v>39.3434944152832</v>
      </c>
      <c r="D85" s="34">
        <f>(C85-C84)/C84</f>
        <v/>
      </c>
    </row>
    <row r="86">
      <c r="B86" s="160" t="n">
        <v>42947</v>
      </c>
      <c r="C86" s="167" t="n">
        <v>40.9095001220703</v>
      </c>
      <c r="D86" s="34">
        <f>(C86-C85)/C85</f>
        <v/>
      </c>
    </row>
    <row r="87">
      <c r="B87" s="160" t="n">
        <v>42978</v>
      </c>
      <c r="C87" s="167" t="n">
        <v>39.8738212585449</v>
      </c>
      <c r="D87" s="34">
        <f>(C87-C86)/C86</f>
        <v/>
      </c>
    </row>
    <row r="88">
      <c r="B88" s="160" t="n">
        <v>43008</v>
      </c>
      <c r="C88" s="167" t="n">
        <v>42.5815696716309</v>
      </c>
      <c r="D88" s="34">
        <f>(C88-C87)/C87</f>
        <v/>
      </c>
    </row>
    <row r="89">
      <c r="B89" s="160" t="n">
        <v>43039</v>
      </c>
      <c r="C89" s="167" t="n">
        <v>41.8266448974609</v>
      </c>
      <c r="D89" s="34">
        <f>(C89-C88)/C88</f>
        <v/>
      </c>
    </row>
    <row r="90">
      <c r="B90" s="160" t="n">
        <v>43069</v>
      </c>
      <c r="C90" s="167" t="n">
        <v>39.6679267883301</v>
      </c>
      <c r="D90" s="34">
        <f>(C90-C89)/C89</f>
        <v/>
      </c>
    </row>
    <row r="91">
      <c r="B91" s="160" t="n">
        <v>43100</v>
      </c>
      <c r="C91" s="167" t="n">
        <v>38.8381309509277</v>
      </c>
      <c r="D91" s="34">
        <f>(C91-C90)/C90</f>
        <v/>
      </c>
    </row>
    <row r="92">
      <c r="B92" s="160" t="n">
        <v>43131</v>
      </c>
      <c r="C92" s="167" t="n">
        <v>41.5521202087402</v>
      </c>
      <c r="D92" s="34">
        <f>(C92-C91)/C91</f>
        <v/>
      </c>
    </row>
    <row r="93">
      <c r="B93" s="160" t="n">
        <v>43159</v>
      </c>
      <c r="C93" s="167" t="n">
        <v>40.7847213745117</v>
      </c>
      <c r="D93" s="34">
        <f>(C93-C92)/C92</f>
        <v/>
      </c>
    </row>
    <row r="94">
      <c r="B94" s="160" t="n">
        <v>43190</v>
      </c>
      <c r="C94" s="167" t="n">
        <v>37.5404090881348</v>
      </c>
      <c r="D94" s="34">
        <f>(C94-C93)/C93</f>
        <v/>
      </c>
    </row>
    <row r="95">
      <c r="B95" s="160" t="n">
        <v>43220</v>
      </c>
      <c r="C95" s="167" t="n">
        <v>39.9174919128418</v>
      </c>
      <c r="D95" s="34">
        <f>(C95-C94)/C94</f>
        <v/>
      </c>
    </row>
    <row r="96">
      <c r="B96" s="160" t="n">
        <v>43251</v>
      </c>
      <c r="C96" s="167" t="n">
        <v>33.1044387817383</v>
      </c>
      <c r="D96" s="34">
        <f>(C96-C95)/C95</f>
        <v/>
      </c>
    </row>
    <row r="97">
      <c r="B97" s="160" t="n">
        <v>43281</v>
      </c>
      <c r="C97" s="167" t="n">
        <v>35.0346298217773</v>
      </c>
      <c r="D97" s="34">
        <f>(C97-C96)/C96</f>
        <v/>
      </c>
    </row>
    <row r="98">
      <c r="B98" s="160" t="n">
        <v>43312</v>
      </c>
      <c r="C98" s="167" t="n">
        <v>36.6681327819824</v>
      </c>
      <c r="D98" s="34">
        <f>(C98-C97)/C97</f>
        <v/>
      </c>
    </row>
    <row r="99">
      <c r="B99" s="160" t="n">
        <v>43343</v>
      </c>
      <c r="C99" s="167" t="n">
        <v>33.335262298584</v>
      </c>
      <c r="D99" s="34">
        <f>(C99-C98)/C98</f>
        <v/>
      </c>
    </row>
    <row r="100">
      <c r="B100" s="160" t="n">
        <v>43373</v>
      </c>
      <c r="C100" s="167" t="n">
        <v>34.7184677124023</v>
      </c>
      <c r="D100" s="34">
        <f>(C100-C99)/C99</f>
        <v/>
      </c>
    </row>
    <row r="101">
      <c r="B101" s="160" t="n">
        <v>43404</v>
      </c>
      <c r="C101" s="167" t="n">
        <v>30.3844242095947</v>
      </c>
      <c r="D101" s="34">
        <f>(C101-C100)/C100</f>
        <v/>
      </c>
    </row>
    <row r="102">
      <c r="B102" s="160" t="n">
        <v>43434</v>
      </c>
      <c r="C102" s="167" t="n">
        <v>29.228458404541</v>
      </c>
      <c r="D102" s="34">
        <f>(C102-C101)/C101</f>
        <v/>
      </c>
    </row>
    <row r="103">
      <c r="B103" s="160" t="n">
        <v>43465</v>
      </c>
      <c r="C103" s="167" t="n">
        <v>26.0009746551514</v>
      </c>
      <c r="D103" s="34">
        <f>(C103-C102)/C102</f>
        <v/>
      </c>
    </row>
    <row r="104">
      <c r="B104" s="160" t="n">
        <v>43496</v>
      </c>
      <c r="C104" s="167" t="n">
        <v>26.9823970794678</v>
      </c>
      <c r="D104" s="34">
        <f>(C104-C103)/C103</f>
        <v/>
      </c>
    </row>
    <row r="105">
      <c r="B105" s="160" t="n">
        <v>43524</v>
      </c>
      <c r="C105" s="167" t="n">
        <v>29.6763515472412</v>
      </c>
      <c r="D105" s="34">
        <f>(C105-C104)/C104</f>
        <v/>
      </c>
    </row>
    <row r="106">
      <c r="B106" s="160" t="n">
        <v>43555</v>
      </c>
      <c r="C106" s="167" t="n">
        <v>28.0659084320068</v>
      </c>
      <c r="D106" s="34">
        <f>(C106-C105)/C105</f>
        <v/>
      </c>
    </row>
    <row r="107">
      <c r="B107" s="160" t="n">
        <v>43585</v>
      </c>
      <c r="C107" s="167" t="n">
        <v>31.2538642883301</v>
      </c>
      <c r="D107" s="34">
        <f>(C107-C106)/C106</f>
        <v/>
      </c>
    </row>
    <row r="108">
      <c r="B108" s="160" t="n">
        <v>43616</v>
      </c>
      <c r="C108" s="167" t="n">
        <v>26.9231147766113</v>
      </c>
      <c r="D108" s="34">
        <f>(C108-C107)/C107</f>
        <v/>
      </c>
    </row>
    <row r="109">
      <c r="B109" s="160" t="n">
        <v>43646</v>
      </c>
      <c r="C109" s="167" t="n">
        <v>29.522611618042</v>
      </c>
      <c r="D109" s="34">
        <f>(C109-C108)/C108</f>
        <v/>
      </c>
    </row>
    <row r="110">
      <c r="B110" s="160" t="n">
        <v>43677</v>
      </c>
      <c r="C110" s="167" t="n">
        <v>29.8159675598145</v>
      </c>
      <c r="D110" s="34">
        <f>(C110-C109)/C109</f>
        <v/>
      </c>
    </row>
    <row r="111">
      <c r="B111" s="160" t="n">
        <v>43708</v>
      </c>
      <c r="C111" s="167" t="n">
        <v>29.0065937042236</v>
      </c>
      <c r="D111" s="34">
        <f>(C111-C110)/C110</f>
        <v/>
      </c>
    </row>
    <row r="112">
      <c r="B112" s="160" t="n">
        <v>43738</v>
      </c>
      <c r="C112" s="167" t="n">
        <v>31.5760822296143</v>
      </c>
      <c r="D112" s="34">
        <f>(C112-C111)/C111</f>
        <v/>
      </c>
    </row>
    <row r="113">
      <c r="B113" s="160" t="n">
        <v>43769</v>
      </c>
      <c r="C113" s="167" t="n">
        <v>33.088794708252</v>
      </c>
      <c r="D113" s="34">
        <f>(C113-C112)/C112</f>
        <v/>
      </c>
    </row>
    <row r="114">
      <c r="B114" s="160" t="n">
        <v>43799</v>
      </c>
      <c r="C114" s="167" t="n">
        <v>36.0293960571289</v>
      </c>
      <c r="D114" s="34">
        <f>(C114-C113)/C113</f>
        <v/>
      </c>
    </row>
    <row r="115">
      <c r="B115" s="160" t="n">
        <v>43830</v>
      </c>
      <c r="C115" s="167" t="n">
        <v>37.344181060791</v>
      </c>
      <c r="D115" s="34">
        <f>(C115-C114)/C114</f>
        <v/>
      </c>
    </row>
    <row r="116">
      <c r="B116" s="160" t="n">
        <v>43861</v>
      </c>
      <c r="C116" s="167" t="n">
        <v>33.961784362793</v>
      </c>
      <c r="D116" s="34">
        <f>(C116-C115)/C115</f>
        <v/>
      </c>
    </row>
    <row r="117">
      <c r="B117" s="160" t="n">
        <v>43890</v>
      </c>
      <c r="C117" s="167" t="n">
        <v>30.9505004882813</v>
      </c>
      <c r="D117" s="34">
        <f>(C117-C116)/C116</f>
        <v/>
      </c>
    </row>
    <row r="118">
      <c r="B118" s="160" t="n">
        <v>43921</v>
      </c>
      <c r="C118" s="167" t="n">
        <v>19.4461193084717</v>
      </c>
      <c r="D118" s="34">
        <f>(C118-C117)/C117</f>
        <v/>
      </c>
    </row>
    <row r="119">
      <c r="B119" s="160" t="n">
        <v>43951</v>
      </c>
      <c r="C119" s="167" t="n">
        <v>20.2696266174316</v>
      </c>
      <c r="D119" s="34">
        <f>(C119-C118)/C118</f>
        <v/>
      </c>
    </row>
    <row r="120">
      <c r="B120" s="160" t="n">
        <v>43982</v>
      </c>
      <c r="C120" s="167" t="n">
        <v>22.8002376556397</v>
      </c>
      <c r="D120" s="34">
        <f>(C120-C119)/C119</f>
        <v/>
      </c>
    </row>
    <row r="121">
      <c r="B121" s="160" t="n">
        <v>44012</v>
      </c>
      <c r="C121" s="167" t="n">
        <v>25.0021495819092</v>
      </c>
      <c r="D121" s="34">
        <f>(C121-C120)/C120</f>
        <v/>
      </c>
    </row>
    <row r="122">
      <c r="B122" s="160" t="n">
        <v>44043</v>
      </c>
      <c r="C122" s="167" t="n">
        <v>24.1150245666504</v>
      </c>
      <c r="D122" s="34">
        <f>(C122-C121)/C121</f>
        <v/>
      </c>
    </row>
    <row r="123">
      <c r="B123" s="160" t="n">
        <v>44074</v>
      </c>
      <c r="C123" s="167" t="n">
        <v>25.8468685150147</v>
      </c>
      <c r="D123" s="34">
        <f>(C123-C122)/C122</f>
        <v/>
      </c>
    </row>
    <row r="124">
      <c r="B124" s="160" t="n">
        <v>44104</v>
      </c>
      <c r="C124" s="167" t="n">
        <v>21.8954391479492</v>
      </c>
      <c r="D124" s="34">
        <f>(C124-C123)/C123</f>
        <v/>
      </c>
    </row>
    <row r="125">
      <c r="B125" s="160" t="n">
        <v>44135</v>
      </c>
      <c r="C125" s="167" t="n">
        <v>21.10373878479</v>
      </c>
      <c r="D125" s="34">
        <f>(C125-C124)/C124</f>
        <v/>
      </c>
    </row>
    <row r="126">
      <c r="B126" s="160" t="n">
        <v>44165</v>
      </c>
      <c r="C126" s="167" t="n">
        <v>30.3708667755127</v>
      </c>
      <c r="D126" s="34">
        <f>(C126-C125)/C125</f>
        <v/>
      </c>
    </row>
    <row r="127">
      <c r="B127" s="160" t="n">
        <v>44196</v>
      </c>
      <c r="C127" s="167" t="n">
        <v>30.4698219299316</v>
      </c>
      <c r="D127" s="34">
        <f>(C127-C126)/C126</f>
        <v/>
      </c>
    </row>
    <row r="128">
      <c r="B128" s="160" t="n">
        <v>44227</v>
      </c>
      <c r="C128" s="167" t="n">
        <v>28.1194686889648</v>
      </c>
      <c r="D128" s="34">
        <f>(C128-C127)/C127</f>
        <v/>
      </c>
    </row>
    <row r="129">
      <c r="B129" s="160" t="n">
        <v>44255</v>
      </c>
      <c r="C129" s="167" t="n">
        <v>34.831241607666</v>
      </c>
      <c r="D129" s="34">
        <f>(C129-C128)/C128</f>
        <v/>
      </c>
    </row>
    <row r="130">
      <c r="B130" s="160" t="n">
        <v>44286</v>
      </c>
      <c r="C130" s="167" t="n">
        <v>36.6726531982422</v>
      </c>
      <c r="D130" s="34">
        <f>(C130-C129)/C129</f>
        <v/>
      </c>
    </row>
    <row r="131">
      <c r="B131" s="160" t="n">
        <v>44316</v>
      </c>
      <c r="C131" s="167" t="n">
        <v>37.7400360107422</v>
      </c>
      <c r="D131" s="34">
        <f>(C131-C130)/C130</f>
        <v/>
      </c>
    </row>
    <row r="132">
      <c r="B132" s="160" t="n">
        <v>44347</v>
      </c>
      <c r="C132" s="167" t="n">
        <v>39.4789428710938</v>
      </c>
      <c r="D132" s="34">
        <f>(C132-C131)/C131</f>
        <v/>
      </c>
    </row>
    <row r="133">
      <c r="B133" s="160" t="n">
        <v>44377</v>
      </c>
      <c r="C133" s="167" t="n">
        <v>38.1249198913574</v>
      </c>
      <c r="D133" s="34">
        <f>(C133-C132)/C132</f>
        <v/>
      </c>
    </row>
    <row r="134">
      <c r="B134" s="160" t="n">
        <v>44408</v>
      </c>
      <c r="C134" s="167" t="n">
        <v>37.1009521484375</v>
      </c>
      <c r="D134" s="34">
        <f>(C134-C133)/C133</f>
        <v/>
      </c>
    </row>
    <row r="135">
      <c r="B135" s="160" t="n">
        <v>44439</v>
      </c>
      <c r="C135" s="167" t="n">
        <v>38.7450714111328</v>
      </c>
      <c r="D135" s="34">
        <f>(C135-C134)/C134</f>
        <v/>
      </c>
    </row>
    <row r="136">
      <c r="B136" s="160" t="n">
        <v>44469</v>
      </c>
      <c r="C136" s="167" t="n">
        <v>39.9781646728516</v>
      </c>
      <c r="D136" s="34">
        <f>(C136-C135)/C135</f>
        <v/>
      </c>
    </row>
    <row r="137">
      <c r="B137" s="160" t="n">
        <v>44500</v>
      </c>
      <c r="C137" s="167" t="n">
        <v>42.9298095703125</v>
      </c>
      <c r="D137" s="34">
        <f>(C137-C136)/C136</f>
        <v/>
      </c>
    </row>
    <row r="138">
      <c r="B138" s="160" t="n">
        <v>44530</v>
      </c>
      <c r="C138" s="167" t="n">
        <v>40.8389320373535</v>
      </c>
      <c r="D138" s="34">
        <f>(C138-C137)/C137</f>
        <v/>
      </c>
    </row>
    <row r="139">
      <c r="B139" s="160" t="n">
        <v>44561</v>
      </c>
      <c r="C139" s="167" t="n">
        <v>45.0577621459961</v>
      </c>
      <c r="D139" s="34">
        <f>(C139-C138)/C138</f>
        <v/>
      </c>
    </row>
    <row r="140">
      <c r="B140" s="160" t="n">
        <v>44592</v>
      </c>
      <c r="C140" s="167" t="n">
        <v>46.7111892700195</v>
      </c>
      <c r="D140" s="34">
        <f>(C140-C139)/C139</f>
        <v/>
      </c>
    </row>
    <row r="141">
      <c r="B141" s="160" t="n">
        <v>44620</v>
      </c>
      <c r="C141" s="167" t="n">
        <v>38.933406829834</v>
      </c>
      <c r="D141" s="34">
        <f>(C141-C140)/C140</f>
        <v/>
      </c>
    </row>
    <row r="142">
      <c r="B142" s="160" t="n">
        <v>44651</v>
      </c>
      <c r="C142" s="167" t="n">
        <v>38.5033683776856</v>
      </c>
      <c r="D142" s="34">
        <f>(C142-C141)/C141</f>
        <v/>
      </c>
    </row>
    <row r="143">
      <c r="B143" s="160" t="n">
        <v>44681</v>
      </c>
      <c r="C143" s="167" t="n">
        <v>36.853645324707</v>
      </c>
      <c r="D143" s="34">
        <f>(C143-C142)/C142</f>
        <v/>
      </c>
    </row>
    <row r="144">
      <c r="B144" s="160" t="n">
        <v>44712</v>
      </c>
      <c r="C144" s="167" t="n">
        <v>39.3782768249512</v>
      </c>
      <c r="D144" s="34">
        <f>(C144-C143)/C143</f>
        <v/>
      </c>
    </row>
    <row r="145">
      <c r="B145" s="160" t="n">
        <v>44742</v>
      </c>
      <c r="C145" s="167" t="n">
        <v>36.1026611328125</v>
      </c>
      <c r="D145" s="34">
        <f>(C145-C144)/C144</f>
        <v/>
      </c>
    </row>
    <row r="146">
      <c r="B146" s="160" t="n">
        <v>44773</v>
      </c>
      <c r="C146" s="167" t="n">
        <v>36.6080093383789</v>
      </c>
      <c r="D146" s="34">
        <f>(C146-C145)/C145</f>
        <v/>
      </c>
    </row>
    <row r="147">
      <c r="B147" s="160" t="n">
        <v>44804</v>
      </c>
      <c r="C147" s="167" t="n">
        <v>36.9939804077148</v>
      </c>
      <c r="D147" s="34">
        <f>(C147-C146)/C146</f>
        <v/>
      </c>
    </row>
    <row r="148">
      <c r="B148" s="160" t="n">
        <v>44834</v>
      </c>
      <c r="C148" s="167" t="n">
        <v>34.7019996643066</v>
      </c>
      <c r="D148" s="34">
        <f>(C148-C147)/C147</f>
        <v/>
      </c>
    </row>
    <row r="149">
      <c r="B149" s="160" t="n">
        <v>44865</v>
      </c>
      <c r="C149" s="167" t="n">
        <v>37.7977676391602</v>
      </c>
      <c r="D149" s="34">
        <f>(C149-C148)/C148</f>
        <v/>
      </c>
    </row>
    <row r="150">
      <c r="B150" s="160" t="n">
        <v>44895</v>
      </c>
      <c r="C150" s="167" t="n">
        <v>42.52099609375</v>
      </c>
      <c r="D150" s="34">
        <f>(C150-C149)/C149</f>
        <v/>
      </c>
    </row>
    <row r="151">
      <c r="B151" s="160" t="n">
        <v>44926</v>
      </c>
      <c r="C151" s="167" t="n">
        <v>42.3777465820313</v>
      </c>
      <c r="D151" s="34">
        <f>(C151-C150)/C150</f>
        <v/>
      </c>
    </row>
    <row r="152">
      <c r="B152" s="160" t="n">
        <v>44957</v>
      </c>
      <c r="C152" s="167" t="n">
        <v>50.0574684143066</v>
      </c>
      <c r="D152" s="34">
        <f>(C152-C151)/C151</f>
        <v/>
      </c>
    </row>
    <row r="153">
      <c r="B153" s="160" t="n">
        <v>44985</v>
      </c>
      <c r="C153" s="167" t="n">
        <v>52.6439056396484</v>
      </c>
      <c r="D153" s="34">
        <f>(C153-C152)/C152</f>
        <v/>
      </c>
    </row>
    <row r="154">
      <c r="B154" s="160" t="n">
        <v>45016</v>
      </c>
      <c r="C154" s="167" t="n">
        <v>43.9375648498535</v>
      </c>
      <c r="D154" s="34">
        <f>(C154-C153)/C153</f>
        <v/>
      </c>
    </row>
    <row r="155">
      <c r="B155" s="160" t="n">
        <v>45046</v>
      </c>
      <c r="C155" s="167" t="n">
        <v>46.6274604797363</v>
      </c>
      <c r="D155" s="34">
        <f>(C155-C154)/C154</f>
        <v/>
      </c>
    </row>
    <row r="156">
      <c r="B156" s="160" t="n">
        <v>45077</v>
      </c>
      <c r="C156" s="167" t="n">
        <v>42.9825744628906</v>
      </c>
      <c r="D156" s="34">
        <f>(C156-C155)/C155</f>
        <v/>
      </c>
    </row>
    <row r="157">
      <c r="B157" s="160" t="n">
        <v>45107</v>
      </c>
      <c r="C157" s="167" t="n">
        <v>49.1370010375977</v>
      </c>
      <c r="D157" s="34">
        <f>(C157-C156)/C156</f>
        <v/>
      </c>
    </row>
    <row r="158">
      <c r="B158" s="160" t="n">
        <v>45138</v>
      </c>
      <c r="C158" s="167" t="n">
        <v>51.0949897766113</v>
      </c>
      <c r="D158" s="34">
        <f>(C158-C157)/C157</f>
        <v/>
      </c>
    </row>
    <row r="159">
      <c r="B159" s="160" t="n">
        <v>45169</v>
      </c>
      <c r="C159" s="167" t="n">
        <v>50.8310852050781</v>
      </c>
      <c r="D159" s="34">
        <f>(C159-C158)/C158</f>
        <v/>
      </c>
    </row>
    <row r="160">
      <c r="B160" s="160" t="n">
        <v>45199</v>
      </c>
      <c r="C160" s="167" t="n">
        <v>51.4440231323242</v>
      </c>
      <c r="D160" s="34">
        <f>(C160-C159)/C159</f>
        <v/>
      </c>
    </row>
    <row r="161">
      <c r="B161" s="160" t="n">
        <v>45230</v>
      </c>
      <c r="C161" s="167" t="n">
        <v>46.217041015625</v>
      </c>
      <c r="D161" s="34">
        <f>(C161-C160)/C160</f>
        <v/>
      </c>
    </row>
    <row r="162">
      <c r="B162" s="160" t="n">
        <v>45260</v>
      </c>
      <c r="C162" s="167" t="n">
        <v>49.1795616149902</v>
      </c>
      <c r="D162" s="34">
        <f>(C162-C161)/C161</f>
        <v/>
      </c>
    </row>
    <row r="163">
      <c r="B163" s="160" t="n">
        <v>45291</v>
      </c>
      <c r="C163" s="167" t="n">
        <v>53.282829284668</v>
      </c>
      <c r="D163" s="34">
        <f>(C163-C162)/C162</f>
        <v/>
      </c>
    </row>
    <row r="164">
      <c r="B164" s="160" t="n">
        <v>45322</v>
      </c>
      <c r="C164" s="167" t="n">
        <v>53.2487754821777</v>
      </c>
      <c r="D164" s="34">
        <f>(C164-C163)/C163</f>
        <v/>
      </c>
    </row>
    <row r="165">
      <c r="B165" s="160" t="n">
        <v>45351</v>
      </c>
      <c r="C165" s="167" t="n">
        <v>47.144962310791</v>
      </c>
      <c r="D165" s="34">
        <f>(C165-C164)/C164</f>
        <v/>
      </c>
    </row>
    <row r="166">
      <c r="B166" s="160" t="n">
        <v>45382</v>
      </c>
      <c r="C166" s="167" t="n">
        <v>56.066577911377</v>
      </c>
      <c r="D166" s="34">
        <f>(C166-C165)/C165</f>
        <v/>
      </c>
    </row>
    <row r="167">
      <c r="B167" s="160" t="n">
        <v>45412</v>
      </c>
      <c r="C167" s="167" t="n">
        <v>57.5563545227051</v>
      </c>
      <c r="D167" s="34">
        <f>(C167-C166)/C166</f>
        <v/>
      </c>
    </row>
    <row r="168">
      <c r="B168" s="160" t="n">
        <v>45443</v>
      </c>
      <c r="C168" s="167" t="n">
        <v>57.6329650878906</v>
      </c>
      <c r="D168" s="34">
        <f>(C168-C167)/C167</f>
        <v/>
      </c>
    </row>
    <row r="169">
      <c r="B169" s="160" t="n">
        <v>45473</v>
      </c>
      <c r="C169" s="167" t="n">
        <v>54.0910034179688</v>
      </c>
      <c r="D169" s="34">
        <f>(C169-C168)/C168</f>
        <v/>
      </c>
    </row>
    <row r="170">
      <c r="B170" s="160" t="n">
        <v>45504</v>
      </c>
      <c r="C170" s="167" t="n">
        <v>57.6619377136231</v>
      </c>
      <c r="D170" s="34">
        <f>(C170-C169)/C169</f>
        <v/>
      </c>
    </row>
    <row r="171">
      <c r="B171" s="160" t="n">
        <v>45535</v>
      </c>
      <c r="C171" s="167" t="n">
        <v>56.8623390197754</v>
      </c>
      <c r="D171" s="34">
        <f>(C171-C170)/C170</f>
        <v/>
      </c>
    </row>
    <row r="172">
      <c r="B172" s="160" t="n">
        <v>45565</v>
      </c>
      <c r="C172" s="167" t="n">
        <v>55.926441192627</v>
      </c>
      <c r="D172" s="34">
        <f>(C172-C171)/C171</f>
        <v/>
      </c>
    </row>
    <row r="173">
      <c r="B173" s="160" t="n">
        <v>45596</v>
      </c>
      <c r="C173" s="167" t="n">
        <v>57.0168037414551</v>
      </c>
      <c r="D173" s="34">
        <f>(C173-C172)/C172</f>
        <v/>
      </c>
    </row>
    <row r="174">
      <c r="B174" s="160" t="n">
        <v>45626</v>
      </c>
      <c r="C174" s="167" t="n">
        <v>51.4650497436523</v>
      </c>
      <c r="D174" s="34">
        <f>(C174-C173)/C173</f>
        <v/>
      </c>
    </row>
    <row r="175">
      <c r="B175" s="160" t="n">
        <v>45657</v>
      </c>
      <c r="C175" s="167" t="n">
        <v>53.809326171875</v>
      </c>
      <c r="D175" s="34">
        <f>(C175-C174)/C174</f>
        <v/>
      </c>
    </row>
    <row r="176">
      <c r="B176" s="160" t="n">
        <v>45688</v>
      </c>
      <c r="C176" s="167" t="n">
        <v>59.7154502868652</v>
      </c>
      <c r="D176" s="34">
        <f>(C176-C175)/C175</f>
        <v/>
      </c>
    </row>
    <row r="177">
      <c r="B177" s="160" t="n">
        <v>45716</v>
      </c>
      <c r="C177" s="167" t="n">
        <v>66.20310211181641</v>
      </c>
      <c r="D177" s="34">
        <f>(C177-C176)/C176</f>
        <v/>
      </c>
    </row>
    <row r="178">
      <c r="B178" s="160" t="n">
        <v>45747</v>
      </c>
      <c r="C178" s="167" t="n">
        <v>69.88307189941411</v>
      </c>
      <c r="D178" s="34">
        <f>(C178-C177)/C177</f>
        <v/>
      </c>
    </row>
    <row r="179">
      <c r="B179" s="160" t="n">
        <v>45777</v>
      </c>
      <c r="C179" s="167" t="n">
        <v>67.50244140625</v>
      </c>
      <c r="D179" s="34">
        <f>(C179-C178)/C178</f>
        <v/>
      </c>
    </row>
    <row r="180">
      <c r="B180" s="160" t="n">
        <v>45808</v>
      </c>
      <c r="C180" s="167" t="n">
        <v>70.0920486450195</v>
      </c>
      <c r="D180" s="34">
        <f>(C180-C179)/C179</f>
        <v/>
      </c>
    </row>
    <row r="181">
      <c r="B181" s="160" t="n">
        <v>45838</v>
      </c>
      <c r="C181" s="167" t="n">
        <v>73.7996826171875</v>
      </c>
      <c r="D181" s="34">
        <f>(C181-C180)/C180</f>
        <v/>
      </c>
    </row>
    <row r="182">
      <c r="B182" s="160" t="n">
        <v>45869</v>
      </c>
      <c r="C182" s="167" t="n">
        <v>77.4161682128906</v>
      </c>
      <c r="D182" s="34">
        <f>(C182-C181)/C181</f>
        <v/>
      </c>
    </row>
    <row r="183">
      <c r="B183" s="160" t="n">
        <v>45900</v>
      </c>
      <c r="C183" s="167" t="n">
        <v>74.292839050293</v>
      </c>
      <c r="D183" s="34">
        <f>(C183-C182)/C182</f>
        <v/>
      </c>
    </row>
  </sheetData>
  <pageMargins left="0.7" right="0.7" top="0.75" bottom="0.75" header="0.3" footer="0.3"/>
</worksheet>
</file>

<file path=xl/worksheets/sheet14.xml><?xml version="1.0" encoding="utf-8"?>
<worksheet xmlns="http://schemas.openxmlformats.org/spreadsheetml/2006/main">
  <sheetPr>
    <tabColor theme="7" tint="0.7999816888943144"/>
    <outlinePr summaryBelow="1" summaryRight="1"/>
    <pageSetUpPr/>
  </sheetPr>
  <dimension ref="B2:D183"/>
  <sheetViews>
    <sheetView showGridLines="0" workbookViewId="0">
      <selection activeCell="N31" sqref="N31"/>
    </sheetView>
  </sheetViews>
  <sheetFormatPr baseColWidth="10" defaultColWidth="10.83203125" defaultRowHeight="15"/>
  <sheetData>
    <row r="2">
      <c r="B2" s="30" t="inlineStr">
        <is>
          <t>Date</t>
        </is>
      </c>
      <c r="C2" t="inlineStr">
        <is>
          <t>CAP.PA</t>
        </is>
      </c>
      <c r="D2" t="inlineStr">
        <is>
          <t>Monthly Return</t>
        </is>
      </c>
    </row>
    <row r="3">
      <c r="B3" s="160" t="inlineStr">
        <is>
          <t>2010-08</t>
        </is>
      </c>
      <c r="C3" s="167" t="n">
        <v>24.8748016357422</v>
      </c>
    </row>
    <row r="4">
      <c r="B4" s="160" t="n">
        <v>40451</v>
      </c>
      <c r="C4" s="167" t="n">
        <v>27.439826965332</v>
      </c>
      <c r="D4" s="34">
        <f>(C4-C3)/C3</f>
        <v/>
      </c>
    </row>
    <row r="5">
      <c r="B5" s="160" t="n">
        <v>40482</v>
      </c>
      <c r="C5" s="167" t="n">
        <v>27.3317127227783</v>
      </c>
      <c r="D5" s="34">
        <f>(C5-C4)/C4</f>
        <v/>
      </c>
    </row>
    <row r="6">
      <c r="B6" s="160" t="n">
        <v>40512</v>
      </c>
      <c r="C6" s="167" t="n">
        <v>24.2260875701904</v>
      </c>
      <c r="D6" s="34">
        <f>(C6-C5)/C5</f>
        <v/>
      </c>
    </row>
    <row r="7">
      <c r="B7" s="160" t="n">
        <v>40543</v>
      </c>
      <c r="C7" s="167" t="n">
        <v>26.0454692840576</v>
      </c>
      <c r="D7" s="34">
        <f>(C7-C6)/C6</f>
        <v/>
      </c>
    </row>
    <row r="8">
      <c r="B8" s="160" t="n">
        <v>40574</v>
      </c>
      <c r="C8" s="167" t="n">
        <v>27.4435539245605</v>
      </c>
      <c r="D8" s="34">
        <f>(C8-C7)/C7</f>
        <v/>
      </c>
    </row>
    <row r="9">
      <c r="B9" s="160" t="n">
        <v>40602</v>
      </c>
      <c r="C9" s="167" t="n">
        <v>31.5707111358643</v>
      </c>
      <c r="D9" s="34">
        <f>(C9-C8)/C8</f>
        <v/>
      </c>
    </row>
    <row r="10">
      <c r="B10" s="160" t="n">
        <v>40633</v>
      </c>
      <c r="C10" s="167" t="n">
        <v>30.5603618621826</v>
      </c>
      <c r="D10" s="34">
        <f>(C10-C9)/C9</f>
        <v/>
      </c>
    </row>
    <row r="11">
      <c r="B11" s="160" t="n">
        <v>40663</v>
      </c>
      <c r="C11" s="167" t="n">
        <v>30.5081672668457</v>
      </c>
      <c r="D11" s="34">
        <f>(C11-C10)/C10</f>
        <v/>
      </c>
    </row>
    <row r="12">
      <c r="B12" s="160" t="n">
        <v>40694</v>
      </c>
      <c r="C12" s="167" t="n">
        <v>29.5835609436035</v>
      </c>
      <c r="D12" s="34">
        <f>(C12-C11)/C11</f>
        <v/>
      </c>
    </row>
    <row r="13">
      <c r="B13" s="160" t="n">
        <v>40724</v>
      </c>
      <c r="C13" s="167" t="n">
        <v>30.1241607666016</v>
      </c>
      <c r="D13" s="34">
        <f>(C13-C12)/C12</f>
        <v/>
      </c>
    </row>
    <row r="14">
      <c r="B14" s="160" t="n">
        <v>40755</v>
      </c>
      <c r="C14" s="167" t="n">
        <v>26.3101654052734</v>
      </c>
      <c r="D14" s="34">
        <f>(C14-C13)/C13</f>
        <v/>
      </c>
    </row>
    <row r="15">
      <c r="B15" s="160" t="n">
        <v>40786</v>
      </c>
      <c r="C15" s="167" t="n">
        <v>21.714017868042</v>
      </c>
      <c r="D15" s="34">
        <f>(C15-C14)/C14</f>
        <v/>
      </c>
    </row>
    <row r="16">
      <c r="B16" s="160" t="n">
        <v>40816</v>
      </c>
      <c r="C16" s="167" t="n">
        <v>19.2150325775147</v>
      </c>
      <c r="D16" s="34">
        <f>(C16-C15)/C15</f>
        <v/>
      </c>
    </row>
    <row r="17">
      <c r="B17" s="160" t="n">
        <v>40847</v>
      </c>
      <c r="C17" s="167" t="n">
        <v>21.2165184020996</v>
      </c>
      <c r="D17" s="34">
        <f>(C17-C16)/C16</f>
        <v/>
      </c>
    </row>
    <row r="18">
      <c r="B18" s="160" t="n">
        <v>40877</v>
      </c>
      <c r="C18" s="167" t="n">
        <v>21.5035400390625</v>
      </c>
      <c r="D18" s="34">
        <f>(C18-C17)/C17</f>
        <v/>
      </c>
    </row>
    <row r="19">
      <c r="B19" s="160" t="n">
        <v>40908</v>
      </c>
      <c r="C19" s="167" t="n">
        <v>18.480260848999</v>
      </c>
      <c r="D19" s="34">
        <f>(C19-C18)/C18</f>
        <v/>
      </c>
    </row>
    <row r="20">
      <c r="B20" s="160" t="n">
        <v>40939</v>
      </c>
      <c r="C20" s="167" t="n">
        <v>21.3619422912598</v>
      </c>
      <c r="D20" s="34">
        <f>(C20-C19)/C19</f>
        <v/>
      </c>
    </row>
    <row r="21">
      <c r="B21" s="160" t="n">
        <v>40968</v>
      </c>
      <c r="C21" s="167" t="n">
        <v>25.3113403320313</v>
      </c>
      <c r="D21" s="34">
        <f>(C21-C20)/C20</f>
        <v/>
      </c>
    </row>
    <row r="22">
      <c r="B22" s="160" t="n">
        <v>40999</v>
      </c>
      <c r="C22" s="167" t="n">
        <v>25.6863784790039</v>
      </c>
      <c r="D22" s="34">
        <f>(C22-C21)/C21</f>
        <v/>
      </c>
    </row>
    <row r="23">
      <c r="B23" s="160" t="n">
        <v>41029</v>
      </c>
      <c r="C23" s="167" t="n">
        <v>22.571252822876</v>
      </c>
      <c r="D23" s="34">
        <f>(C23-C22)/C22</f>
        <v/>
      </c>
    </row>
    <row r="24">
      <c r="B24" s="160" t="n">
        <v>41060</v>
      </c>
      <c r="C24" s="167" t="n">
        <v>20.8567867279053</v>
      </c>
      <c r="D24" s="34">
        <f>(C24-C23)/C23</f>
        <v/>
      </c>
    </row>
    <row r="25">
      <c r="B25" s="160" t="n">
        <v>41090</v>
      </c>
      <c r="C25" s="167" t="n">
        <v>22.1962127685547</v>
      </c>
      <c r="D25" s="34">
        <f>(C25-C24)/C24</f>
        <v/>
      </c>
    </row>
    <row r="26">
      <c r="B26" s="160" t="n">
        <v>41121</v>
      </c>
      <c r="C26" s="167" t="n">
        <v>23.6604309082031</v>
      </c>
      <c r="D26" s="34">
        <f>(C26-C25)/C25</f>
        <v/>
      </c>
    </row>
    <row r="27">
      <c r="B27" s="160" t="n">
        <v>41152</v>
      </c>
      <c r="C27" s="167" t="n">
        <v>23.2350826263428</v>
      </c>
      <c r="D27" s="34">
        <f>(C27-C26)/C26</f>
        <v/>
      </c>
    </row>
    <row r="28">
      <c r="B28" s="160" t="n">
        <v>41182</v>
      </c>
      <c r="C28" s="167" t="n">
        <v>26.1767387390137</v>
      </c>
      <c r="D28" s="34">
        <f>(C28-C27)/C27</f>
        <v/>
      </c>
    </row>
    <row r="29">
      <c r="B29" s="160" t="n">
        <v>41213</v>
      </c>
      <c r="C29" s="167" t="n">
        <v>25.7831897735596</v>
      </c>
      <c r="D29" s="34">
        <f>(C29-C28)/C28</f>
        <v/>
      </c>
    </row>
    <row r="30">
      <c r="B30" s="160" t="n">
        <v>41243</v>
      </c>
      <c r="C30" s="167" t="n">
        <v>25.8785934448242</v>
      </c>
      <c r="D30" s="34">
        <f>(C30-C29)/C29</f>
        <v/>
      </c>
    </row>
    <row r="31">
      <c r="B31" s="160" t="n">
        <v>41274</v>
      </c>
      <c r="C31" s="167" t="n">
        <v>26.1250610351563</v>
      </c>
      <c r="D31" s="34">
        <f>(C31-C30)/C30</f>
        <v/>
      </c>
    </row>
    <row r="32">
      <c r="B32" s="160" t="n">
        <v>41305</v>
      </c>
      <c r="C32" s="167" t="n">
        <v>28.2279434204102</v>
      </c>
      <c r="D32" s="34">
        <f>(C32-C31)/C31</f>
        <v/>
      </c>
    </row>
    <row r="33">
      <c r="B33" s="160" t="n">
        <v>41333</v>
      </c>
      <c r="C33" s="167" t="n">
        <v>29.9690780639648</v>
      </c>
      <c r="D33" s="34">
        <f>(C33-C32)/C32</f>
        <v/>
      </c>
    </row>
    <row r="34">
      <c r="B34" s="160" t="n">
        <v>41364</v>
      </c>
      <c r="C34" s="167" t="n">
        <v>28.223970413208</v>
      </c>
      <c r="D34" s="34">
        <f>(C34-C33)/C33</f>
        <v/>
      </c>
    </row>
    <row r="35">
      <c r="B35" s="160" t="n">
        <v>41394</v>
      </c>
      <c r="C35" s="167" t="n">
        <v>27.7668170928955</v>
      </c>
      <c r="D35" s="34">
        <f>(C35-C34)/C34</f>
        <v/>
      </c>
    </row>
    <row r="36">
      <c r="B36" s="160" t="n">
        <v>41425</v>
      </c>
      <c r="C36" s="167" t="n">
        <v>30.0287132263184</v>
      </c>
      <c r="D36" s="34">
        <f>(C36-C35)/C35</f>
        <v/>
      </c>
    </row>
    <row r="37">
      <c r="B37" s="160" t="n">
        <v>41455</v>
      </c>
      <c r="C37" s="167" t="n">
        <v>29.6947956085205</v>
      </c>
      <c r="D37" s="34">
        <f>(C37-C36)/C36</f>
        <v/>
      </c>
    </row>
    <row r="38">
      <c r="B38" s="160" t="n">
        <v>41486</v>
      </c>
      <c r="C38" s="167" t="n">
        <v>33.6056938171387</v>
      </c>
      <c r="D38" s="34">
        <f>(C38-C37)/C37</f>
        <v/>
      </c>
    </row>
    <row r="39">
      <c r="B39" s="160" t="n">
        <v>41517</v>
      </c>
      <c r="C39" s="167" t="n">
        <v>33.8425254821777</v>
      </c>
      <c r="D39" s="34">
        <f>(C39-C38)/C38</f>
        <v/>
      </c>
    </row>
    <row r="40">
      <c r="B40" s="160" t="n">
        <v>41547</v>
      </c>
      <c r="C40" s="167" t="n">
        <v>35.90869140625</v>
      </c>
      <c r="D40" s="34">
        <f>(C40-C39)/C39</f>
        <v/>
      </c>
    </row>
    <row r="41">
      <c r="B41" s="160" t="n">
        <v>41578</v>
      </c>
      <c r="C41" s="167" t="n">
        <v>39.5673370361328</v>
      </c>
      <c r="D41" s="34">
        <f>(C41-C40)/C40</f>
        <v/>
      </c>
    </row>
    <row r="42">
      <c r="B42" s="160" t="n">
        <v>41608</v>
      </c>
      <c r="C42" s="167" t="n">
        <v>39.199836730957</v>
      </c>
      <c r="D42" s="34">
        <f>(C42-C41)/C41</f>
        <v/>
      </c>
    </row>
    <row r="43">
      <c r="B43" s="160" t="n">
        <v>41639</v>
      </c>
      <c r="C43" s="167" t="n">
        <v>40.122673034668</v>
      </c>
      <c r="D43" s="34">
        <f>(C43-C42)/C42</f>
        <v/>
      </c>
    </row>
    <row r="44">
      <c r="B44" s="160" t="n">
        <v>41670</v>
      </c>
      <c r="C44" s="167" t="n">
        <v>41.2986679077148</v>
      </c>
      <c r="D44" s="34">
        <f>(C44-C43)/C43</f>
        <v/>
      </c>
    </row>
    <row r="45">
      <c r="B45" s="160" t="n">
        <v>41698</v>
      </c>
      <c r="C45" s="167" t="n">
        <v>46.3293037414551</v>
      </c>
      <c r="D45" s="34">
        <f>(C45-C44)/C44</f>
        <v/>
      </c>
    </row>
    <row r="46">
      <c r="B46" s="160" t="n">
        <v>41729</v>
      </c>
      <c r="C46" s="167" t="n">
        <v>44.8756446838379</v>
      </c>
      <c r="D46" s="34">
        <f>(C46-C45)/C45</f>
        <v/>
      </c>
    </row>
    <row r="47">
      <c r="B47" s="160" t="n">
        <v>41759</v>
      </c>
      <c r="C47" s="167" t="n">
        <v>41.5763320922852</v>
      </c>
      <c r="D47" s="34">
        <f>(C47-C46)/C46</f>
        <v/>
      </c>
    </row>
    <row r="48">
      <c r="B48" s="160" t="n">
        <v>41790</v>
      </c>
      <c r="C48" s="167" t="n">
        <v>43.5608215332031</v>
      </c>
      <c r="D48" s="34">
        <f>(C48-C47)/C47</f>
        <v/>
      </c>
    </row>
    <row r="49">
      <c r="B49" s="160" t="n">
        <v>41820</v>
      </c>
      <c r="C49" s="167" t="n">
        <v>43.4919471740723</v>
      </c>
      <c r="D49" s="34">
        <f>(C49-C48)/C48</f>
        <v/>
      </c>
    </row>
    <row r="50">
      <c r="B50" s="160" t="n">
        <v>41851</v>
      </c>
      <c r="C50" s="167" t="n">
        <v>45.2700347900391</v>
      </c>
      <c r="D50" s="34">
        <f>(C50-C49)/C49</f>
        <v/>
      </c>
    </row>
    <row r="51">
      <c r="B51" s="160" t="n">
        <v>41882</v>
      </c>
      <c r="C51" s="167" t="n">
        <v>45.1698608398438</v>
      </c>
      <c r="D51" s="34">
        <f>(C51-C50)/C50</f>
        <v/>
      </c>
    </row>
    <row r="52">
      <c r="B52" s="160" t="n">
        <v>41912</v>
      </c>
      <c r="C52" s="167" t="n">
        <v>47.4404678344727</v>
      </c>
      <c r="D52" s="34">
        <f>(C52-C51)/C51</f>
        <v/>
      </c>
    </row>
    <row r="53">
      <c r="B53" s="160" t="n">
        <v>41943</v>
      </c>
      <c r="C53" s="167" t="n">
        <v>43.7924728393555</v>
      </c>
      <c r="D53" s="34">
        <f>(C53-C52)/C52</f>
        <v/>
      </c>
    </row>
    <row r="54">
      <c r="B54" s="160" t="n">
        <v>41973</v>
      </c>
      <c r="C54" s="167" t="n">
        <v>49.1934967041016</v>
      </c>
      <c r="D54" s="34">
        <f>(C54-C53)/C53</f>
        <v/>
      </c>
    </row>
    <row r="55">
      <c r="B55" s="160" t="n">
        <v>42004</v>
      </c>
      <c r="C55" s="167" t="n">
        <v>49.6526184082031</v>
      </c>
      <c r="D55" s="34">
        <f>(C55-C54)/C54</f>
        <v/>
      </c>
    </row>
    <row r="56">
      <c r="B56" s="160" t="n">
        <v>42035</v>
      </c>
      <c r="C56" s="167" t="n">
        <v>53.9016418457031</v>
      </c>
      <c r="D56" s="34">
        <f>(C56-C55)/C55</f>
        <v/>
      </c>
    </row>
    <row r="57">
      <c r="B57" s="160" t="n">
        <v>42063</v>
      </c>
      <c r="C57" s="167" t="n">
        <v>60.3294334411621</v>
      </c>
      <c r="D57" s="34">
        <f>(C57-C56)/C56</f>
        <v/>
      </c>
    </row>
    <row r="58">
      <c r="B58" s="160" t="n">
        <v>42094</v>
      </c>
      <c r="C58" s="167" t="n">
        <v>63.7520256042481</v>
      </c>
      <c r="D58" s="34">
        <f>(C58-C57)/C57</f>
        <v/>
      </c>
    </row>
    <row r="59">
      <c r="B59" s="160" t="n">
        <v>42124</v>
      </c>
      <c r="C59" s="167" t="n">
        <v>66.36488342285161</v>
      </c>
      <c r="D59" s="34">
        <f>(C59-C58)/C58</f>
        <v/>
      </c>
    </row>
    <row r="60">
      <c r="B60" s="160" t="n">
        <v>42155</v>
      </c>
      <c r="C60" s="167" t="n">
        <v>65.9641876220703</v>
      </c>
      <c r="D60" s="34">
        <f>(C60-C59)/C59</f>
        <v/>
      </c>
    </row>
    <row r="61">
      <c r="B61" s="160" t="n">
        <v>42185</v>
      </c>
      <c r="C61" s="167" t="n">
        <v>67.25457763671881</v>
      </c>
      <c r="D61" s="34">
        <f>(C61-C60)/C60</f>
        <v/>
      </c>
    </row>
    <row r="62">
      <c r="B62" s="160" t="n">
        <v>42216</v>
      </c>
      <c r="C62" s="167" t="n">
        <v>73.7622604370117</v>
      </c>
      <c r="D62" s="34">
        <f>(C62-C61)/C61</f>
        <v/>
      </c>
    </row>
    <row r="63">
      <c r="B63" s="160" t="n">
        <v>42247</v>
      </c>
      <c r="C63" s="167" t="n">
        <v>67.8901062011719</v>
      </c>
      <c r="D63" s="34">
        <f>(C63-C62)/C62</f>
        <v/>
      </c>
    </row>
    <row r="64">
      <c r="B64" s="160" t="n">
        <v>42277</v>
      </c>
      <c r="C64" s="167" t="n">
        <v>67.46641540527339</v>
      </c>
      <c r="D64" s="34">
        <f>(C64-C63)/C63</f>
        <v/>
      </c>
    </row>
    <row r="65">
      <c r="B65" s="160" t="n">
        <v>42308</v>
      </c>
      <c r="C65" s="167" t="n">
        <v>68.6611862182617</v>
      </c>
      <c r="D65" s="34">
        <f>(C65-C64)/C64</f>
        <v/>
      </c>
    </row>
    <row r="66">
      <c r="B66" s="160" t="n">
        <v>42338</v>
      </c>
      <c r="C66" s="167" t="n">
        <v>73.9910430908203</v>
      </c>
      <c r="D66" s="34">
        <f>(C66-C65)/C65</f>
        <v/>
      </c>
    </row>
    <row r="67">
      <c r="B67" s="160" t="n">
        <v>42369</v>
      </c>
      <c r="C67" s="167" t="n">
        <v>72.5336074829102</v>
      </c>
      <c r="D67" s="34">
        <f>(C67-C66)/C66</f>
        <v/>
      </c>
    </row>
    <row r="68">
      <c r="B68" s="160" t="n">
        <v>42400</v>
      </c>
      <c r="C68" s="167" t="n">
        <v>71.24562835693359</v>
      </c>
      <c r="D68" s="34">
        <f>(C68-C67)/C67</f>
        <v/>
      </c>
    </row>
    <row r="69">
      <c r="B69" s="160" t="n">
        <v>42429</v>
      </c>
      <c r="C69" s="167" t="n">
        <v>64.9921417236328</v>
      </c>
      <c r="D69" s="34">
        <f>(C69-C68)/C68</f>
        <v/>
      </c>
    </row>
    <row r="70">
      <c r="B70" s="160" t="n">
        <v>42460</v>
      </c>
      <c r="C70" s="167" t="n">
        <v>69.97459411621089</v>
      </c>
      <c r="D70" s="34">
        <f>(C70-C69)/C69</f>
        <v/>
      </c>
    </row>
    <row r="71">
      <c r="B71" s="160" t="n">
        <v>42490</v>
      </c>
      <c r="C71" s="167" t="n">
        <v>69.0848693847656</v>
      </c>
      <c r="D71" s="34">
        <f>(C71-C70)/C70</f>
        <v/>
      </c>
    </row>
    <row r="72">
      <c r="B72" s="160" t="n">
        <v>42521</v>
      </c>
      <c r="C72" s="167" t="n">
        <v>72.6183395385742</v>
      </c>
      <c r="D72" s="34">
        <f>(C72-C71)/C71</f>
        <v/>
      </c>
    </row>
    <row r="73">
      <c r="B73" s="160" t="n">
        <v>42551</v>
      </c>
      <c r="C73" s="167" t="n">
        <v>67.31944274902339</v>
      </c>
      <c r="D73" s="34">
        <f>(C73-C72)/C72</f>
        <v/>
      </c>
    </row>
    <row r="74">
      <c r="B74" s="160" t="n">
        <v>42582</v>
      </c>
      <c r="C74" s="167" t="n">
        <v>73.9911193847656</v>
      </c>
      <c r="D74" s="34">
        <f>(C74-C73)/C73</f>
        <v/>
      </c>
    </row>
    <row r="75">
      <c r="B75" s="160" t="n">
        <v>42613</v>
      </c>
      <c r="C75" s="167" t="n">
        <v>75.18772125244141</v>
      </c>
      <c r="D75" s="34">
        <f>(C75-C74)/C74</f>
        <v/>
      </c>
    </row>
    <row r="76">
      <c r="B76" s="160" t="n">
        <v>42643</v>
      </c>
      <c r="C76" s="167" t="n">
        <v>75.0499801635742</v>
      </c>
      <c r="D76" s="34">
        <f>(C76-C75)/C75</f>
        <v/>
      </c>
    </row>
    <row r="77">
      <c r="B77" s="160" t="n">
        <v>42674</v>
      </c>
      <c r="C77" s="167" t="n">
        <v>64.97788238525391</v>
      </c>
      <c r="D77" s="34">
        <f>(C77-C76)/C76</f>
        <v/>
      </c>
    </row>
    <row r="78">
      <c r="B78" s="160" t="n">
        <v>42704</v>
      </c>
      <c r="C78" s="167" t="n">
        <v>64.1342468261719</v>
      </c>
      <c r="D78" s="34">
        <f>(C78-C77)/C77</f>
        <v/>
      </c>
    </row>
    <row r="79">
      <c r="B79" s="160" t="n">
        <v>42735</v>
      </c>
      <c r="C79" s="167" t="n">
        <v>68.9981307983398</v>
      </c>
      <c r="D79" s="34">
        <f>(C79-C78)/C78</f>
        <v/>
      </c>
    </row>
    <row r="80">
      <c r="B80" s="160" t="n">
        <v>42766</v>
      </c>
      <c r="C80" s="167" t="n">
        <v>64.88320159912109</v>
      </c>
      <c r="D80" s="34">
        <f>(C80-C79)/C79</f>
        <v/>
      </c>
    </row>
    <row r="81">
      <c r="B81" s="160" t="n">
        <v>42794</v>
      </c>
      <c r="C81" s="167" t="n">
        <v>69.4629821777344</v>
      </c>
      <c r="D81" s="34">
        <f>(C81-C80)/C80</f>
        <v/>
      </c>
    </row>
    <row r="82">
      <c r="B82" s="160" t="n">
        <v>42825</v>
      </c>
      <c r="C82" s="167" t="n">
        <v>74.51625061035161</v>
      </c>
      <c r="D82" s="34">
        <f>(C82-C81)/C81</f>
        <v/>
      </c>
    </row>
    <row r="83">
      <c r="B83" s="160" t="n">
        <v>42855</v>
      </c>
      <c r="C83" s="167" t="n">
        <v>79.11325836181641</v>
      </c>
      <c r="D83" s="34">
        <f>(C83-C82)/C82</f>
        <v/>
      </c>
    </row>
    <row r="84">
      <c r="B84" s="160" t="n">
        <v>42886</v>
      </c>
      <c r="C84" s="167" t="n">
        <v>79.3370895385742</v>
      </c>
      <c r="D84" s="34">
        <f>(C84-C83)/C83</f>
        <v/>
      </c>
    </row>
    <row r="85">
      <c r="B85" s="160" t="n">
        <v>42916</v>
      </c>
      <c r="C85" s="167" t="n">
        <v>79.20098876953131</v>
      </c>
      <c r="D85" s="34">
        <f>(C85-C84)/C84</f>
        <v/>
      </c>
    </row>
    <row r="86">
      <c r="B86" s="160" t="n">
        <v>42947</v>
      </c>
      <c r="C86" s="167" t="n">
        <v>80.53150939941411</v>
      </c>
      <c r="D86" s="34">
        <f>(C86-C85)/C85</f>
        <v/>
      </c>
    </row>
    <row r="87">
      <c r="B87" s="160" t="n">
        <v>42978</v>
      </c>
      <c r="C87" s="167" t="n">
        <v>81.520637512207</v>
      </c>
      <c r="D87" s="34">
        <f>(C87-C86)/C86</f>
        <v/>
      </c>
    </row>
    <row r="88">
      <c r="B88" s="160" t="n">
        <v>43008</v>
      </c>
      <c r="C88" s="167" t="n">
        <v>86.7989501953125</v>
      </c>
      <c r="D88" s="34">
        <f>(C88-C87)/C87</f>
        <v/>
      </c>
    </row>
    <row r="89">
      <c r="B89" s="160" t="n">
        <v>43039</v>
      </c>
      <c r="C89" s="167" t="n">
        <v>91.3419723510742</v>
      </c>
      <c r="D89" s="34">
        <f>(C89-C88)/C88</f>
        <v/>
      </c>
    </row>
    <row r="90">
      <c r="B90" s="160" t="n">
        <v>43069</v>
      </c>
      <c r="C90" s="167" t="n">
        <v>84.80316162109381</v>
      </c>
      <c r="D90" s="34">
        <f>(C90-C89)/C89</f>
        <v/>
      </c>
    </row>
    <row r="91">
      <c r="B91" s="160" t="n">
        <v>43100</v>
      </c>
      <c r="C91" s="167" t="n">
        <v>86.5626220703125</v>
      </c>
      <c r="D91" s="34">
        <f>(C91-C90)/C90</f>
        <v/>
      </c>
    </row>
    <row r="92">
      <c r="B92" s="160" t="n">
        <v>43131</v>
      </c>
      <c r="C92" s="167" t="n">
        <v>93.6178665161133</v>
      </c>
      <c r="D92" s="34">
        <f>(C92-C91)/C91</f>
        <v/>
      </c>
    </row>
    <row r="93">
      <c r="B93" s="160" t="n">
        <v>43159</v>
      </c>
      <c r="C93" s="167" t="n">
        <v>90.1165008544922</v>
      </c>
      <c r="D93" s="34">
        <f>(C93-C92)/C92</f>
        <v/>
      </c>
    </row>
    <row r="94">
      <c r="B94" s="160" t="n">
        <v>43190</v>
      </c>
      <c r="C94" s="167" t="n">
        <v>88.5846481323242</v>
      </c>
      <c r="D94" s="34">
        <f>(C94-C93)/C93</f>
        <v/>
      </c>
    </row>
    <row r="95">
      <c r="B95" s="160" t="n">
        <v>43220</v>
      </c>
      <c r="C95" s="167" t="n">
        <v>99.78903961181641</v>
      </c>
      <c r="D95" s="34">
        <f>(C95-C94)/C94</f>
        <v/>
      </c>
    </row>
    <row r="96">
      <c r="B96" s="160" t="n">
        <v>43251</v>
      </c>
      <c r="C96" s="167" t="n">
        <v>98.60732269287109</v>
      </c>
      <c r="D96" s="34">
        <f>(C96-C95)/C95</f>
        <v/>
      </c>
    </row>
    <row r="97">
      <c r="B97" s="160" t="n">
        <v>43281</v>
      </c>
      <c r="C97" s="167" t="n">
        <v>100.839454650879</v>
      </c>
      <c r="D97" s="34">
        <f>(C97-C96)/C96</f>
        <v/>
      </c>
    </row>
    <row r="98">
      <c r="B98" s="160" t="n">
        <v>43312</v>
      </c>
      <c r="C98" s="167" t="n">
        <v>97.5528182983398</v>
      </c>
      <c r="D98" s="34">
        <f>(C98-C97)/C97</f>
        <v/>
      </c>
    </row>
    <row r="99">
      <c r="B99" s="160" t="n">
        <v>43343</v>
      </c>
      <c r="C99" s="167" t="n">
        <v>98.1747283935547</v>
      </c>
      <c r="D99" s="34">
        <f>(C99-C98)/C98</f>
        <v/>
      </c>
    </row>
    <row r="100">
      <c r="B100" s="160" t="n">
        <v>43373</v>
      </c>
      <c r="C100" s="167" t="n">
        <v>96.3089599609375</v>
      </c>
      <c r="D100" s="34">
        <f>(C100-C99)/C99</f>
        <v/>
      </c>
    </row>
    <row r="101">
      <c r="B101" s="160" t="n">
        <v>43404</v>
      </c>
      <c r="C101" s="167" t="n">
        <v>95.9535751342773</v>
      </c>
      <c r="D101" s="34">
        <f>(C101-C100)/C100</f>
        <v/>
      </c>
    </row>
    <row r="102">
      <c r="B102" s="160" t="n">
        <v>43434</v>
      </c>
      <c r="C102" s="167" t="n">
        <v>91.5557174682617</v>
      </c>
      <c r="D102" s="34">
        <f>(C102-C101)/C101</f>
        <v/>
      </c>
    </row>
    <row r="103">
      <c r="B103" s="160" t="n">
        <v>43465</v>
      </c>
      <c r="C103" s="167" t="n">
        <v>77.1182556152344</v>
      </c>
      <c r="D103" s="34">
        <f>(C103-C102)/C102</f>
        <v/>
      </c>
    </row>
    <row r="104">
      <c r="B104" s="160" t="n">
        <v>43496</v>
      </c>
      <c r="C104" s="167" t="n">
        <v>85.7185440063477</v>
      </c>
      <c r="D104" s="34">
        <f>(C104-C103)/C103</f>
        <v/>
      </c>
    </row>
    <row r="105">
      <c r="B105" s="160" t="n">
        <v>43524</v>
      </c>
      <c r="C105" s="167" t="n">
        <v>93.4659042358398</v>
      </c>
      <c r="D105" s="34">
        <f>(C105-C104)/C104</f>
        <v/>
      </c>
    </row>
    <row r="106">
      <c r="B106" s="160" t="n">
        <v>43555</v>
      </c>
      <c r="C106" s="167" t="n">
        <v>96.0424270629883</v>
      </c>
      <c r="D106" s="34">
        <f>(C106-C105)/C105</f>
        <v/>
      </c>
    </row>
    <row r="107">
      <c r="B107" s="160" t="n">
        <v>43585</v>
      </c>
      <c r="C107" s="167" t="n">
        <v>96.0424270629883</v>
      </c>
      <c r="D107" s="34">
        <f>(C107-C106)/C106</f>
        <v/>
      </c>
    </row>
    <row r="108">
      <c r="B108" s="160" t="n">
        <v>43616</v>
      </c>
      <c r="C108" s="167" t="n">
        <v>88.93475341796881</v>
      </c>
      <c r="D108" s="34">
        <f>(C108-C107)/C107</f>
        <v/>
      </c>
    </row>
    <row r="109">
      <c r="B109" s="160" t="n">
        <v>43646</v>
      </c>
      <c r="C109" s="167" t="n">
        <v>97.1529922485352</v>
      </c>
      <c r="D109" s="34">
        <f>(C109-C108)/C108</f>
        <v/>
      </c>
    </row>
    <row r="110">
      <c r="B110" s="160" t="n">
        <v>43677</v>
      </c>
      <c r="C110" s="167" t="n">
        <v>104.206268310547</v>
      </c>
      <c r="D110" s="34">
        <f>(C110-C109)/C109</f>
        <v/>
      </c>
    </row>
    <row r="111">
      <c r="B111" s="160" t="n">
        <v>43708</v>
      </c>
      <c r="C111" s="167" t="n">
        <v>98.6907958984375</v>
      </c>
      <c r="D111" s="34">
        <f>(C111-C110)/C110</f>
        <v/>
      </c>
    </row>
    <row r="112">
      <c r="B112" s="160" t="n">
        <v>43738</v>
      </c>
      <c r="C112" s="167" t="n">
        <v>97.7414093017578</v>
      </c>
      <c r="D112" s="34">
        <f>(C112-C111)/C111</f>
        <v/>
      </c>
    </row>
    <row r="113">
      <c r="B113" s="160" t="n">
        <v>43769</v>
      </c>
      <c r="C113" s="167" t="n">
        <v>91.2765350341797</v>
      </c>
      <c r="D113" s="34">
        <f>(C113-C112)/C112</f>
        <v/>
      </c>
    </row>
    <row r="114">
      <c r="B114" s="160" t="n">
        <v>43799</v>
      </c>
      <c r="C114" s="167" t="n">
        <v>97.0632705688477</v>
      </c>
      <c r="D114" s="34">
        <f>(C114-C113)/C113</f>
        <v/>
      </c>
    </row>
    <row r="115">
      <c r="B115" s="160" t="n">
        <v>43830</v>
      </c>
      <c r="C115" s="167" t="n">
        <v>98.46474456787109</v>
      </c>
      <c r="D115" s="34">
        <f>(C115-C114)/C114</f>
        <v/>
      </c>
    </row>
    <row r="116">
      <c r="B116" s="160" t="n">
        <v>43861</v>
      </c>
      <c r="C116" s="167" t="n">
        <v>101.58415222168</v>
      </c>
      <c r="D116" s="34">
        <f>(C116-C115)/C115</f>
        <v/>
      </c>
    </row>
    <row r="117">
      <c r="B117" s="160" t="n">
        <v>43890</v>
      </c>
      <c r="C117" s="167" t="n">
        <v>89.7123260498047</v>
      </c>
      <c r="D117" s="34">
        <f>(C117-C116)/C116</f>
        <v/>
      </c>
    </row>
    <row r="118">
      <c r="B118" s="160" t="n">
        <v>43921</v>
      </c>
      <c r="C118" s="167" t="n">
        <v>69.6215286254883</v>
      </c>
      <c r="D118" s="34">
        <f>(C118-C117)/C117</f>
        <v/>
      </c>
    </row>
    <row r="119">
      <c r="B119" s="160" t="n">
        <v>43951</v>
      </c>
      <c r="C119" s="167" t="n">
        <v>77.52402496337891</v>
      </c>
      <c r="D119" s="34">
        <f>(C119-C118)/C118</f>
        <v/>
      </c>
    </row>
    <row r="120">
      <c r="B120" s="160" t="n">
        <v>43982</v>
      </c>
      <c r="C120" s="167" t="n">
        <v>83.2745819091797</v>
      </c>
      <c r="D120" s="34">
        <f>(C120-C119)/C119</f>
        <v/>
      </c>
    </row>
    <row r="121">
      <c r="B121" s="160" t="n">
        <v>44012</v>
      </c>
      <c r="C121" s="167" t="n">
        <v>92.18072509765631</v>
      </c>
      <c r="D121" s="34">
        <f>(C121-C120)/C120</f>
        <v/>
      </c>
    </row>
    <row r="122">
      <c r="B122" s="160" t="n">
        <v>44043</v>
      </c>
      <c r="C122" s="167" t="n">
        <v>100.457077026367</v>
      </c>
      <c r="D122" s="34">
        <f>(C122-C121)/C121</f>
        <v/>
      </c>
    </row>
    <row r="123">
      <c r="B123" s="160" t="n">
        <v>44074</v>
      </c>
      <c r="C123" s="167" t="n">
        <v>106.420272827148</v>
      </c>
      <c r="D123" s="34">
        <f>(C123-C122)/C122</f>
        <v/>
      </c>
    </row>
    <row r="124">
      <c r="B124" s="160" t="n">
        <v>44104</v>
      </c>
      <c r="C124" s="167" t="n">
        <v>100.686431884766</v>
      </c>
      <c r="D124" s="34">
        <f>(C124-C123)/C123</f>
        <v/>
      </c>
    </row>
    <row r="125">
      <c r="B125" s="160" t="n">
        <v>44135</v>
      </c>
      <c r="C125" s="167" t="n">
        <v>90.95265197753911</v>
      </c>
      <c r="D125" s="34">
        <f>(C125-C124)/C124</f>
        <v/>
      </c>
    </row>
    <row r="126">
      <c r="B126" s="160" t="n">
        <v>44165</v>
      </c>
      <c r="C126" s="167" t="n">
        <v>106.695510864258</v>
      </c>
      <c r="D126" s="34">
        <f>(C126-C125)/C125</f>
        <v/>
      </c>
    </row>
    <row r="127">
      <c r="B127" s="160" t="n">
        <v>44196</v>
      </c>
      <c r="C127" s="167" t="n">
        <v>116.328384399414</v>
      </c>
      <c r="D127" s="34">
        <f>(C127-C126)/C126</f>
        <v/>
      </c>
    </row>
    <row r="128">
      <c r="B128" s="160" t="n">
        <v>44227</v>
      </c>
      <c r="C128" s="167" t="n">
        <v>109.631240844727</v>
      </c>
      <c r="D128" s="34">
        <f>(C128-C127)/C127</f>
        <v/>
      </c>
    </row>
    <row r="129">
      <c r="B129" s="160" t="n">
        <v>44255</v>
      </c>
      <c r="C129" s="167" t="n">
        <v>122.153968811035</v>
      </c>
      <c r="D129" s="34">
        <f>(C129-C128)/C128</f>
        <v/>
      </c>
    </row>
    <row r="130">
      <c r="B130" s="160" t="n">
        <v>44286</v>
      </c>
      <c r="C130" s="167" t="n">
        <v>133.117111206055</v>
      </c>
      <c r="D130" s="34">
        <f>(C130-C129)/C129</f>
        <v/>
      </c>
    </row>
    <row r="131">
      <c r="B131" s="160" t="n">
        <v>44316</v>
      </c>
      <c r="C131" s="167" t="n">
        <v>139.814224243164</v>
      </c>
      <c r="D131" s="34">
        <f>(C131-C130)/C130</f>
        <v/>
      </c>
    </row>
    <row r="132">
      <c r="B132" s="160" t="n">
        <v>44347</v>
      </c>
      <c r="C132" s="167" t="n">
        <v>140.043594360352</v>
      </c>
      <c r="D132" s="34">
        <f>(C132-C131)/C131</f>
        <v/>
      </c>
    </row>
    <row r="133">
      <c r="B133" s="160" t="n">
        <v>44377</v>
      </c>
      <c r="C133" s="167" t="n">
        <v>148.62141418457</v>
      </c>
      <c r="D133" s="34">
        <f>(C133-C132)/C132</f>
        <v/>
      </c>
    </row>
    <row r="134">
      <c r="B134" s="160" t="n">
        <v>44408</v>
      </c>
      <c r="C134" s="167" t="n">
        <v>169.363311767578</v>
      </c>
      <c r="D134" s="34">
        <f>(C134-C133)/C133</f>
        <v/>
      </c>
    </row>
    <row r="135">
      <c r="B135" s="160" t="n">
        <v>44439</v>
      </c>
      <c r="C135" s="167" t="n">
        <v>176.704711914063</v>
      </c>
      <c r="D135" s="34">
        <f>(C135-C134)/C134</f>
        <v/>
      </c>
    </row>
    <row r="136">
      <c r="B136" s="160" t="n">
        <v>44469</v>
      </c>
      <c r="C136" s="167" t="n">
        <v>167.411804199219</v>
      </c>
      <c r="D136" s="34">
        <f>(C136-C135)/C135</f>
        <v/>
      </c>
    </row>
    <row r="137">
      <c r="B137" s="160" t="n">
        <v>44500</v>
      </c>
      <c r="C137" s="167" t="n">
        <v>187.066314697266</v>
      </c>
      <c r="D137" s="34">
        <f>(C137-C136)/C136</f>
        <v/>
      </c>
    </row>
    <row r="138">
      <c r="B138" s="160" t="n">
        <v>44530</v>
      </c>
      <c r="C138" s="167" t="n">
        <v>189.668334960938</v>
      </c>
      <c r="D138" s="34">
        <f>(C138-C137)/C137</f>
        <v/>
      </c>
    </row>
    <row r="139">
      <c r="B139" s="160" t="n">
        <v>44561</v>
      </c>
      <c r="C139" s="167" t="n">
        <v>200.262237548828</v>
      </c>
      <c r="D139" s="34">
        <f>(C139-C138)/C138</f>
        <v/>
      </c>
    </row>
    <row r="140">
      <c r="B140" s="160" t="n">
        <v>44592</v>
      </c>
      <c r="C140" s="167" t="n">
        <v>183.488525390625</v>
      </c>
      <c r="D140" s="34">
        <f>(C140-C139)/C139</f>
        <v/>
      </c>
    </row>
    <row r="141">
      <c r="B141" s="160" t="n">
        <v>44620</v>
      </c>
      <c r="C141" s="167" t="n">
        <v>174.985534667969</v>
      </c>
      <c r="D141" s="34">
        <f>(C141-C140)/C140</f>
        <v/>
      </c>
    </row>
    <row r="142">
      <c r="B142" s="160" t="n">
        <v>44651</v>
      </c>
      <c r="C142" s="167" t="n">
        <v>188.18147277832</v>
      </c>
      <c r="D142" s="34">
        <f>(C142-C141)/C141</f>
        <v/>
      </c>
    </row>
    <row r="143">
      <c r="B143" s="160" t="n">
        <v>44681</v>
      </c>
      <c r="C143" s="167" t="n">
        <v>182.234024047852</v>
      </c>
      <c r="D143" s="34">
        <f>(C143-C142)/C142</f>
        <v/>
      </c>
    </row>
    <row r="144">
      <c r="B144" s="160" t="n">
        <v>44712</v>
      </c>
      <c r="C144" s="167" t="n">
        <v>167.737060546875</v>
      </c>
      <c r="D144" s="34">
        <f>(C144-C143)/C143</f>
        <v/>
      </c>
    </row>
    <row r="145">
      <c r="B145" s="160" t="n">
        <v>44742</v>
      </c>
      <c r="C145" s="167" t="n">
        <v>151.892654418945</v>
      </c>
      <c r="D145" s="34">
        <f>(C145-C144)/C144</f>
        <v/>
      </c>
    </row>
    <row r="146">
      <c r="B146" s="160" t="n">
        <v>44773</v>
      </c>
      <c r="C146" s="167" t="n">
        <v>174.565216064453</v>
      </c>
      <c r="D146" s="34">
        <f>(C146-C145)/C145</f>
        <v/>
      </c>
    </row>
    <row r="147">
      <c r="B147" s="160" t="n">
        <v>44804</v>
      </c>
      <c r="C147" s="167" t="n">
        <v>162.933822631836</v>
      </c>
      <c r="D147" s="34">
        <f>(C147-C146)/C146</f>
        <v/>
      </c>
    </row>
    <row r="148">
      <c r="B148" s="160" t="n">
        <v>44834</v>
      </c>
      <c r="C148" s="167" t="n">
        <v>155.870208740234</v>
      </c>
      <c r="D148" s="34">
        <f>(C148-C147)/C147</f>
        <v/>
      </c>
    </row>
    <row r="149">
      <c r="B149" s="160" t="n">
        <v>44865</v>
      </c>
      <c r="C149" s="167" t="n">
        <v>156.576568603516</v>
      </c>
      <c r="D149" s="34">
        <f>(C149-C148)/C148</f>
        <v/>
      </c>
    </row>
    <row r="150">
      <c r="B150" s="160" t="n">
        <v>44895</v>
      </c>
      <c r="C150" s="167" t="n">
        <v>161.050170898438</v>
      </c>
      <c r="D150" s="34">
        <f>(C150-C149)/C149</f>
        <v/>
      </c>
    </row>
    <row r="151">
      <c r="B151" s="160" t="n">
        <v>44926</v>
      </c>
      <c r="C151" s="167" t="n">
        <v>146.875885009766</v>
      </c>
      <c r="D151" s="34">
        <f>(C151-C150)/C150</f>
        <v/>
      </c>
    </row>
    <row r="152">
      <c r="B152" s="160" t="n">
        <v>44957</v>
      </c>
      <c r="C152" s="167" t="n">
        <v>163.781433105469</v>
      </c>
      <c r="D152" s="34">
        <f>(C152-C151)/C151</f>
        <v/>
      </c>
    </row>
    <row r="153">
      <c r="B153" s="160" t="n">
        <v>44985</v>
      </c>
      <c r="C153" s="167" t="n">
        <v>167.501617431641</v>
      </c>
      <c r="D153" s="34">
        <f>(C153-C152)/C152</f>
        <v/>
      </c>
    </row>
    <row r="154">
      <c r="B154" s="160" t="n">
        <v>45016</v>
      </c>
      <c r="C154" s="167" t="n">
        <v>160.814727783203</v>
      </c>
      <c r="D154" s="34">
        <f>(C154-C153)/C153</f>
        <v/>
      </c>
    </row>
    <row r="155">
      <c r="B155" s="160" t="n">
        <v>45046</v>
      </c>
      <c r="C155" s="167" t="n">
        <v>155.305099487305</v>
      </c>
      <c r="D155" s="34">
        <f>(C155-C154)/C154</f>
        <v/>
      </c>
    </row>
    <row r="156">
      <c r="B156" s="160" t="n">
        <v>45077</v>
      </c>
      <c r="C156" s="167" t="n">
        <v>153.327301025391</v>
      </c>
      <c r="D156" s="34">
        <f>(C156-C155)/C155</f>
        <v/>
      </c>
    </row>
    <row r="157">
      <c r="B157" s="160" t="n">
        <v>45107</v>
      </c>
      <c r="C157" s="167" t="n">
        <v>166.895706176758</v>
      </c>
      <c r="D157" s="34">
        <f>(C157-C156)/C156</f>
        <v/>
      </c>
    </row>
    <row r="158">
      <c r="B158" s="160" t="n">
        <v>45138</v>
      </c>
      <c r="C158" s="167" t="n">
        <v>158.529281616211</v>
      </c>
      <c r="D158" s="34">
        <f>(C158-C157)/C157</f>
        <v/>
      </c>
    </row>
    <row r="159">
      <c r="B159" s="160" t="n">
        <v>45169</v>
      </c>
      <c r="C159" s="167" t="n">
        <v>165.741714477539</v>
      </c>
      <c r="D159" s="34">
        <f>(C159-C158)/C158</f>
        <v/>
      </c>
    </row>
    <row r="160">
      <c r="B160" s="160" t="n">
        <v>45199</v>
      </c>
      <c r="C160" s="167" t="n">
        <v>159.442855834961</v>
      </c>
      <c r="D160" s="34">
        <f>(C160-C159)/C159</f>
        <v/>
      </c>
    </row>
    <row r="161">
      <c r="B161" s="160" t="n">
        <v>45230</v>
      </c>
      <c r="C161" s="167" t="n">
        <v>160.116012573242</v>
      </c>
      <c r="D161" s="34">
        <f>(C161-C160)/C160</f>
        <v/>
      </c>
    </row>
    <row r="162">
      <c r="B162" s="160" t="n">
        <v>45260</v>
      </c>
      <c r="C162" s="167" t="n">
        <v>180.791656494141</v>
      </c>
      <c r="D162" s="34">
        <f>(C162-C161)/C161</f>
        <v/>
      </c>
    </row>
    <row r="163">
      <c r="B163" s="160" t="n">
        <v>45291</v>
      </c>
      <c r="C163" s="167" t="n">
        <v>181.512893676758</v>
      </c>
      <c r="D163" s="34">
        <f>(C163-C162)/C162</f>
        <v/>
      </c>
    </row>
    <row r="164">
      <c r="B164" s="160" t="n">
        <v>45322</v>
      </c>
      <c r="C164" s="167" t="n">
        <v>199.255477905273</v>
      </c>
      <c r="D164" s="34">
        <f>(C164-C163)/C163</f>
        <v/>
      </c>
    </row>
    <row r="165">
      <c r="B165" s="160" t="n">
        <v>45351</v>
      </c>
      <c r="C165" s="167" t="n">
        <v>216.084487915039</v>
      </c>
      <c r="D165" s="34">
        <f>(C165-C164)/C164</f>
        <v/>
      </c>
    </row>
    <row r="166">
      <c r="B166" s="160" t="n">
        <v>45382</v>
      </c>
      <c r="C166" s="167" t="n">
        <v>205.121597290039</v>
      </c>
      <c r="D166" s="34">
        <f>(C166-C165)/C165</f>
        <v/>
      </c>
    </row>
    <row r="167">
      <c r="B167" s="160" t="n">
        <v>45412</v>
      </c>
      <c r="C167" s="167" t="n">
        <v>190.312057495117</v>
      </c>
      <c r="D167" s="34">
        <f>(C167-C166)/C166</f>
        <v/>
      </c>
    </row>
    <row r="168">
      <c r="B168" s="160" t="n">
        <v>45443</v>
      </c>
      <c r="C168" s="167" t="n">
        <v>178.483673095703</v>
      </c>
      <c r="D168" s="34">
        <f>(C168-C167)/C167</f>
        <v/>
      </c>
    </row>
    <row r="169">
      <c r="B169" s="160" t="n">
        <v>45473</v>
      </c>
      <c r="C169" s="167" t="n">
        <v>181.517288208008</v>
      </c>
      <c r="D169" s="34">
        <f>(C169-C168)/C168</f>
        <v/>
      </c>
    </row>
    <row r="170">
      <c r="B170" s="160" t="n">
        <v>45504</v>
      </c>
      <c r="C170" s="167" t="n">
        <v>179.464599609375</v>
      </c>
      <c r="D170" s="34">
        <f>(C170-C169)/C169</f>
        <v/>
      </c>
    </row>
    <row r="171">
      <c r="B171" s="160" t="n">
        <v>45535</v>
      </c>
      <c r="C171" s="167" t="n">
        <v>183.276748657227</v>
      </c>
      <c r="D171" s="34">
        <f>(C171-C170)/C170</f>
        <v/>
      </c>
    </row>
    <row r="172">
      <c r="B172" s="160" t="n">
        <v>45565</v>
      </c>
      <c r="C172" s="167" t="n">
        <v>189.581466674805</v>
      </c>
      <c r="D172" s="34">
        <f>(C172-C171)/C171</f>
        <v/>
      </c>
    </row>
    <row r="173">
      <c r="B173" s="160" t="n">
        <v>45596</v>
      </c>
      <c r="C173" s="167" t="n">
        <v>155.614181518555</v>
      </c>
      <c r="D173" s="34">
        <f>(C173-C172)/C172</f>
        <v/>
      </c>
    </row>
    <row r="174">
      <c r="B174" s="160" t="n">
        <v>45626</v>
      </c>
      <c r="C174" s="167" t="n">
        <v>148.478591918945</v>
      </c>
      <c r="D174" s="34">
        <f>(C174-C173)/C173</f>
        <v/>
      </c>
    </row>
    <row r="175">
      <c r="B175" s="160" t="n">
        <v>45657</v>
      </c>
      <c r="C175" s="167" t="n">
        <v>154.587829589844</v>
      </c>
      <c r="D175" s="34">
        <f>(C175-C174)/C174</f>
        <v/>
      </c>
    </row>
    <row r="176">
      <c r="B176" s="160" t="n">
        <v>45688</v>
      </c>
      <c r="C176" s="167" t="n">
        <v>171.986892700195</v>
      </c>
      <c r="D176" s="34">
        <f>(C176-C175)/C175</f>
        <v/>
      </c>
    </row>
    <row r="177">
      <c r="B177" s="160" t="n">
        <v>45716</v>
      </c>
      <c r="C177" s="167" t="n">
        <v>145.790542602539</v>
      </c>
      <c r="D177" s="34">
        <f>(C177-C176)/C176</f>
        <v/>
      </c>
    </row>
    <row r="178">
      <c r="B178" s="160" t="n">
        <v>45747</v>
      </c>
      <c r="C178" s="167" t="n">
        <v>134.940567016602</v>
      </c>
      <c r="D178" s="34">
        <f>(C178-C177)/C177</f>
        <v/>
      </c>
    </row>
    <row r="179">
      <c r="B179" s="160" t="n">
        <v>45777</v>
      </c>
      <c r="C179" s="167" t="n">
        <v>136.70002746582</v>
      </c>
      <c r="D179" s="34">
        <f>(C179-C178)/C178</f>
        <v/>
      </c>
    </row>
    <row r="180">
      <c r="B180" s="160" t="n">
        <v>45808</v>
      </c>
      <c r="C180" s="167" t="n">
        <v>142.955871582031</v>
      </c>
      <c r="D180" s="34">
        <f>(C180-C179)/C179</f>
        <v/>
      </c>
    </row>
    <row r="181">
      <c r="B181" s="160" t="n">
        <v>45838</v>
      </c>
      <c r="C181" s="167" t="n">
        <v>145.050003051758</v>
      </c>
      <c r="D181" s="34">
        <f>(C181-C180)/C180</f>
        <v/>
      </c>
    </row>
    <row r="182">
      <c r="B182" s="160" t="n">
        <v>45869</v>
      </c>
      <c r="C182" s="167" t="n">
        <v>130.899993896484</v>
      </c>
      <c r="D182" s="34">
        <f>(C182-C181)/C181</f>
        <v/>
      </c>
    </row>
    <row r="183">
      <c r="B183" s="160" t="n">
        <v>45900</v>
      </c>
      <c r="C183" s="167" t="n">
        <v>121.449996948242</v>
      </c>
      <c r="D183" s="34">
        <f>(C183-C182)/C182</f>
        <v/>
      </c>
    </row>
  </sheetData>
  <pageMargins left="0.7" right="0.7" top="0.75" bottom="0.75" header="0.3" footer="0.3"/>
</worksheet>
</file>

<file path=xl/worksheets/sheet15.xml><?xml version="1.0" encoding="utf-8"?>
<worksheet xmlns="http://schemas.openxmlformats.org/spreadsheetml/2006/main">
  <sheetPr>
    <tabColor theme="7" tint="0.7999816888943144"/>
    <outlinePr summaryBelow="1" summaryRight="1"/>
    <pageSetUpPr/>
  </sheetPr>
  <dimension ref="B2:D183"/>
  <sheetViews>
    <sheetView showGridLines="0" workbookViewId="0">
      <selection activeCell="N31" sqref="N31"/>
    </sheetView>
  </sheetViews>
  <sheetFormatPr baseColWidth="10" defaultColWidth="10.83203125" defaultRowHeight="15"/>
  <cols>
    <col width="11.6640625" bestFit="1" customWidth="1" min="3" max="3"/>
  </cols>
  <sheetData>
    <row r="2">
      <c r="B2" s="30" t="inlineStr">
        <is>
          <t>Date</t>
        </is>
      </c>
      <c r="C2" t="inlineStr">
        <is>
          <t>BN.PA</t>
        </is>
      </c>
      <c r="D2" t="inlineStr">
        <is>
          <t>Monthly Return</t>
        </is>
      </c>
    </row>
    <row r="3">
      <c r="B3" s="160" t="inlineStr">
        <is>
          <t>2010-08</t>
        </is>
      </c>
      <c r="C3" s="167" t="n">
        <v>27.3107395172119</v>
      </c>
    </row>
    <row r="4">
      <c r="B4" s="160" t="n">
        <v>40451</v>
      </c>
      <c r="C4" s="167" t="n">
        <v>28.2574920654297</v>
      </c>
      <c r="D4" s="34">
        <f>(C4-C3)/C3</f>
        <v/>
      </c>
    </row>
    <row r="5">
      <c r="B5" s="160" t="n">
        <v>40482</v>
      </c>
      <c r="C5" s="167" t="n">
        <v>29.2879524230957</v>
      </c>
      <c r="D5" s="34">
        <f>(C5-C4)/C4</f>
        <v/>
      </c>
    </row>
    <row r="6">
      <c r="B6" s="160" t="n">
        <v>40512</v>
      </c>
      <c r="C6" s="167" t="n">
        <v>29.0625419616699</v>
      </c>
      <c r="D6" s="34">
        <f>(C6-C5)/C5</f>
        <v/>
      </c>
    </row>
    <row r="7">
      <c r="B7" s="160" t="n">
        <v>40543</v>
      </c>
      <c r="C7" s="167" t="n">
        <v>30.2830047607422</v>
      </c>
      <c r="D7" s="34">
        <f>(C7-C6)/C6</f>
        <v/>
      </c>
    </row>
    <row r="8">
      <c r="B8" s="160" t="n">
        <v>40574</v>
      </c>
      <c r="C8" s="167" t="n">
        <v>28.3315486907959</v>
      </c>
      <c r="D8" s="34">
        <f>(C8-C7)/C7</f>
        <v/>
      </c>
    </row>
    <row r="9">
      <c r="B9" s="160" t="n">
        <v>40602</v>
      </c>
      <c r="C9" s="167" t="n">
        <v>29.258975982666</v>
      </c>
      <c r="D9" s="34">
        <f>(C9-C8)/C8</f>
        <v/>
      </c>
    </row>
    <row r="10">
      <c r="B10" s="160" t="n">
        <v>40633</v>
      </c>
      <c r="C10" s="167" t="n">
        <v>29.6872673034668</v>
      </c>
      <c r="D10" s="34">
        <f>(C10-C9)/C9</f>
        <v/>
      </c>
    </row>
    <row r="11">
      <c r="B11" s="160" t="n">
        <v>40663</v>
      </c>
      <c r="C11" s="167" t="n">
        <v>31.851261138916</v>
      </c>
      <c r="D11" s="34">
        <f>(C11-C10)/C10</f>
        <v/>
      </c>
    </row>
    <row r="12">
      <c r="B12" s="160" t="n">
        <v>40694</v>
      </c>
      <c r="C12" s="167" t="n">
        <v>32.8141059875488</v>
      </c>
      <c r="D12" s="34">
        <f>(C12-C11)/C11</f>
        <v/>
      </c>
    </row>
    <row r="13">
      <c r="B13" s="160" t="n">
        <v>40724</v>
      </c>
      <c r="C13" s="167" t="n">
        <v>34.0279922485352</v>
      </c>
      <c r="D13" s="34">
        <f>(C13-C12)/C12</f>
        <v/>
      </c>
    </row>
    <row r="14">
      <c r="B14" s="160" t="n">
        <v>40755</v>
      </c>
      <c r="C14" s="167" t="n">
        <v>32.9367179870606</v>
      </c>
      <c r="D14" s="34">
        <f>(C14-C13)/C13</f>
        <v/>
      </c>
    </row>
    <row r="15">
      <c r="B15" s="160" t="n">
        <v>40786</v>
      </c>
      <c r="C15" s="167" t="n">
        <v>31.0848484039307</v>
      </c>
      <c r="D15" s="34">
        <f>(C15-C14)/C14</f>
        <v/>
      </c>
    </row>
    <row r="16">
      <c r="B16" s="160" t="n">
        <v>40816</v>
      </c>
      <c r="C16" s="167" t="n">
        <v>30.5557498931885</v>
      </c>
      <c r="D16" s="34">
        <f>(C16-C15)/C15</f>
        <v/>
      </c>
    </row>
    <row r="17">
      <c r="B17" s="160" t="n">
        <v>40847</v>
      </c>
      <c r="C17" s="167" t="n">
        <v>33.2674064636231</v>
      </c>
      <c r="D17" s="34">
        <f>(C17-C16)/C16</f>
        <v/>
      </c>
    </row>
    <row r="18">
      <c r="B18" s="160" t="n">
        <v>40877</v>
      </c>
      <c r="C18" s="167" t="n">
        <v>32.4373664855957</v>
      </c>
      <c r="D18" s="34">
        <f>(C18-C17)/C17</f>
        <v/>
      </c>
    </row>
    <row r="19">
      <c r="B19" s="160" t="n">
        <v>40908</v>
      </c>
      <c r="C19" s="167" t="n">
        <v>32.123218536377</v>
      </c>
      <c r="D19" s="34">
        <f>(C19-C18)/C18</f>
        <v/>
      </c>
    </row>
    <row r="20">
      <c r="B20" s="160" t="n">
        <v>40939</v>
      </c>
      <c r="C20" s="167" t="n">
        <v>31.2072048187256</v>
      </c>
      <c r="D20" s="34">
        <f>(C20-C19)/C19</f>
        <v/>
      </c>
    </row>
    <row r="21">
      <c r="B21" s="160" t="n">
        <v>40968</v>
      </c>
      <c r="C21" s="167" t="n">
        <v>33.5848693847656</v>
      </c>
      <c r="D21" s="34">
        <f>(C21-C20)/C20</f>
        <v/>
      </c>
    </row>
    <row r="22">
      <c r="B22" s="160" t="n">
        <v>40999</v>
      </c>
      <c r="C22" s="167" t="n">
        <v>34.5901641845703</v>
      </c>
      <c r="D22" s="34">
        <f>(C22-C21)/C21</f>
        <v/>
      </c>
    </row>
    <row r="23">
      <c r="B23" s="160" t="n">
        <v>41029</v>
      </c>
      <c r="C23" s="167" t="n">
        <v>35.1523323059082</v>
      </c>
      <c r="D23" s="34">
        <f>(C23-C22)/C22</f>
        <v/>
      </c>
    </row>
    <row r="24">
      <c r="B24" s="160" t="n">
        <v>41060</v>
      </c>
      <c r="C24" s="167" t="n">
        <v>34.3189926147461</v>
      </c>
      <c r="D24" s="34">
        <f>(C24-C23)/C23</f>
        <v/>
      </c>
    </row>
    <row r="25">
      <c r="B25" s="160" t="n">
        <v>41090</v>
      </c>
      <c r="C25" s="167" t="n">
        <v>33.2627830505371</v>
      </c>
      <c r="D25" s="34">
        <f>(C25-C24)/C24</f>
        <v/>
      </c>
    </row>
    <row r="26">
      <c r="B26" s="160" t="n">
        <v>41121</v>
      </c>
      <c r="C26" s="167" t="n">
        <v>33.5783424377441</v>
      </c>
      <c r="D26" s="34">
        <f>(C26-C25)/C25</f>
        <v/>
      </c>
    </row>
    <row r="27">
      <c r="B27" s="160" t="n">
        <v>41152</v>
      </c>
      <c r="C27" s="167" t="n">
        <v>33.625846862793</v>
      </c>
      <c r="D27" s="34">
        <f>(C27-C26)/C26</f>
        <v/>
      </c>
    </row>
    <row r="28">
      <c r="B28" s="160" t="n">
        <v>41182</v>
      </c>
      <c r="C28" s="167" t="n">
        <v>32.5129051208496</v>
      </c>
      <c r="D28" s="34">
        <f>(C28-C27)/C27</f>
        <v/>
      </c>
    </row>
    <row r="29">
      <c r="B29" s="160" t="n">
        <v>41213</v>
      </c>
      <c r="C29" s="167" t="n">
        <v>32.1837692260742</v>
      </c>
      <c r="D29" s="34">
        <f>(C29-C28)/C28</f>
        <v/>
      </c>
    </row>
    <row r="30">
      <c r="B30" s="160" t="n">
        <v>41243</v>
      </c>
      <c r="C30" s="167" t="n">
        <v>33.0999145507813</v>
      </c>
      <c r="D30" s="34">
        <f>(C30-C29)/C29</f>
        <v/>
      </c>
    </row>
    <row r="31">
      <c r="B31" s="160" t="n">
        <v>41274</v>
      </c>
      <c r="C31" s="167" t="n">
        <v>33.866756439209</v>
      </c>
      <c r="D31" s="34">
        <f>(C31-C30)/C30</f>
        <v/>
      </c>
    </row>
    <row r="32">
      <c r="B32" s="160" t="n">
        <v>41305</v>
      </c>
      <c r="C32" s="167" t="n">
        <v>34.6370010375977</v>
      </c>
      <c r="D32" s="34">
        <f>(C32-C31)/C31</f>
        <v/>
      </c>
    </row>
    <row r="33">
      <c r="B33" s="160" t="n">
        <v>41333</v>
      </c>
      <c r="C33" s="167" t="n">
        <v>36.0960426330566</v>
      </c>
      <c r="D33" s="34">
        <f>(C33-C32)/C32</f>
        <v/>
      </c>
    </row>
    <row r="34">
      <c r="B34" s="160" t="n">
        <v>41364</v>
      </c>
      <c r="C34" s="167" t="n">
        <v>36.8357353210449</v>
      </c>
      <c r="D34" s="34">
        <f>(C34-C33)/C33</f>
        <v/>
      </c>
    </row>
    <row r="35">
      <c r="B35" s="160" t="n">
        <v>41394</v>
      </c>
      <c r="C35" s="167" t="n">
        <v>39.3670120239258</v>
      </c>
      <c r="D35" s="34">
        <f>(C35-C34)/C34</f>
        <v/>
      </c>
    </row>
    <row r="36">
      <c r="B36" s="160" t="n">
        <v>41425</v>
      </c>
      <c r="C36" s="167" t="n">
        <v>38.5051574707031</v>
      </c>
      <c r="D36" s="34">
        <f>(C36-C35)/C35</f>
        <v/>
      </c>
    </row>
    <row r="37">
      <c r="B37" s="160" t="n">
        <v>41455</v>
      </c>
      <c r="C37" s="167" t="n">
        <v>40.1326332092285</v>
      </c>
      <c r="D37" s="34">
        <f>(C37-C36)/C36</f>
        <v/>
      </c>
    </row>
    <row r="38">
      <c r="B38" s="160" t="n">
        <v>41486</v>
      </c>
      <c r="C38" s="167" t="n">
        <v>41.3437156677246</v>
      </c>
      <c r="D38" s="34">
        <f>(C38-C37)/C37</f>
        <v/>
      </c>
    </row>
    <row r="39">
      <c r="B39" s="160" t="n">
        <v>41517</v>
      </c>
      <c r="C39" s="167" t="n">
        <v>39.2138824462891</v>
      </c>
      <c r="D39" s="34">
        <f>(C39-C38)/C38</f>
        <v/>
      </c>
    </row>
    <row r="40">
      <c r="B40" s="160" t="n">
        <v>41547</v>
      </c>
      <c r="C40" s="167" t="n">
        <v>38.7266693115234</v>
      </c>
      <c r="D40" s="34">
        <f>(C40-C39)/C39</f>
        <v/>
      </c>
    </row>
    <row r="41">
      <c r="B41" s="160" t="n">
        <v>41578</v>
      </c>
      <c r="C41" s="167" t="n">
        <v>38.0167236328125</v>
      </c>
      <c r="D41" s="34">
        <f>(C41-C40)/C40</f>
        <v/>
      </c>
    </row>
    <row r="42">
      <c r="B42" s="160" t="n">
        <v>41608</v>
      </c>
      <c r="C42" s="167" t="n">
        <v>37.2232551574707</v>
      </c>
      <c r="D42" s="34">
        <f>(C42-C41)/C41</f>
        <v/>
      </c>
    </row>
    <row r="43">
      <c r="B43" s="160" t="n">
        <v>41639</v>
      </c>
      <c r="C43" s="167" t="n">
        <v>36.4158782958984</v>
      </c>
      <c r="D43" s="34">
        <f>(C43-C42)/C42</f>
        <v/>
      </c>
    </row>
    <row r="44">
      <c r="B44" s="160" t="n">
        <v>41670</v>
      </c>
      <c r="C44" s="167" t="n">
        <v>34.1085586547852</v>
      </c>
      <c r="D44" s="34">
        <f>(C44-C43)/C43</f>
        <v/>
      </c>
    </row>
    <row r="45">
      <c r="B45" s="160" t="n">
        <v>41698</v>
      </c>
      <c r="C45" s="167" t="n">
        <v>35.6224098205566</v>
      </c>
      <c r="D45" s="34">
        <f>(C45-C44)/C44</f>
        <v/>
      </c>
    </row>
    <row r="46">
      <c r="B46" s="160" t="n">
        <v>41729</v>
      </c>
      <c r="C46" s="167" t="n">
        <v>35.7268142700195</v>
      </c>
      <c r="D46" s="34">
        <f>(C46-C45)/C45</f>
        <v/>
      </c>
    </row>
    <row r="47">
      <c r="B47" s="160" t="n">
        <v>41759</v>
      </c>
      <c r="C47" s="167" t="n">
        <v>37.0005340576172</v>
      </c>
      <c r="D47" s="34">
        <f>(C47-C46)/C46</f>
        <v/>
      </c>
    </row>
    <row r="48">
      <c r="B48" s="160" t="n">
        <v>41790</v>
      </c>
      <c r="C48" s="167" t="n">
        <v>38.0236854553223</v>
      </c>
      <c r="D48" s="34">
        <f>(C48-C47)/C47</f>
        <v/>
      </c>
    </row>
    <row r="49">
      <c r="B49" s="160" t="n">
        <v>41820</v>
      </c>
      <c r="C49" s="167" t="n">
        <v>38.8298187255859</v>
      </c>
      <c r="D49" s="34">
        <f>(C49-C48)/C48</f>
        <v/>
      </c>
    </row>
    <row r="50">
      <c r="B50" s="160" t="n">
        <v>41851</v>
      </c>
      <c r="C50" s="167" t="n">
        <v>38.7224311828613</v>
      </c>
      <c r="D50" s="34">
        <f>(C50-C49)/C49</f>
        <v/>
      </c>
    </row>
    <row r="51">
      <c r="B51" s="160" t="n">
        <v>41882</v>
      </c>
      <c r="C51" s="167" t="n">
        <v>38.0423355102539</v>
      </c>
      <c r="D51" s="34">
        <f>(C51-C50)/C50</f>
        <v/>
      </c>
    </row>
    <row r="52">
      <c r="B52" s="160" t="n">
        <v>41912</v>
      </c>
      <c r="C52" s="167" t="n">
        <v>37.9421157836914</v>
      </c>
      <c r="D52" s="34">
        <f>(C52-C51)/C51</f>
        <v/>
      </c>
    </row>
    <row r="53">
      <c r="B53" s="160" t="n">
        <v>41943</v>
      </c>
      <c r="C53" s="167" t="n">
        <v>38.8154983520508</v>
      </c>
      <c r="D53" s="34">
        <f>(C53-C52)/C52</f>
        <v/>
      </c>
    </row>
    <row r="54">
      <c r="B54" s="160" t="n">
        <v>41973</v>
      </c>
      <c r="C54" s="167" t="n">
        <v>40.6266975402832</v>
      </c>
      <c r="D54" s="34">
        <f>(C54-C53)/C53</f>
        <v/>
      </c>
    </row>
    <row r="55">
      <c r="B55" s="160" t="n">
        <v>42004</v>
      </c>
      <c r="C55" s="167" t="n">
        <v>38.9801483154297</v>
      </c>
      <c r="D55" s="34">
        <f>(C55-C54)/C54</f>
        <v/>
      </c>
    </row>
    <row r="56">
      <c r="B56" s="160" t="n">
        <v>42035</v>
      </c>
      <c r="C56" s="167" t="n">
        <v>42.6455001831055</v>
      </c>
      <c r="D56" s="34">
        <f>(C56-C55)/C55</f>
        <v/>
      </c>
    </row>
    <row r="57">
      <c r="B57" s="160" t="n">
        <v>42063</v>
      </c>
      <c r="C57" s="167" t="n">
        <v>44.6213569641113</v>
      </c>
      <c r="D57" s="34">
        <f>(C57-C56)/C56</f>
        <v/>
      </c>
    </row>
    <row r="58">
      <c r="B58" s="160" t="n">
        <v>42094</v>
      </c>
      <c r="C58" s="167" t="n">
        <v>44.8289604187012</v>
      </c>
      <c r="D58" s="34">
        <f>(C58-C57)/C57</f>
        <v/>
      </c>
    </row>
    <row r="59">
      <c r="B59" s="160" t="n">
        <v>42124</v>
      </c>
      <c r="C59" s="167" t="n">
        <v>46.1819915771484</v>
      </c>
      <c r="D59" s="34">
        <f>(C59-C58)/C58</f>
        <v/>
      </c>
    </row>
    <row r="60">
      <c r="B60" s="160" t="n">
        <v>42155</v>
      </c>
      <c r="C60" s="167" t="n">
        <v>44.764533996582</v>
      </c>
      <c r="D60" s="34">
        <f>(C60-C59)/C59</f>
        <v/>
      </c>
    </row>
    <row r="61">
      <c r="B61" s="160" t="n">
        <v>42185</v>
      </c>
      <c r="C61" s="167" t="n">
        <v>42.5118637084961</v>
      </c>
      <c r="D61" s="34">
        <f>(C61-C60)/C60</f>
        <v/>
      </c>
    </row>
    <row r="62">
      <c r="B62" s="160" t="n">
        <v>42216</v>
      </c>
      <c r="C62" s="167" t="n">
        <v>45.224292755127</v>
      </c>
      <c r="D62" s="34">
        <f>(C62-C61)/C61</f>
        <v/>
      </c>
    </row>
    <row r="63">
      <c r="B63" s="160" t="n">
        <v>42247</v>
      </c>
      <c r="C63" s="167" t="n">
        <v>40.605827331543</v>
      </c>
      <c r="D63" s="34">
        <f>(C63-C62)/C62</f>
        <v/>
      </c>
    </row>
    <row r="64">
      <c r="B64" s="160" t="n">
        <v>42277</v>
      </c>
      <c r="C64" s="167" t="n">
        <v>41.3609123229981</v>
      </c>
      <c r="D64" s="34">
        <f>(C64-C63)/C63</f>
        <v/>
      </c>
    </row>
    <row r="65">
      <c r="B65" s="160" t="n">
        <v>42308</v>
      </c>
      <c r="C65" s="167" t="n">
        <v>46.4852066040039</v>
      </c>
      <c r="D65" s="34">
        <f>(C65-C64)/C64</f>
        <v/>
      </c>
    </row>
    <row r="66">
      <c r="B66" s="160" t="n">
        <v>42338</v>
      </c>
      <c r="C66" s="167" t="n">
        <v>48.6258277893066</v>
      </c>
      <c r="D66" s="34">
        <f>(C66-C65)/C65</f>
        <v/>
      </c>
    </row>
    <row r="67">
      <c r="B67" s="160" t="n">
        <v>42369</v>
      </c>
      <c r="C67" s="167" t="n">
        <v>45.6568145751953</v>
      </c>
      <c r="D67" s="34">
        <f>(C67-C66)/C66</f>
        <v/>
      </c>
    </row>
    <row r="68">
      <c r="B68" s="160" t="n">
        <v>42400</v>
      </c>
      <c r="C68" s="167" t="n">
        <v>46.5145301818848</v>
      </c>
      <c r="D68" s="34">
        <f>(C68-C67)/C67</f>
        <v/>
      </c>
    </row>
    <row r="69">
      <c r="B69" s="160" t="n">
        <v>42429</v>
      </c>
      <c r="C69" s="167" t="n">
        <v>47.0863342285156</v>
      </c>
      <c r="D69" s="34">
        <f>(C69-C68)/C68</f>
        <v/>
      </c>
    </row>
    <row r="70">
      <c r="B70" s="160" t="n">
        <v>42460</v>
      </c>
      <c r="C70" s="167" t="n">
        <v>45.8254203796387</v>
      </c>
      <c r="D70" s="34">
        <f>(C70-C69)/C69</f>
        <v/>
      </c>
    </row>
    <row r="71">
      <c r="B71" s="160" t="n">
        <v>42490</v>
      </c>
      <c r="C71" s="167" t="n">
        <v>44.8430862426758</v>
      </c>
      <c r="D71" s="34">
        <f>(C71-C70)/C70</f>
        <v/>
      </c>
    </row>
    <row r="72">
      <c r="B72" s="160" t="n">
        <v>42521</v>
      </c>
      <c r="C72" s="167" t="n">
        <v>46.2432861328125</v>
      </c>
      <c r="D72" s="34">
        <f>(C72-C71)/C71</f>
        <v/>
      </c>
    </row>
    <row r="73">
      <c r="B73" s="160" t="n">
        <v>42551</v>
      </c>
      <c r="C73" s="167" t="n">
        <v>47.748176574707</v>
      </c>
      <c r="D73" s="34">
        <f>(C73-C72)/C72</f>
        <v/>
      </c>
    </row>
    <row r="74">
      <c r="B74" s="160" t="n">
        <v>42582</v>
      </c>
      <c r="C74" s="167" t="n">
        <v>51.8671226501465</v>
      </c>
      <c r="D74" s="34">
        <f>(C74-C73)/C73</f>
        <v/>
      </c>
    </row>
    <row r="75">
      <c r="B75" s="160" t="n">
        <v>42613</v>
      </c>
      <c r="C75" s="167" t="n">
        <v>51.2873077392578</v>
      </c>
      <c r="D75" s="34">
        <f>(C75-C74)/C74</f>
        <v/>
      </c>
    </row>
    <row r="76">
      <c r="B76" s="160" t="n">
        <v>42643</v>
      </c>
      <c r="C76" s="167" t="n">
        <v>49.7361183166504</v>
      </c>
      <c r="D76" s="34">
        <f>(C76-C75)/C75</f>
        <v/>
      </c>
    </row>
    <row r="77">
      <c r="B77" s="160" t="n">
        <v>42674</v>
      </c>
      <c r="C77" s="167" t="n">
        <v>47.499683380127</v>
      </c>
      <c r="D77" s="34">
        <f>(C77-C76)/C76</f>
        <v/>
      </c>
    </row>
    <row r="78">
      <c r="B78" s="160" t="n">
        <v>42704</v>
      </c>
      <c r="C78" s="167" t="n">
        <v>44.6984977722168</v>
      </c>
      <c r="D78" s="34">
        <f>(C78-C77)/C77</f>
        <v/>
      </c>
    </row>
    <row r="79">
      <c r="B79" s="160" t="n">
        <v>42735</v>
      </c>
      <c r="C79" s="167" t="n">
        <v>45.3310203552246</v>
      </c>
      <c r="D79" s="34">
        <f>(C79-C78)/C78</f>
        <v/>
      </c>
    </row>
    <row r="80">
      <c r="B80" s="160" t="n">
        <v>42766</v>
      </c>
      <c r="C80" s="167" t="n">
        <v>43.666877746582</v>
      </c>
      <c r="D80" s="34">
        <f>(C80-C79)/C79</f>
        <v/>
      </c>
    </row>
    <row r="81">
      <c r="B81" s="160" t="n">
        <v>42794</v>
      </c>
      <c r="C81" s="167" t="n">
        <v>47.1081237792969</v>
      </c>
      <c r="D81" s="34">
        <f>(C81-C80)/C80</f>
        <v/>
      </c>
    </row>
    <row r="82">
      <c r="B82" s="160" t="n">
        <v>42825</v>
      </c>
      <c r="C82" s="167" t="n">
        <v>48.0117263793945</v>
      </c>
      <c r="D82" s="34">
        <f>(C82-C81)/C81</f>
        <v/>
      </c>
    </row>
    <row r="83">
      <c r="B83" s="160" t="n">
        <v>42855</v>
      </c>
      <c r="C83" s="167" t="n">
        <v>48.3279876708984</v>
      </c>
      <c r="D83" s="34">
        <f>(C83-C82)/C82</f>
        <v/>
      </c>
    </row>
    <row r="84">
      <c r="B84" s="160" t="n">
        <v>42886</v>
      </c>
      <c r="C84" s="167" t="n">
        <v>49.7587089538574</v>
      </c>
      <c r="D84" s="34">
        <f>(C84-C83)/C83</f>
        <v/>
      </c>
    </row>
    <row r="85">
      <c r="B85" s="160" t="n">
        <v>42916</v>
      </c>
      <c r="C85" s="167" t="n">
        <v>50.8758277893066</v>
      </c>
      <c r="D85" s="34">
        <f>(C85-C84)/C84</f>
        <v/>
      </c>
    </row>
    <row r="86">
      <c r="B86" s="160" t="n">
        <v>42947</v>
      </c>
      <c r="C86" s="167" t="n">
        <v>48.773078918457</v>
      </c>
      <c r="D86" s="34">
        <f>(C86-C85)/C85</f>
        <v/>
      </c>
    </row>
    <row r="87">
      <c r="B87" s="160" t="n">
        <v>42978</v>
      </c>
      <c r="C87" s="167" t="n">
        <v>51.1386795043945</v>
      </c>
      <c r="D87" s="34">
        <f>(C87-C86)/C86</f>
        <v/>
      </c>
    </row>
    <row r="88">
      <c r="B88" s="160" t="n">
        <v>43008</v>
      </c>
      <c r="C88" s="167" t="n">
        <v>51.3087577819824</v>
      </c>
      <c r="D88" s="34">
        <f>(C88-C87)/C87</f>
        <v/>
      </c>
    </row>
    <row r="89">
      <c r="B89" s="160" t="n">
        <v>43039</v>
      </c>
      <c r="C89" s="167" t="n">
        <v>54.2232284545898</v>
      </c>
      <c r="D89" s="34">
        <f>(C89-C88)/C88</f>
        <v/>
      </c>
    </row>
    <row r="90">
      <c r="B90" s="160" t="n">
        <v>43069</v>
      </c>
      <c r="C90" s="167" t="n">
        <v>54.826229095459</v>
      </c>
      <c r="D90" s="34">
        <f>(C90-C89)/C89</f>
        <v/>
      </c>
    </row>
    <row r="91">
      <c r="B91" s="160" t="n">
        <v>43100</v>
      </c>
      <c r="C91" s="167" t="n">
        <v>54.0763397216797</v>
      </c>
      <c r="D91" s="34">
        <f>(C91-C90)/C90</f>
        <v/>
      </c>
    </row>
    <row r="92">
      <c r="B92" s="160" t="n">
        <v>43131</v>
      </c>
      <c r="C92" s="167" t="n">
        <v>53.6975402832031</v>
      </c>
      <c r="D92" s="34">
        <f>(C92-C91)/C91</f>
        <v/>
      </c>
    </row>
    <row r="93">
      <c r="B93" s="160" t="n">
        <v>43159</v>
      </c>
      <c r="C93" s="167" t="n">
        <v>50.8294486999512</v>
      </c>
      <c r="D93" s="34">
        <f>(C93-C92)/C92</f>
        <v/>
      </c>
    </row>
    <row r="94">
      <c r="B94" s="160" t="n">
        <v>43190</v>
      </c>
      <c r="C94" s="167" t="n">
        <v>50.8139915466309</v>
      </c>
      <c r="D94" s="34">
        <f>(C94-C93)/C93</f>
        <v/>
      </c>
    </row>
    <row r="95">
      <c r="B95" s="160" t="n">
        <v>43220</v>
      </c>
      <c r="C95" s="167" t="n">
        <v>51.8653602600098</v>
      </c>
      <c r="D95" s="34">
        <f>(C95-C94)/C94</f>
        <v/>
      </c>
    </row>
    <row r="96">
      <c r="B96" s="160" t="n">
        <v>43251</v>
      </c>
      <c r="C96" s="167" t="n">
        <v>50.5511436462402</v>
      </c>
      <c r="D96" s="34">
        <f>(C96-C95)/C95</f>
        <v/>
      </c>
    </row>
    <row r="97">
      <c r="B97" s="160" t="n">
        <v>43281</v>
      </c>
      <c r="C97" s="167" t="n">
        <v>50.0263328552246</v>
      </c>
      <c r="D97" s="34">
        <f>(C97-C96)/C96</f>
        <v/>
      </c>
    </row>
    <row r="98">
      <c r="B98" s="160" t="n">
        <v>43312</v>
      </c>
      <c r="C98" s="167" t="n">
        <v>53.4797172546387</v>
      </c>
      <c r="D98" s="34">
        <f>(C98-C97)/C97</f>
        <v/>
      </c>
    </row>
    <row r="99">
      <c r="B99" s="160" t="n">
        <v>43343</v>
      </c>
      <c r="C99" s="167" t="n">
        <v>53.9650993347168</v>
      </c>
      <c r="D99" s="34">
        <f>(C99-C98)/C98</f>
        <v/>
      </c>
    </row>
    <row r="100">
      <c r="B100" s="160" t="n">
        <v>43373</v>
      </c>
      <c r="C100" s="167" t="n">
        <v>53.0738983154297</v>
      </c>
      <c r="D100" s="34">
        <f>(C100-C99)/C99</f>
        <v/>
      </c>
    </row>
    <row r="101">
      <c r="B101" s="160" t="n">
        <v>43404</v>
      </c>
      <c r="C101" s="167" t="n">
        <v>49.7955780029297</v>
      </c>
      <c r="D101" s="34">
        <f>(C101-C100)/C100</f>
        <v/>
      </c>
    </row>
    <row r="102">
      <c r="B102" s="160" t="n">
        <v>43434</v>
      </c>
      <c r="C102" s="167" t="n">
        <v>52.5646476745606</v>
      </c>
      <c r="D102" s="34">
        <f>(C102-C101)/C101</f>
        <v/>
      </c>
    </row>
    <row r="103">
      <c r="B103" s="160" t="n">
        <v>43465</v>
      </c>
      <c r="C103" s="167" t="n">
        <v>48.9441680908203</v>
      </c>
      <c r="D103" s="34">
        <f>(C103-C102)/C102</f>
        <v/>
      </c>
    </row>
    <row r="104">
      <c r="B104" s="160" t="n">
        <v>43496</v>
      </c>
      <c r="C104" s="167" t="n">
        <v>50.5276298522949</v>
      </c>
      <c r="D104" s="34">
        <f>(C104-C103)/C103</f>
        <v/>
      </c>
    </row>
    <row r="105">
      <c r="B105" s="160" t="n">
        <v>43524</v>
      </c>
      <c r="C105" s="167" t="n">
        <v>52.7794876098633</v>
      </c>
      <c r="D105" s="34">
        <f>(C105-C104)/C104</f>
        <v/>
      </c>
    </row>
    <row r="106">
      <c r="B106" s="160" t="n">
        <v>43555</v>
      </c>
      <c r="C106" s="167" t="n">
        <v>54.6573753356934</v>
      </c>
      <c r="D106" s="34">
        <f>(C106-C105)/C105</f>
        <v/>
      </c>
    </row>
    <row r="107">
      <c r="B107" s="160" t="n">
        <v>43585</v>
      </c>
      <c r="C107" s="167" t="n">
        <v>57.3548278808594</v>
      </c>
      <c r="D107" s="34">
        <f>(C107-C106)/C106</f>
        <v/>
      </c>
    </row>
    <row r="108">
      <c r="B108" s="160" t="n">
        <v>43616</v>
      </c>
      <c r="C108" s="167" t="n">
        <v>56.8137550354004</v>
      </c>
      <c r="D108" s="34">
        <f>(C108-C107)/C107</f>
        <v/>
      </c>
    </row>
    <row r="109">
      <c r="B109" s="160" t="n">
        <v>43646</v>
      </c>
      <c r="C109" s="167" t="n">
        <v>60.9117126464844</v>
      </c>
      <c r="D109" s="34">
        <f>(C109-C108)/C108</f>
        <v/>
      </c>
    </row>
    <row r="110">
      <c r="B110" s="160" t="n">
        <v>43677</v>
      </c>
      <c r="C110" s="167" t="n">
        <v>64.1003723144531</v>
      </c>
      <c r="D110" s="34">
        <f>(C110-C109)/C109</f>
        <v/>
      </c>
    </row>
    <row r="111">
      <c r="B111" s="160" t="n">
        <v>43708</v>
      </c>
      <c r="C111" s="167" t="n">
        <v>66.6022491455078</v>
      </c>
      <c r="D111" s="34">
        <f>(C111-C110)/C110</f>
        <v/>
      </c>
    </row>
    <row r="112">
      <c r="B112" s="160" t="n">
        <v>43738</v>
      </c>
      <c r="C112" s="167" t="n">
        <v>66.078987121582</v>
      </c>
      <c r="D112" s="34">
        <f>(C112-C111)/C111</f>
        <v/>
      </c>
    </row>
    <row r="113">
      <c r="B113" s="160" t="n">
        <v>43769</v>
      </c>
      <c r="C113" s="167" t="n">
        <v>60.7972450256348</v>
      </c>
      <c r="D113" s="34">
        <f>(C113-C112)/C112</f>
        <v/>
      </c>
    </row>
    <row r="114">
      <c r="B114" s="160" t="n">
        <v>43799</v>
      </c>
      <c r="C114" s="167" t="n">
        <v>61.0915870666504</v>
      </c>
      <c r="D114" s="34">
        <f>(C114-C113)/C113</f>
        <v/>
      </c>
    </row>
    <row r="115">
      <c r="B115" s="160" t="n">
        <v>43830</v>
      </c>
      <c r="C115" s="167" t="n">
        <v>60.4211463928223</v>
      </c>
      <c r="D115" s="34">
        <f>(C115-C114)/C114</f>
        <v/>
      </c>
    </row>
    <row r="116">
      <c r="B116" s="160" t="n">
        <v>43861</v>
      </c>
      <c r="C116" s="167" t="n">
        <v>59.1947364807129</v>
      </c>
      <c r="D116" s="34">
        <f>(C116-C115)/C115</f>
        <v/>
      </c>
    </row>
    <row r="117">
      <c r="B117" s="160" t="n">
        <v>43890</v>
      </c>
      <c r="C117" s="167" t="n">
        <v>52.0979118347168</v>
      </c>
      <c r="D117" s="34">
        <f>(C117-C116)/C116</f>
        <v/>
      </c>
    </row>
    <row r="118">
      <c r="B118" s="160" t="n">
        <v>43921</v>
      </c>
      <c r="C118" s="167" t="n">
        <v>47.9444694519043</v>
      </c>
      <c r="D118" s="34">
        <f>(C118-C117)/C117</f>
        <v/>
      </c>
    </row>
    <row r="119">
      <c r="B119" s="160" t="n">
        <v>43951</v>
      </c>
      <c r="C119" s="167" t="n">
        <v>51.721809387207</v>
      </c>
      <c r="D119" s="34">
        <f>(C119-C118)/C118</f>
        <v/>
      </c>
    </row>
    <row r="120">
      <c r="B120" s="160" t="n">
        <v>43982</v>
      </c>
      <c r="C120" s="167" t="n">
        <v>50.3318786621094</v>
      </c>
      <c r="D120" s="34">
        <f>(C120-C119)/C119</f>
        <v/>
      </c>
    </row>
    <row r="121">
      <c r="B121" s="160" t="n">
        <v>44012</v>
      </c>
      <c r="C121" s="167" t="n">
        <v>50.3318786621094</v>
      </c>
      <c r="D121" s="34">
        <f>(C121-C120)/C120</f>
        <v/>
      </c>
    </row>
    <row r="122">
      <c r="B122" s="160" t="n">
        <v>44043</v>
      </c>
      <c r="C122" s="167" t="n">
        <v>46.2274932861328</v>
      </c>
      <c r="D122" s="34">
        <f>(C122-C121)/C121</f>
        <v/>
      </c>
    </row>
    <row r="123">
      <c r="B123" s="160" t="n">
        <v>44074</v>
      </c>
      <c r="C123" s="167" t="n">
        <v>46.6444282531738</v>
      </c>
      <c r="D123" s="34">
        <f>(C123-C122)/C122</f>
        <v/>
      </c>
    </row>
    <row r="124">
      <c r="B124" s="160" t="n">
        <v>44104</v>
      </c>
      <c r="C124" s="167" t="n">
        <v>46.7460174560547</v>
      </c>
      <c r="D124" s="34">
        <f>(C124-C123)/C123</f>
        <v/>
      </c>
    </row>
    <row r="125">
      <c r="B125" s="160" t="n">
        <v>44135</v>
      </c>
      <c r="C125" s="167" t="n">
        <v>40.1260604858398</v>
      </c>
      <c r="D125" s="34">
        <f>(C125-C124)/C124</f>
        <v/>
      </c>
    </row>
    <row r="126">
      <c r="B126" s="160" t="n">
        <v>44165</v>
      </c>
      <c r="C126" s="167" t="n">
        <v>45.5947189331055</v>
      </c>
      <c r="D126" s="34">
        <f>(C126-C125)/C125</f>
        <v/>
      </c>
    </row>
    <row r="127">
      <c r="B127" s="160" t="n">
        <v>44196</v>
      </c>
      <c r="C127" s="167" t="n">
        <v>45.510066986084</v>
      </c>
      <c r="D127" s="34">
        <f>(C127-C126)/C126</f>
        <v/>
      </c>
    </row>
    <row r="128">
      <c r="B128" s="160" t="n">
        <v>44227</v>
      </c>
      <c r="C128" s="167" t="n">
        <v>46.5259170532227</v>
      </c>
      <c r="D128" s="34">
        <f>(C128-C127)/C127</f>
        <v/>
      </c>
    </row>
    <row r="129">
      <c r="B129" s="160" t="n">
        <v>44255</v>
      </c>
      <c r="C129" s="167" t="n">
        <v>47.7957229614258</v>
      </c>
      <c r="D129" s="34">
        <f>(C129-C128)/C128</f>
        <v/>
      </c>
    </row>
    <row r="130">
      <c r="B130" s="160" t="n">
        <v>44286</v>
      </c>
      <c r="C130" s="167" t="n">
        <v>49.5226707458496</v>
      </c>
      <c r="D130" s="34">
        <f>(C130-C129)/C129</f>
        <v/>
      </c>
    </row>
    <row r="131">
      <c r="B131" s="160" t="n">
        <v>44316</v>
      </c>
      <c r="C131" s="167" t="n">
        <v>49.6327247619629</v>
      </c>
      <c r="D131" s="34">
        <f>(C131-C130)/C130</f>
        <v/>
      </c>
    </row>
    <row r="132">
      <c r="B132" s="160" t="n">
        <v>44347</v>
      </c>
      <c r="C132" s="167" t="n">
        <v>49.3533592224121</v>
      </c>
      <c r="D132" s="34">
        <f>(C132-C131)/C131</f>
        <v/>
      </c>
    </row>
    <row r="133">
      <c r="B133" s="160" t="n">
        <v>44377</v>
      </c>
      <c r="C133" s="167" t="n">
        <v>51.9631614685059</v>
      </c>
      <c r="D133" s="34">
        <f>(C133-C132)/C132</f>
        <v/>
      </c>
    </row>
    <row r="134">
      <c r="B134" s="160" t="n">
        <v>44408</v>
      </c>
      <c r="C134" s="167" t="n">
        <v>54.3175659179688</v>
      </c>
      <c r="D134" s="34">
        <f>(C134-C133)/C133</f>
        <v/>
      </c>
    </row>
    <row r="135">
      <c r="B135" s="160" t="n">
        <v>44439</v>
      </c>
      <c r="C135" s="167" t="n">
        <v>54.1512680053711</v>
      </c>
      <c r="D135" s="34">
        <f>(C135-C134)/C134</f>
        <v/>
      </c>
    </row>
    <row r="136">
      <c r="B136" s="160" t="n">
        <v>44469</v>
      </c>
      <c r="C136" s="167" t="n">
        <v>51.6830863952637</v>
      </c>
      <c r="D136" s="34">
        <f>(C136-C135)/C135</f>
        <v/>
      </c>
    </row>
    <row r="137">
      <c r="B137" s="160" t="n">
        <v>44500</v>
      </c>
      <c r="C137" s="167" t="n">
        <v>49.3199272155762</v>
      </c>
      <c r="D137" s="34">
        <f>(C137-C136)/C136</f>
        <v/>
      </c>
    </row>
    <row r="138">
      <c r="B138" s="160" t="n">
        <v>44530</v>
      </c>
      <c r="C138" s="167" t="n">
        <v>45.5038757324219</v>
      </c>
      <c r="D138" s="34">
        <f>(C138-C137)/C137</f>
        <v/>
      </c>
    </row>
    <row r="139">
      <c r="B139" s="160" t="n">
        <v>44561</v>
      </c>
      <c r="C139" s="167" t="n">
        <v>47.7795028686523</v>
      </c>
      <c r="D139" s="34">
        <f>(C139-C138)/C138</f>
        <v/>
      </c>
    </row>
    <row r="140">
      <c r="B140" s="160" t="n">
        <v>44592</v>
      </c>
      <c r="C140" s="167" t="n">
        <v>48.3571624755859</v>
      </c>
      <c r="D140" s="34">
        <f>(C140-C139)/C139</f>
        <v/>
      </c>
    </row>
    <row r="141">
      <c r="B141" s="160" t="n">
        <v>44620</v>
      </c>
      <c r="C141" s="167" t="n">
        <v>47.5344352722168</v>
      </c>
      <c r="D141" s="34">
        <f>(C141-C140)/C140</f>
        <v/>
      </c>
    </row>
    <row r="142">
      <c r="B142" s="160" t="n">
        <v>44651</v>
      </c>
      <c r="C142" s="167" t="n">
        <v>43.7883911132813</v>
      </c>
      <c r="D142" s="34">
        <f>(C142-C141)/C141</f>
        <v/>
      </c>
    </row>
    <row r="143">
      <c r="B143" s="160" t="n">
        <v>44681</v>
      </c>
      <c r="C143" s="167" t="n">
        <v>50.4489936828613</v>
      </c>
      <c r="D143" s="34">
        <f>(C143-C142)/C142</f>
        <v/>
      </c>
    </row>
    <row r="144">
      <c r="B144" s="160" t="n">
        <v>44712</v>
      </c>
      <c r="C144" s="167" t="n">
        <v>47.9020309448242</v>
      </c>
      <c r="D144" s="34">
        <f>(C144-C143)/C143</f>
        <v/>
      </c>
    </row>
    <row r="145">
      <c r="B145" s="160" t="n">
        <v>44742</v>
      </c>
      <c r="C145" s="167" t="n">
        <v>48.2916831970215</v>
      </c>
      <c r="D145" s="34">
        <f>(C145-C144)/C144</f>
        <v/>
      </c>
    </row>
    <row r="146">
      <c r="B146" s="160" t="n">
        <v>44773</v>
      </c>
      <c r="C146" s="167" t="n">
        <v>48.7903785705566</v>
      </c>
      <c r="D146" s="34">
        <f>(C146-C145)/C145</f>
        <v/>
      </c>
    </row>
    <row r="147">
      <c r="B147" s="160" t="n">
        <v>44804</v>
      </c>
      <c r="C147" s="167" t="n">
        <v>47.6116485595703</v>
      </c>
      <c r="D147" s="34">
        <f>(C147-C146)/C146</f>
        <v/>
      </c>
    </row>
    <row r="148">
      <c r="B148" s="160" t="n">
        <v>44834</v>
      </c>
      <c r="C148" s="167" t="n">
        <v>44.0391845703125</v>
      </c>
      <c r="D148" s="34">
        <f>(C148-C147)/C147</f>
        <v/>
      </c>
    </row>
    <row r="149">
      <c r="B149" s="160" t="n">
        <v>44865</v>
      </c>
      <c r="C149" s="167" t="n">
        <v>45.6440734863281</v>
      </c>
      <c r="D149" s="34">
        <f>(C149-C148)/C148</f>
        <v/>
      </c>
    </row>
    <row r="150">
      <c r="B150" s="160" t="n">
        <v>44895</v>
      </c>
      <c r="C150" s="167" t="n">
        <v>45.4083290100098</v>
      </c>
      <c r="D150" s="34">
        <f>(C150-C149)/C149</f>
        <v/>
      </c>
    </row>
    <row r="151">
      <c r="B151" s="160" t="n">
        <v>44926</v>
      </c>
      <c r="C151" s="167" t="n">
        <v>44.6376190185547</v>
      </c>
      <c r="D151" s="34">
        <f>(C151-C150)/C150</f>
        <v/>
      </c>
    </row>
    <row r="152">
      <c r="B152" s="160" t="n">
        <v>44957</v>
      </c>
      <c r="C152" s="167" t="n">
        <v>45.6168746948242</v>
      </c>
      <c r="D152" s="34">
        <f>(C152-C151)/C151</f>
        <v/>
      </c>
    </row>
    <row r="153">
      <c r="B153" s="160" t="n">
        <v>44985</v>
      </c>
      <c r="C153" s="167" t="n">
        <v>48.273551940918</v>
      </c>
      <c r="D153" s="34">
        <f>(C153-C152)/C152</f>
        <v/>
      </c>
    </row>
    <row r="154">
      <c r="B154" s="160" t="n">
        <v>45016</v>
      </c>
      <c r="C154" s="167" t="n">
        <v>51.9638824462891</v>
      </c>
      <c r="D154" s="34">
        <f>(C154-C153)/C153</f>
        <v/>
      </c>
    </row>
    <row r="155">
      <c r="B155" s="160" t="n">
        <v>45046</v>
      </c>
      <c r="C155" s="167" t="n">
        <v>54.3938789367676</v>
      </c>
      <c r="D155" s="34">
        <f>(C155-C154)/C154</f>
        <v/>
      </c>
    </row>
    <row r="156">
      <c r="B156" s="160" t="n">
        <v>45077</v>
      </c>
      <c r="C156" s="167" t="n">
        <v>50.1776542663574</v>
      </c>
      <c r="D156" s="34">
        <f>(C156-C155)/C155</f>
        <v/>
      </c>
    </row>
    <row r="157">
      <c r="B157" s="160" t="n">
        <v>45107</v>
      </c>
      <c r="C157" s="167" t="n">
        <v>52.6438941955566</v>
      </c>
      <c r="D157" s="34">
        <f>(C157-C156)/C156</f>
        <v/>
      </c>
    </row>
    <row r="158">
      <c r="B158" s="160" t="n">
        <v>45138</v>
      </c>
      <c r="C158" s="167" t="n">
        <v>52.0718803405762</v>
      </c>
      <c r="D158" s="34">
        <f>(C158-C157)/C157</f>
        <v/>
      </c>
    </row>
    <row r="159">
      <c r="B159" s="160" t="n">
        <v>45169</v>
      </c>
      <c r="C159" s="167" t="n">
        <v>50.4777488708496</v>
      </c>
      <c r="D159" s="34">
        <f>(C159-C158)/C158</f>
        <v/>
      </c>
    </row>
    <row r="160">
      <c r="B160" s="160" t="n">
        <v>45199</v>
      </c>
      <c r="C160" s="167" t="n">
        <v>49.0055198669434</v>
      </c>
      <c r="D160" s="34">
        <f>(C160-C159)/C159</f>
        <v/>
      </c>
    </row>
    <row r="161">
      <c r="B161" s="160" t="n">
        <v>45230</v>
      </c>
      <c r="C161" s="167" t="n">
        <v>52.6532707214356</v>
      </c>
      <c r="D161" s="34">
        <f>(C161-C160)/C160</f>
        <v/>
      </c>
    </row>
    <row r="162">
      <c r="B162" s="160" t="n">
        <v>45260</v>
      </c>
      <c r="C162" s="167" t="n">
        <v>55.2976608276367</v>
      </c>
      <c r="D162" s="34">
        <f>(C162-C161)/C161</f>
        <v/>
      </c>
    </row>
    <row r="163">
      <c r="B163" s="160" t="n">
        <v>45291</v>
      </c>
      <c r="C163" s="167" t="n">
        <v>55.0257148742676</v>
      </c>
      <c r="D163" s="34">
        <f>(C163-C162)/C162</f>
        <v/>
      </c>
    </row>
    <row r="164">
      <c r="B164" s="160" t="n">
        <v>45322</v>
      </c>
      <c r="C164" s="167" t="n">
        <v>57.8951568603516</v>
      </c>
      <c r="D164" s="34">
        <f>(C164-C163)/C163</f>
        <v/>
      </c>
    </row>
    <row r="165">
      <c r="B165" s="160" t="n">
        <v>45351</v>
      </c>
      <c r="C165" s="167" t="n">
        <v>55.3445434570313</v>
      </c>
      <c r="D165" s="34">
        <f>(C165-C164)/C164</f>
        <v/>
      </c>
    </row>
    <row r="166">
      <c r="B166" s="160" t="n">
        <v>45382</v>
      </c>
      <c r="C166" s="167" t="n">
        <v>56.1603622436523</v>
      </c>
      <c r="D166" s="34">
        <f>(C166-C165)/C165</f>
        <v/>
      </c>
    </row>
    <row r="167">
      <c r="B167" s="160" t="n">
        <v>45412</v>
      </c>
      <c r="C167" s="167" t="n">
        <v>55.0069618225098</v>
      </c>
      <c r="D167" s="34">
        <f>(C167-C166)/C166</f>
        <v/>
      </c>
    </row>
    <row r="168">
      <c r="B168" s="160" t="n">
        <v>45443</v>
      </c>
      <c r="C168" s="167" t="n">
        <v>55.4383163452148</v>
      </c>
      <c r="D168" s="34">
        <f>(C168-C167)/C167</f>
        <v/>
      </c>
    </row>
    <row r="169">
      <c r="B169" s="160" t="n">
        <v>45473</v>
      </c>
      <c r="C169" s="167" t="n">
        <v>55.4849662780762</v>
      </c>
      <c r="D169" s="34">
        <f>(C169-C168)/C168</f>
        <v/>
      </c>
    </row>
    <row r="170">
      <c r="B170" s="160" t="n">
        <v>45504</v>
      </c>
      <c r="C170" s="167" t="n">
        <v>58.4788970947266</v>
      </c>
      <c r="D170" s="34">
        <f>(C170-C169)/C169</f>
        <v/>
      </c>
    </row>
    <row r="171">
      <c r="B171" s="160" t="n">
        <v>45535</v>
      </c>
      <c r="C171" s="167" t="n">
        <v>61.0451240539551</v>
      </c>
      <c r="D171" s="34">
        <f>(C171-C170)/C170</f>
        <v/>
      </c>
    </row>
    <row r="172">
      <c r="B172" s="160" t="n">
        <v>45565</v>
      </c>
      <c r="C172" s="167" t="n">
        <v>63.5141448974609</v>
      </c>
      <c r="D172" s="34">
        <f>(C172-C171)/C171</f>
        <v/>
      </c>
    </row>
    <row r="173">
      <c r="B173" s="160" t="n">
        <v>45596</v>
      </c>
      <c r="C173" s="167" t="n">
        <v>63.8640861511231</v>
      </c>
      <c r="D173" s="34">
        <f>(C173-C172)/C172</f>
        <v/>
      </c>
    </row>
    <row r="174">
      <c r="B174" s="160" t="n">
        <v>45626</v>
      </c>
      <c r="C174" s="167" t="n">
        <v>62.8531532287598</v>
      </c>
      <c r="D174" s="34">
        <f>(C174-C173)/C173</f>
        <v/>
      </c>
    </row>
    <row r="175">
      <c r="B175" s="160" t="n">
        <v>45657</v>
      </c>
      <c r="C175" s="167" t="n">
        <v>63.3003005981445</v>
      </c>
      <c r="D175" s="34">
        <f>(C175-C174)/C174</f>
        <v/>
      </c>
    </row>
    <row r="176">
      <c r="B176" s="160" t="n">
        <v>45688</v>
      </c>
      <c r="C176" s="167" t="n">
        <v>65.594352722168</v>
      </c>
      <c r="D176" s="34">
        <f>(C176-C175)/C175</f>
        <v/>
      </c>
    </row>
    <row r="177">
      <c r="B177" s="160" t="n">
        <v>45716</v>
      </c>
      <c r="C177" s="167" t="n">
        <v>66.9357833862305</v>
      </c>
      <c r="D177" s="34">
        <f>(C177-C176)/C176</f>
        <v/>
      </c>
    </row>
    <row r="178">
      <c r="B178" s="160" t="n">
        <v>45747</v>
      </c>
      <c r="C178" s="167" t="n">
        <v>68.86045074462891</v>
      </c>
      <c r="D178" s="34">
        <f>(C178-C177)/C177</f>
        <v/>
      </c>
    </row>
    <row r="179">
      <c r="B179" s="160" t="n">
        <v>45777</v>
      </c>
      <c r="C179" s="167" t="n">
        <v>73.83738708496089</v>
      </c>
      <c r="D179" s="34">
        <f>(C179-C178)/C178</f>
        <v/>
      </c>
    </row>
    <row r="180">
      <c r="B180" s="160" t="n">
        <v>45808</v>
      </c>
      <c r="C180" s="167" t="n">
        <v>73.1375045776367</v>
      </c>
      <c r="D180" s="34">
        <f>(C180-C179)/C179</f>
        <v/>
      </c>
    </row>
    <row r="181">
      <c r="B181" s="160" t="n">
        <v>45838</v>
      </c>
      <c r="C181" s="167" t="n">
        <v>69.36000061035161</v>
      </c>
      <c r="D181" s="34">
        <f>(C181-C180)/C180</f>
        <v/>
      </c>
    </row>
    <row r="182">
      <c r="B182" s="160" t="n">
        <v>45869</v>
      </c>
      <c r="C182" s="167" t="n">
        <v>71.879997253418</v>
      </c>
      <c r="D182" s="34">
        <f>(C182-C181)/C181</f>
        <v/>
      </c>
    </row>
    <row r="183">
      <c r="B183" s="160" t="n">
        <v>45900</v>
      </c>
      <c r="C183" s="167" t="n">
        <v>71.1800003051758</v>
      </c>
      <c r="D183" s="34">
        <f>(C183-C182)/C182</f>
        <v/>
      </c>
    </row>
  </sheetData>
  <pageMargins left="0.7" right="0.7" top="0.75" bottom="0.75" header="0.3" footer="0.3"/>
</worksheet>
</file>

<file path=xl/worksheets/sheet16.xml><?xml version="1.0" encoding="utf-8"?>
<worksheet xmlns="http://schemas.openxmlformats.org/spreadsheetml/2006/main">
  <sheetPr>
    <tabColor theme="7" tint="0.7999816888943144"/>
    <outlinePr summaryBelow="1" summaryRight="1"/>
    <pageSetUpPr/>
  </sheetPr>
  <dimension ref="B2:D183"/>
  <sheetViews>
    <sheetView showGridLines="0" workbookViewId="0">
      <selection activeCell="N31" sqref="N31"/>
    </sheetView>
  </sheetViews>
  <sheetFormatPr baseColWidth="10" defaultColWidth="10.83203125" defaultRowHeight="15"/>
  <cols>
    <col width="12.6640625" bestFit="1" customWidth="1" min="3" max="3"/>
  </cols>
  <sheetData>
    <row r="2">
      <c r="B2" s="30" t="inlineStr">
        <is>
          <t>Date</t>
        </is>
      </c>
      <c r="C2" t="inlineStr">
        <is>
          <t>ENGI.PA</t>
        </is>
      </c>
      <c r="D2" t="inlineStr">
        <is>
          <t>Monthly Return</t>
        </is>
      </c>
    </row>
    <row r="3">
      <c r="B3" s="160" t="inlineStr">
        <is>
          <t>2010-08</t>
        </is>
      </c>
      <c r="C3" s="167" t="n">
        <v>8.8256368637085</v>
      </c>
    </row>
    <row r="4">
      <c r="B4" s="160" t="n">
        <v>40451</v>
      </c>
      <c r="C4" s="167" t="n">
        <v>9.48480796813965</v>
      </c>
      <c r="D4" s="34">
        <f>(C4-C3)/C3</f>
        <v/>
      </c>
    </row>
    <row r="5">
      <c r="B5" s="160" t="n">
        <v>40482</v>
      </c>
      <c r="C5" s="167" t="n">
        <v>10.3588848114014</v>
      </c>
      <c r="D5" s="34">
        <f>(C5-C4)/C4</f>
        <v/>
      </c>
    </row>
    <row r="6">
      <c r="B6" s="160" t="n">
        <v>40512</v>
      </c>
      <c r="C6" s="167" t="n">
        <v>9.22836494445801</v>
      </c>
      <c r="D6" s="34">
        <f>(C6-C5)/C5</f>
        <v/>
      </c>
    </row>
    <row r="7">
      <c r="B7" s="160" t="n">
        <v>40543</v>
      </c>
      <c r="C7" s="167" t="n">
        <v>9.98497295379639</v>
      </c>
      <c r="D7" s="34">
        <f>(C7-C6)/C6</f>
        <v/>
      </c>
    </row>
    <row r="8">
      <c r="B8" s="160" t="n">
        <v>40574</v>
      </c>
      <c r="C8" s="167" t="n">
        <v>10.7752151489258</v>
      </c>
      <c r="D8" s="34">
        <f>(C8-C7)/C7</f>
        <v/>
      </c>
    </row>
    <row r="9">
      <c r="B9" s="160" t="n">
        <v>40602</v>
      </c>
      <c r="C9" s="167" t="n">
        <v>10.9239692687988</v>
      </c>
      <c r="D9" s="34">
        <f>(C9-C8)/C8</f>
        <v/>
      </c>
    </row>
    <row r="10">
      <c r="B10" s="160" t="n">
        <v>40633</v>
      </c>
      <c r="C10" s="167" t="n">
        <v>10.6915435791016</v>
      </c>
      <c r="D10" s="34">
        <f>(C10-C9)/C9</f>
        <v/>
      </c>
    </row>
    <row r="11">
      <c r="B11" s="160" t="n">
        <v>40663</v>
      </c>
      <c r="C11" s="167" t="n">
        <v>10.2731809616089</v>
      </c>
      <c r="D11" s="34">
        <f>(C11-C10)/C10</f>
        <v/>
      </c>
    </row>
    <row r="12">
      <c r="B12" s="160" t="n">
        <v>40694</v>
      </c>
      <c r="C12" s="167" t="n">
        <v>9.50524806976318</v>
      </c>
      <c r="D12" s="34">
        <f>(C12-C11)/C11</f>
        <v/>
      </c>
    </row>
    <row r="13">
      <c r="B13" s="160" t="n">
        <v>40724</v>
      </c>
      <c r="C13" s="167" t="n">
        <v>9.61601448059082</v>
      </c>
      <c r="D13" s="34">
        <f>(C13-C12)/C12</f>
        <v/>
      </c>
    </row>
    <row r="14">
      <c r="B14" s="160" t="n">
        <v>40755</v>
      </c>
      <c r="C14" s="167" t="n">
        <v>8.699568748474119</v>
      </c>
      <c r="D14" s="34">
        <f>(C14-C13)/C13</f>
        <v/>
      </c>
    </row>
    <row r="15">
      <c r="B15" s="160" t="n">
        <v>40786</v>
      </c>
      <c r="C15" s="167" t="n">
        <v>8.37185859680176</v>
      </c>
      <c r="D15" s="34">
        <f>(C15-C14)/C14</f>
        <v/>
      </c>
    </row>
    <row r="16">
      <c r="B16" s="160" t="n">
        <v>40816</v>
      </c>
      <c r="C16" s="167" t="n">
        <v>8.550956726074221</v>
      </c>
      <c r="D16" s="34">
        <f>(C16-C15)/C15</f>
        <v/>
      </c>
    </row>
    <row r="17">
      <c r="B17" s="160" t="n">
        <v>40847</v>
      </c>
      <c r="C17" s="167" t="n">
        <v>7.81741714477539</v>
      </c>
      <c r="D17" s="34">
        <f>(C17-C16)/C16</f>
        <v/>
      </c>
    </row>
    <row r="18">
      <c r="B18" s="160" t="n">
        <v>40877</v>
      </c>
      <c r="C18" s="167" t="n">
        <v>7.9203028678894</v>
      </c>
      <c r="D18" s="34">
        <f>(C18-C17)/C17</f>
        <v/>
      </c>
    </row>
    <row r="19">
      <c r="B19" s="160" t="n">
        <v>40908</v>
      </c>
      <c r="C19" s="167" t="n">
        <v>8.39505100250244</v>
      </c>
      <c r="D19" s="34">
        <f>(C19-C18)/C18</f>
        <v/>
      </c>
    </row>
    <row r="20">
      <c r="B20" s="160" t="n">
        <v>40939</v>
      </c>
      <c r="C20" s="167" t="n">
        <v>8.247978210449221</v>
      </c>
      <c r="D20" s="34">
        <f>(C20-C19)/C19</f>
        <v/>
      </c>
    </row>
    <row r="21">
      <c r="B21" s="160" t="n">
        <v>40968</v>
      </c>
      <c r="C21" s="167" t="n">
        <v>7.73918771743774</v>
      </c>
      <c r="D21" s="34">
        <f>(C21-C20)/C20</f>
        <v/>
      </c>
    </row>
    <row r="22">
      <c r="B22" s="160" t="n">
        <v>40999</v>
      </c>
      <c r="C22" s="167" t="n">
        <v>7.69943857192993</v>
      </c>
      <c r="D22" s="34">
        <f>(C22-C21)/C21</f>
        <v/>
      </c>
    </row>
    <row r="23">
      <c r="B23" s="160" t="n">
        <v>41029</v>
      </c>
      <c r="C23" s="167" t="n">
        <v>6.91240119934082</v>
      </c>
      <c r="D23" s="34">
        <f>(C23-C22)/C22</f>
        <v/>
      </c>
    </row>
    <row r="24">
      <c r="B24" s="160" t="n">
        <v>41060</v>
      </c>
      <c r="C24" s="167" t="n">
        <v>6.59188795089722</v>
      </c>
      <c r="D24" s="34">
        <f>(C24-C23)/C23</f>
        <v/>
      </c>
    </row>
    <row r="25">
      <c r="B25" s="160" t="n">
        <v>41090</v>
      </c>
      <c r="C25" s="167" t="n">
        <v>7.73902082443237</v>
      </c>
      <c r="D25" s="34">
        <f>(C25-C24)/C24</f>
        <v/>
      </c>
    </row>
    <row r="26">
      <c r="B26" s="160" t="n">
        <v>41121</v>
      </c>
      <c r="C26" s="167" t="n">
        <v>7.5038161277771</v>
      </c>
      <c r="D26" s="34">
        <f>(C26-C25)/C25</f>
        <v/>
      </c>
    </row>
    <row r="27">
      <c r="B27" s="160" t="n">
        <v>41152</v>
      </c>
      <c r="C27" s="167" t="n">
        <v>8.077383041381839</v>
      </c>
      <c r="D27" s="34">
        <f>(C27-C26)/C26</f>
        <v/>
      </c>
    </row>
    <row r="28">
      <c r="B28" s="160" t="n">
        <v>41182</v>
      </c>
      <c r="C28" s="167" t="n">
        <v>7.17989587783814</v>
      </c>
      <c r="D28" s="34">
        <f>(C28-C27)/C27</f>
        <v/>
      </c>
    </row>
    <row r="29">
      <c r="B29" s="160" t="n">
        <v>41213</v>
      </c>
      <c r="C29" s="167" t="n">
        <v>7.63114643096924</v>
      </c>
      <c r="D29" s="34">
        <f>(C29-C28)/C28</f>
        <v/>
      </c>
    </row>
    <row r="30">
      <c r="B30" s="160" t="n">
        <v>41243</v>
      </c>
      <c r="C30" s="167" t="n">
        <v>7.45443248748779</v>
      </c>
      <c r="D30" s="34">
        <f>(C30-C29)/C29</f>
        <v/>
      </c>
    </row>
    <row r="31">
      <c r="B31" s="160" t="n">
        <v>41274</v>
      </c>
      <c r="C31" s="167" t="n">
        <v>6.71308135986328</v>
      </c>
      <c r="D31" s="34">
        <f>(C31-C30)/C30</f>
        <v/>
      </c>
    </row>
    <row r="32">
      <c r="B32" s="160" t="n">
        <v>41305</v>
      </c>
      <c r="C32" s="167" t="n">
        <v>6.51266050338745</v>
      </c>
      <c r="D32" s="34">
        <f>(C32-C31)/C31</f>
        <v/>
      </c>
    </row>
    <row r="33">
      <c r="B33" s="160" t="n">
        <v>41333</v>
      </c>
      <c r="C33" s="167" t="n">
        <v>6.24111890792847</v>
      </c>
      <c r="D33" s="34">
        <f>(C33-C32)/C32</f>
        <v/>
      </c>
    </row>
    <row r="34">
      <c r="B34" s="160" t="n">
        <v>41364</v>
      </c>
      <c r="C34" s="167" t="n">
        <v>6.47386789321899</v>
      </c>
      <c r="D34" s="34">
        <f>(C34-C33)/C33</f>
        <v/>
      </c>
    </row>
    <row r="35">
      <c r="B35" s="160" t="n">
        <v>41394</v>
      </c>
      <c r="C35" s="167" t="n">
        <v>7.02556991577148</v>
      </c>
      <c r="D35" s="34">
        <f>(C35-C34)/C34</f>
        <v/>
      </c>
    </row>
    <row r="36">
      <c r="B36" s="160" t="n">
        <v>41425</v>
      </c>
      <c r="C36" s="167" t="n">
        <v>7.07411670684814</v>
      </c>
      <c r="D36" s="34">
        <f>(C36-C35)/C35</f>
        <v/>
      </c>
    </row>
    <row r="37">
      <c r="B37" s="160" t="n">
        <v>41455</v>
      </c>
      <c r="C37" s="167" t="n">
        <v>6.75746774673462</v>
      </c>
      <c r="D37" s="34">
        <f>(C37-C36)/C36</f>
        <v/>
      </c>
    </row>
    <row r="38">
      <c r="B38" s="160" t="n">
        <v>41486</v>
      </c>
      <c r="C38" s="167" t="n">
        <v>7.08310174942017</v>
      </c>
      <c r="D38" s="34">
        <f>(C38-C37)/C37</f>
        <v/>
      </c>
    </row>
    <row r="39">
      <c r="B39" s="160" t="n">
        <v>41517</v>
      </c>
      <c r="C39" s="167" t="n">
        <v>7.36606645584106</v>
      </c>
      <c r="D39" s="34">
        <f>(C39-C38)/C38</f>
        <v/>
      </c>
    </row>
    <row r="40">
      <c r="B40" s="160" t="n">
        <v>41547</v>
      </c>
      <c r="C40" s="167" t="n">
        <v>8.34072208404541</v>
      </c>
      <c r="D40" s="34">
        <f>(C40-C39)/C39</f>
        <v/>
      </c>
    </row>
    <row r="41">
      <c r="B41" s="160" t="n">
        <v>41578</v>
      </c>
      <c r="C41" s="167" t="n">
        <v>8.23741626739502</v>
      </c>
      <c r="D41" s="34">
        <f>(C41-C40)/C40</f>
        <v/>
      </c>
    </row>
    <row r="42">
      <c r="B42" s="160" t="n">
        <v>41608</v>
      </c>
      <c r="C42" s="167" t="n">
        <v>7.66699600219727</v>
      </c>
      <c r="D42" s="34">
        <f>(C42-C41)/C41</f>
        <v/>
      </c>
    </row>
    <row r="43">
      <c r="B43" s="160" t="n">
        <v>41639</v>
      </c>
      <c r="C43" s="167" t="n">
        <v>8.03817653656006</v>
      </c>
      <c r="D43" s="34">
        <f>(C43-C42)/C42</f>
        <v/>
      </c>
    </row>
    <row r="44">
      <c r="B44" s="160" t="n">
        <v>41670</v>
      </c>
      <c r="C44" s="167" t="n">
        <v>7.7043309211731</v>
      </c>
      <c r="D44" s="34">
        <f>(C44-C43)/C43</f>
        <v/>
      </c>
    </row>
    <row r="45">
      <c r="B45" s="160" t="n">
        <v>41698</v>
      </c>
      <c r="C45" s="167" t="n">
        <v>8.741135597229</v>
      </c>
      <c r="D45" s="34">
        <f>(C45-C44)/C44</f>
        <v/>
      </c>
    </row>
    <row r="46">
      <c r="B46" s="160" t="n">
        <v>41729</v>
      </c>
      <c r="C46" s="167" t="n">
        <v>9.338295936584471</v>
      </c>
      <c r="D46" s="34">
        <f>(C46-C45)/C45</f>
        <v/>
      </c>
    </row>
    <row r="47">
      <c r="B47" s="160" t="n">
        <v>41759</v>
      </c>
      <c r="C47" s="167" t="n">
        <v>8.545999526977541</v>
      </c>
      <c r="D47" s="34">
        <f>(C47-C46)/C46</f>
        <v/>
      </c>
    </row>
    <row r="48">
      <c r="B48" s="160" t="n">
        <v>41790</v>
      </c>
      <c r="C48" s="167" t="n">
        <v>9.98502349853516</v>
      </c>
      <c r="D48" s="34">
        <f>(C48-C47)/C47</f>
        <v/>
      </c>
    </row>
    <row r="49">
      <c r="B49" s="160" t="n">
        <v>41820</v>
      </c>
      <c r="C49" s="167" t="n">
        <v>9.799797058105471</v>
      </c>
      <c r="D49" s="34">
        <f>(C49-C48)/C48</f>
        <v/>
      </c>
    </row>
    <row r="50">
      <c r="B50" s="160" t="n">
        <v>41851</v>
      </c>
      <c r="C50" s="167" t="n">
        <v>9.38304328918457</v>
      </c>
      <c r="D50" s="34">
        <f>(C50-C49)/C49</f>
        <v/>
      </c>
    </row>
    <row r="51">
      <c r="B51" s="160" t="n">
        <v>41882</v>
      </c>
      <c r="C51" s="167" t="n">
        <v>9.136893272399901</v>
      </c>
      <c r="D51" s="34">
        <f>(C51-C50)/C50</f>
        <v/>
      </c>
    </row>
    <row r="52">
      <c r="B52" s="160" t="n">
        <v>41912</v>
      </c>
      <c r="C52" s="167" t="n">
        <v>9.68037700653076</v>
      </c>
      <c r="D52" s="34">
        <f>(C52-C51)/C51</f>
        <v/>
      </c>
    </row>
    <row r="53">
      <c r="B53" s="160" t="n">
        <v>41943</v>
      </c>
      <c r="C53" s="167" t="n">
        <v>9.43422412872315</v>
      </c>
      <c r="D53" s="34">
        <f>(C53-C52)/C52</f>
        <v/>
      </c>
    </row>
    <row r="54">
      <c r="B54" s="160" t="n">
        <v>41973</v>
      </c>
      <c r="C54" s="167" t="n">
        <v>9.92665863037109</v>
      </c>
      <c r="D54" s="34">
        <f>(C54-C53)/C53</f>
        <v/>
      </c>
    </row>
    <row r="55">
      <c r="B55" s="160" t="n">
        <v>42004</v>
      </c>
      <c r="C55" s="167" t="n">
        <v>9.733786582946779</v>
      </c>
      <c r="D55" s="34">
        <f>(C55-C54)/C54</f>
        <v/>
      </c>
    </row>
    <row r="56">
      <c r="B56" s="160" t="n">
        <v>42035</v>
      </c>
      <c r="C56" s="167" t="n">
        <v>9.881571769714361</v>
      </c>
      <c r="D56" s="34">
        <f>(C56-C55)/C55</f>
        <v/>
      </c>
    </row>
    <row r="57">
      <c r="B57" s="160" t="n">
        <v>42063</v>
      </c>
      <c r="C57" s="167" t="n">
        <v>9.95671558380127</v>
      </c>
      <c r="D57" s="34">
        <f>(C57-C56)/C56</f>
        <v/>
      </c>
    </row>
    <row r="58">
      <c r="B58" s="160" t="n">
        <v>42094</v>
      </c>
      <c r="C58" s="167" t="n">
        <v>9.2202959060669</v>
      </c>
      <c r="D58" s="34">
        <f>(C58-C57)/C57</f>
        <v/>
      </c>
    </row>
    <row r="59">
      <c r="B59" s="160" t="n">
        <v>42124</v>
      </c>
      <c r="C59" s="167" t="n">
        <v>9.120101928710939</v>
      </c>
      <c r="D59" s="34">
        <f>(C59-C58)/C58</f>
        <v/>
      </c>
    </row>
    <row r="60">
      <c r="B60" s="160" t="n">
        <v>42155</v>
      </c>
      <c r="C60" s="167" t="n">
        <v>9.45767211914063</v>
      </c>
      <c r="D60" s="34">
        <f>(C60-C59)/C59</f>
        <v/>
      </c>
    </row>
    <row r="61">
      <c r="B61" s="160" t="n">
        <v>42185</v>
      </c>
      <c r="C61" s="167" t="n">
        <v>8.564661979675289</v>
      </c>
      <c r="D61" s="34">
        <f>(C61-C60)/C60</f>
        <v/>
      </c>
    </row>
    <row r="62">
      <c r="B62" s="160" t="n">
        <v>42216</v>
      </c>
      <c r="C62" s="167" t="n">
        <v>8.999588012695311</v>
      </c>
      <c r="D62" s="34">
        <f>(C62-C61)/C61</f>
        <v/>
      </c>
    </row>
    <row r="63">
      <c r="B63" s="160" t="n">
        <v>42247</v>
      </c>
      <c r="C63" s="167" t="n">
        <v>8.227531433105471</v>
      </c>
      <c r="D63" s="34">
        <f>(C63-C62)/C62</f>
        <v/>
      </c>
    </row>
    <row r="64">
      <c r="B64" s="160" t="n">
        <v>42277</v>
      </c>
      <c r="C64" s="167" t="n">
        <v>7.4323148727417</v>
      </c>
      <c r="D64" s="34">
        <f>(C64-C63)/C63</f>
        <v/>
      </c>
    </row>
    <row r="65">
      <c r="B65" s="160" t="n">
        <v>42308</v>
      </c>
      <c r="C65" s="167" t="n">
        <v>8.21209049224854</v>
      </c>
      <c r="D65" s="34">
        <f>(C65-C64)/C64</f>
        <v/>
      </c>
    </row>
    <row r="66">
      <c r="B66" s="160" t="n">
        <v>42338</v>
      </c>
      <c r="C66" s="167" t="n">
        <v>8.775264739990231</v>
      </c>
      <c r="D66" s="34">
        <f>(C66-C65)/C65</f>
        <v/>
      </c>
    </row>
    <row r="67">
      <c r="B67" s="160" t="n">
        <v>42369</v>
      </c>
      <c r="C67" s="167" t="n">
        <v>8.68745803833008</v>
      </c>
      <c r="D67" s="34">
        <f>(C67-C66)/C66</f>
        <v/>
      </c>
    </row>
    <row r="68">
      <c r="B68" s="160" t="n">
        <v>42400</v>
      </c>
      <c r="C68" s="167" t="n">
        <v>7.82004356384277</v>
      </c>
      <c r="D68" s="34">
        <f>(C68-C67)/C67</f>
        <v/>
      </c>
    </row>
    <row r="69">
      <c r="B69" s="160" t="n">
        <v>42429</v>
      </c>
      <c r="C69" s="167" t="n">
        <v>7.60185813903809</v>
      </c>
      <c r="D69" s="34">
        <f>(C69-C68)/C68</f>
        <v/>
      </c>
    </row>
    <row r="70">
      <c r="B70" s="160" t="n">
        <v>42460</v>
      </c>
      <c r="C70" s="167" t="n">
        <v>7.25861835479736</v>
      </c>
      <c r="D70" s="34">
        <f>(C70-C69)/C69</f>
        <v/>
      </c>
    </row>
    <row r="71">
      <c r="B71" s="160" t="n">
        <v>42490</v>
      </c>
      <c r="C71" s="167" t="n">
        <v>7.66305637359619</v>
      </c>
      <c r="D71" s="34">
        <f>(C71-C70)/C70</f>
        <v/>
      </c>
    </row>
    <row r="72">
      <c r="B72" s="160" t="n">
        <v>42521</v>
      </c>
      <c r="C72" s="167" t="n">
        <v>7.36771106719971</v>
      </c>
      <c r="D72" s="34">
        <f>(C72-C71)/C71</f>
        <v/>
      </c>
    </row>
    <row r="73">
      <c r="B73" s="160" t="n">
        <v>42551</v>
      </c>
      <c r="C73" s="167" t="n">
        <v>8.011661529541019</v>
      </c>
      <c r="D73" s="34">
        <f>(C73-C72)/C72</f>
        <v/>
      </c>
    </row>
    <row r="74">
      <c r="B74" s="160" t="n">
        <v>42582</v>
      </c>
      <c r="C74" s="167" t="n">
        <v>8.13037586212158</v>
      </c>
      <c r="D74" s="34">
        <f>(C74-C73)/C73</f>
        <v/>
      </c>
    </row>
    <row r="75">
      <c r="B75" s="160" t="n">
        <v>42613</v>
      </c>
      <c r="C75" s="167" t="n">
        <v>7.89019060134888</v>
      </c>
      <c r="D75" s="34">
        <f>(C75-C74)/C74</f>
        <v/>
      </c>
    </row>
    <row r="76">
      <c r="B76" s="160" t="n">
        <v>42643</v>
      </c>
      <c r="C76" s="167" t="n">
        <v>7.61411571502686</v>
      </c>
      <c r="D76" s="34">
        <f>(C76-C75)/C75</f>
        <v/>
      </c>
    </row>
    <row r="77">
      <c r="B77" s="160" t="n">
        <v>42674</v>
      </c>
      <c r="C77" s="167" t="n">
        <v>7.25246000289917</v>
      </c>
      <c r="D77" s="34">
        <f>(C77-C76)/C76</f>
        <v/>
      </c>
    </row>
    <row r="78">
      <c r="B78" s="160" t="n">
        <v>42704</v>
      </c>
      <c r="C78" s="167" t="n">
        <v>6.68467664718628</v>
      </c>
      <c r="D78" s="34">
        <f>(C78-C77)/C77</f>
        <v/>
      </c>
    </row>
    <row r="79">
      <c r="B79" s="160" t="n">
        <v>42735</v>
      </c>
      <c r="C79" s="167" t="n">
        <v>6.95435857772827</v>
      </c>
      <c r="D79" s="34">
        <f>(C79-C78)/C78</f>
        <v/>
      </c>
    </row>
    <row r="80">
      <c r="B80" s="160" t="n">
        <v>42766</v>
      </c>
      <c r="C80" s="167" t="n">
        <v>6.34900856018066</v>
      </c>
      <c r="D80" s="34">
        <f>(C80-C79)/C79</f>
        <v/>
      </c>
    </row>
    <row r="81">
      <c r="B81" s="160" t="n">
        <v>42794</v>
      </c>
      <c r="C81" s="167" t="n">
        <v>6.62156105041504</v>
      </c>
      <c r="D81" s="34">
        <f>(C81-C80)/C80</f>
        <v/>
      </c>
    </row>
    <row r="82">
      <c r="B82" s="160" t="n">
        <v>42825</v>
      </c>
      <c r="C82" s="167" t="n">
        <v>7.619957447052</v>
      </c>
      <c r="D82" s="34">
        <f>(C82-C81)/C81</f>
        <v/>
      </c>
    </row>
    <row r="83">
      <c r="B83" s="160" t="n">
        <v>42855</v>
      </c>
      <c r="C83" s="167" t="n">
        <v>7.43060636520386</v>
      </c>
      <c r="D83" s="34">
        <f>(C83-C82)/C82</f>
        <v/>
      </c>
    </row>
    <row r="84">
      <c r="B84" s="160" t="n">
        <v>42886</v>
      </c>
      <c r="C84" s="167" t="n">
        <v>7.79496288299561</v>
      </c>
      <c r="D84" s="34">
        <f>(C84-C83)/C83</f>
        <v/>
      </c>
    </row>
    <row r="85">
      <c r="B85" s="160" t="n">
        <v>42916</v>
      </c>
      <c r="C85" s="167" t="n">
        <v>7.86517333984375</v>
      </c>
      <c r="D85" s="34">
        <f>(C85-C84)/C84</f>
        <v/>
      </c>
    </row>
    <row r="86">
      <c r="B86" s="160" t="n">
        <v>42947</v>
      </c>
      <c r="C86" s="167" t="n">
        <v>8.0972900390625</v>
      </c>
      <c r="D86" s="34">
        <f>(C86-C85)/C85</f>
        <v/>
      </c>
    </row>
    <row r="87">
      <c r="B87" s="160" t="n">
        <v>42978</v>
      </c>
      <c r="C87" s="167" t="n">
        <v>8.34428691864014</v>
      </c>
      <c r="D87" s="34">
        <f>(C87-C86)/C86</f>
        <v/>
      </c>
    </row>
    <row r="88">
      <c r="B88" s="160" t="n">
        <v>43008</v>
      </c>
      <c r="C88" s="167" t="n">
        <v>8.552596092224119</v>
      </c>
      <c r="D88" s="34">
        <f>(C88-C87)/C87</f>
        <v/>
      </c>
    </row>
    <row r="89">
      <c r="B89" s="160" t="n">
        <v>43039</v>
      </c>
      <c r="C89" s="167" t="n">
        <v>8.63591957092285</v>
      </c>
      <c r="D89" s="34">
        <f>(C89-C88)/C88</f>
        <v/>
      </c>
    </row>
    <row r="90">
      <c r="B90" s="160" t="n">
        <v>43069</v>
      </c>
      <c r="C90" s="167" t="n">
        <v>8.96992111206055</v>
      </c>
      <c r="D90" s="34">
        <f>(C90-C89)/C89</f>
        <v/>
      </c>
    </row>
    <row r="91">
      <c r="B91" s="160" t="n">
        <v>43100</v>
      </c>
      <c r="C91" s="167" t="n">
        <v>8.74422550201416</v>
      </c>
      <c r="D91" s="34">
        <f>(C91-C90)/C90</f>
        <v/>
      </c>
    </row>
    <row r="92">
      <c r="B92" s="160" t="n">
        <v>43131</v>
      </c>
      <c r="C92" s="167" t="n">
        <v>8.52767753601074</v>
      </c>
      <c r="D92" s="34">
        <f>(C92-C91)/C91</f>
        <v/>
      </c>
    </row>
    <row r="93">
      <c r="B93" s="160" t="n">
        <v>43159</v>
      </c>
      <c r="C93" s="167" t="n">
        <v>7.85363721847534</v>
      </c>
      <c r="D93" s="34">
        <f>(C93-C92)/C92</f>
        <v/>
      </c>
    </row>
    <row r="94">
      <c r="B94" s="160" t="n">
        <v>43190</v>
      </c>
      <c r="C94" s="167" t="n">
        <v>8.26843166351318</v>
      </c>
      <c r="D94" s="34">
        <f>(C94-C93)/C93</f>
        <v/>
      </c>
    </row>
    <row r="95">
      <c r="B95" s="160" t="n">
        <v>43220</v>
      </c>
      <c r="C95" s="167" t="n">
        <v>8.875373840332029</v>
      </c>
      <c r="D95" s="34">
        <f>(C95-C94)/C94</f>
        <v/>
      </c>
    </row>
    <row r="96">
      <c r="B96" s="160" t="n">
        <v>43251</v>
      </c>
      <c r="C96" s="167" t="n">
        <v>8.2562313079834</v>
      </c>
      <c r="D96" s="34">
        <f>(C96-C95)/C95</f>
        <v/>
      </c>
    </row>
    <row r="97">
      <c r="B97" s="160" t="n">
        <v>43281</v>
      </c>
      <c r="C97" s="167" t="n">
        <v>8.20590209960938</v>
      </c>
      <c r="D97" s="34">
        <f>(C97-C96)/C96</f>
        <v/>
      </c>
    </row>
    <row r="98">
      <c r="B98" s="160" t="n">
        <v>43312</v>
      </c>
      <c r="C98" s="167" t="n">
        <v>8.63401031494141</v>
      </c>
      <c r="D98" s="34">
        <f>(C98-C97)/C97</f>
        <v/>
      </c>
    </row>
    <row r="99">
      <c r="B99" s="160" t="n">
        <v>43343</v>
      </c>
      <c r="C99" s="167" t="n">
        <v>7.89341592788696</v>
      </c>
      <c r="D99" s="34">
        <f>(C99-C98)/C98</f>
        <v/>
      </c>
    </row>
    <row r="100">
      <c r="B100" s="160" t="n">
        <v>43373</v>
      </c>
      <c r="C100" s="167" t="n">
        <v>7.91529083251953</v>
      </c>
      <c r="D100" s="34">
        <f>(C100-C99)/C99</f>
        <v/>
      </c>
    </row>
    <row r="101">
      <c r="B101" s="160" t="n">
        <v>43404</v>
      </c>
      <c r="C101" s="167" t="n">
        <v>7.35906314849854</v>
      </c>
      <c r="D101" s="34">
        <f>(C101-C100)/C100</f>
        <v/>
      </c>
    </row>
    <row r="102">
      <c r="B102" s="160" t="n">
        <v>43434</v>
      </c>
      <c r="C102" s="167" t="n">
        <v>7.99304008483887</v>
      </c>
      <c r="D102" s="34">
        <f>(C102-C101)/C101</f>
        <v/>
      </c>
    </row>
    <row r="103">
      <c r="B103" s="160" t="n">
        <v>43465</v>
      </c>
      <c r="C103" s="167" t="n">
        <v>8.06061458587647</v>
      </c>
      <c r="D103" s="34">
        <f>(C103-C102)/C102</f>
        <v/>
      </c>
    </row>
    <row r="104">
      <c r="B104" s="160" t="n">
        <v>43496</v>
      </c>
      <c r="C104" s="167" t="n">
        <v>9.00021362304688</v>
      </c>
      <c r="D104" s="34">
        <f>(C104-C103)/C103</f>
        <v/>
      </c>
    </row>
    <row r="105">
      <c r="B105" s="160" t="n">
        <v>43524</v>
      </c>
      <c r="C105" s="167" t="n">
        <v>8.52719688415527</v>
      </c>
      <c r="D105" s="34">
        <f>(C105-C104)/C104</f>
        <v/>
      </c>
    </row>
    <row r="106">
      <c r="B106" s="160" t="n">
        <v>43555</v>
      </c>
      <c r="C106" s="167" t="n">
        <v>8.5465030670166</v>
      </c>
      <c r="D106" s="34">
        <f>(C106-C105)/C105</f>
        <v/>
      </c>
    </row>
    <row r="107">
      <c r="B107" s="160" t="n">
        <v>43585</v>
      </c>
      <c r="C107" s="167" t="n">
        <v>8.49823570251465</v>
      </c>
      <c r="D107" s="34">
        <f>(C107-C106)/C106</f>
        <v/>
      </c>
    </row>
    <row r="108">
      <c r="B108" s="160" t="n">
        <v>43616</v>
      </c>
      <c r="C108" s="167" t="n">
        <v>8.012346267700201</v>
      </c>
      <c r="D108" s="34">
        <f>(C108-C107)/C107</f>
        <v/>
      </c>
    </row>
    <row r="109">
      <c r="B109" s="160" t="n">
        <v>43646</v>
      </c>
      <c r="C109" s="167" t="n">
        <v>9.087954521179199</v>
      </c>
      <c r="D109" s="34">
        <f>(C109-C108)/C108</f>
        <v/>
      </c>
    </row>
    <row r="110">
      <c r="B110" s="160" t="n">
        <v>43677</v>
      </c>
      <c r="C110" s="167" t="n">
        <v>9.483083724975589</v>
      </c>
      <c r="D110" s="34">
        <f>(C110-C109)/C109</f>
        <v/>
      </c>
    </row>
    <row r="111">
      <c r="B111" s="160" t="n">
        <v>43708</v>
      </c>
      <c r="C111" s="167" t="n">
        <v>9.41836452484131</v>
      </c>
      <c r="D111" s="34">
        <f>(C111-C110)/C110</f>
        <v/>
      </c>
    </row>
    <row r="112">
      <c r="B112" s="160" t="n">
        <v>43738</v>
      </c>
      <c r="C112" s="167" t="n">
        <v>10.2052145004272</v>
      </c>
      <c r="D112" s="34">
        <f>(C112-C111)/C111</f>
        <v/>
      </c>
    </row>
    <row r="113">
      <c r="B113" s="160" t="n">
        <v>43769</v>
      </c>
      <c r="C113" s="167" t="n">
        <v>10.2154340744019</v>
      </c>
      <c r="D113" s="34">
        <f>(C113-C112)/C112</f>
        <v/>
      </c>
    </row>
    <row r="114">
      <c r="B114" s="160" t="n">
        <v>43799</v>
      </c>
      <c r="C114" s="167" t="n">
        <v>9.78283596038818</v>
      </c>
      <c r="D114" s="34">
        <f>(C114-C113)/C113</f>
        <v/>
      </c>
    </row>
    <row r="115">
      <c r="B115" s="160" t="n">
        <v>43830</v>
      </c>
      <c r="C115" s="167" t="n">
        <v>9.810085296630859</v>
      </c>
      <c r="D115" s="34">
        <f>(C115-C114)/C114</f>
        <v/>
      </c>
    </row>
    <row r="116">
      <c r="B116" s="160" t="n">
        <v>43861</v>
      </c>
      <c r="C116" s="167" t="n">
        <v>10.600344657898</v>
      </c>
      <c r="D116" s="34">
        <f>(C116-C115)/C115</f>
        <v/>
      </c>
    </row>
    <row r="117">
      <c r="B117" s="160" t="n">
        <v>43890</v>
      </c>
      <c r="C117" s="167" t="n">
        <v>10.2392768859863</v>
      </c>
      <c r="D117" s="34">
        <f>(C117-C116)/C116</f>
        <v/>
      </c>
    </row>
    <row r="118">
      <c r="B118" s="160" t="n">
        <v>43921</v>
      </c>
      <c r="C118" s="167" t="n">
        <v>6.41198062896729</v>
      </c>
      <c r="D118" s="34">
        <f>(C118-C117)/C117</f>
        <v/>
      </c>
    </row>
    <row r="119">
      <c r="B119" s="160" t="n">
        <v>43951</v>
      </c>
      <c r="C119" s="167" t="n">
        <v>6.74715995788574</v>
      </c>
      <c r="D119" s="34">
        <f>(C119-C118)/C118</f>
        <v/>
      </c>
    </row>
    <row r="120">
      <c r="B120" s="160" t="n">
        <v>43982</v>
      </c>
      <c r="C120" s="167" t="n">
        <v>7.24515771865845</v>
      </c>
      <c r="D120" s="34">
        <f>(C120-C119)/C119</f>
        <v/>
      </c>
    </row>
    <row r="121">
      <c r="B121" s="160" t="n">
        <v>44012</v>
      </c>
      <c r="C121" s="167" t="n">
        <v>7.49381589889526</v>
      </c>
      <c r="D121" s="34">
        <f>(C121-C120)/C120</f>
        <v/>
      </c>
    </row>
    <row r="122">
      <c r="B122" s="160" t="n">
        <v>44043</v>
      </c>
      <c r="C122" s="167" t="n">
        <v>7.69137954711914</v>
      </c>
      <c r="D122" s="34">
        <f>(C122-C121)/C121</f>
        <v/>
      </c>
    </row>
    <row r="123">
      <c r="B123" s="160" t="n">
        <v>44074</v>
      </c>
      <c r="C123" s="167" t="n">
        <v>7.94003772735596</v>
      </c>
      <c r="D123" s="34">
        <f>(C123-C122)/C122</f>
        <v/>
      </c>
    </row>
    <row r="124">
      <c r="B124" s="160" t="n">
        <v>44104</v>
      </c>
      <c r="C124" s="167" t="n">
        <v>7.77994346618652</v>
      </c>
      <c r="D124" s="34">
        <f>(C124-C123)/C123</f>
        <v/>
      </c>
    </row>
    <row r="125">
      <c r="B125" s="160" t="n">
        <v>44135</v>
      </c>
      <c r="C125" s="167" t="n">
        <v>7.0748438835144</v>
      </c>
      <c r="D125" s="34">
        <f>(C125-C124)/C124</f>
        <v/>
      </c>
    </row>
    <row r="126">
      <c r="B126" s="160" t="n">
        <v>44165</v>
      </c>
      <c r="C126" s="167" t="n">
        <v>8.42713737487793</v>
      </c>
      <c r="D126" s="34">
        <f>(C126-C125)/C125</f>
        <v/>
      </c>
    </row>
    <row r="127">
      <c r="B127" s="160" t="n">
        <v>44196</v>
      </c>
      <c r="C127" s="167" t="n">
        <v>8.52932548522949</v>
      </c>
      <c r="D127" s="34">
        <f>(C127-C126)/C126</f>
        <v/>
      </c>
    </row>
    <row r="128">
      <c r="B128" s="160" t="n">
        <v>44227</v>
      </c>
      <c r="C128" s="167" t="n">
        <v>8.733701705932621</v>
      </c>
      <c r="D128" s="34">
        <f>(C128-C127)/C127</f>
        <v/>
      </c>
    </row>
    <row r="129">
      <c r="B129" s="160" t="n">
        <v>44255</v>
      </c>
      <c r="C129" s="167" t="n">
        <v>8.23297786712647</v>
      </c>
      <c r="D129" s="34">
        <f>(C129-C128)/C128</f>
        <v/>
      </c>
    </row>
    <row r="130">
      <c r="B130" s="160" t="n">
        <v>44286</v>
      </c>
      <c r="C130" s="167" t="n">
        <v>8.246603012084959</v>
      </c>
      <c r="D130" s="34">
        <f>(C130-C129)/C129</f>
        <v/>
      </c>
    </row>
    <row r="131">
      <c r="B131" s="160" t="n">
        <v>44316</v>
      </c>
      <c r="C131" s="167" t="n">
        <v>8.42713737487793</v>
      </c>
      <c r="D131" s="34">
        <f>(C131-C130)/C130</f>
        <v/>
      </c>
    </row>
    <row r="132">
      <c r="B132" s="160" t="n">
        <v>44347</v>
      </c>
      <c r="C132" s="167" t="n">
        <v>8.27725982666016</v>
      </c>
      <c r="D132" s="34">
        <f>(C132-C131)/C131</f>
        <v/>
      </c>
    </row>
    <row r="133">
      <c r="B133" s="160" t="n">
        <v>44377</v>
      </c>
      <c r="C133" s="167" t="n">
        <v>8.201956748962401</v>
      </c>
      <c r="D133" s="34">
        <f>(C133-C132)/C132</f>
        <v/>
      </c>
    </row>
    <row r="134">
      <c r="B134" s="160" t="n">
        <v>44408</v>
      </c>
      <c r="C134" s="167" t="n">
        <v>7.98757219314575</v>
      </c>
      <c r="D134" s="34">
        <f>(C134-C133)/C133</f>
        <v/>
      </c>
    </row>
    <row r="135">
      <c r="B135" s="160" t="n">
        <v>44439</v>
      </c>
      <c r="C135" s="167" t="n">
        <v>8.61226654052734</v>
      </c>
      <c r="D135" s="34">
        <f>(C135-C134)/C134</f>
        <v/>
      </c>
    </row>
    <row r="136">
      <c r="B136" s="160" t="n">
        <v>44469</v>
      </c>
      <c r="C136" s="167" t="n">
        <v>8.051460266113279</v>
      </c>
      <c r="D136" s="34">
        <f>(C136-C135)/C135</f>
        <v/>
      </c>
    </row>
    <row r="137">
      <c r="B137" s="160" t="n">
        <v>44500</v>
      </c>
      <c r="C137" s="167" t="n">
        <v>8.72868728637695</v>
      </c>
      <c r="D137" s="34">
        <f>(C137-C136)/C136</f>
        <v/>
      </c>
    </row>
    <row r="138">
      <c r="B138" s="160" t="n">
        <v>44530</v>
      </c>
      <c r="C138" s="167" t="n">
        <v>9.09356594085693</v>
      </c>
      <c r="D138" s="34">
        <f>(C138-C137)/C137</f>
        <v/>
      </c>
    </row>
    <row r="139">
      <c r="B139" s="160" t="n">
        <v>44561</v>
      </c>
      <c r="C139" s="167" t="n">
        <v>9.23838043212891</v>
      </c>
      <c r="D139" s="34">
        <f>(C139-C138)/C138</f>
        <v/>
      </c>
    </row>
    <row r="140">
      <c r="B140" s="160" t="n">
        <v>44592</v>
      </c>
      <c r="C140" s="167" t="n">
        <v>9.62171649932861</v>
      </c>
      <c r="D140" s="34">
        <f>(C140-C139)/C139</f>
        <v/>
      </c>
    </row>
    <row r="141">
      <c r="B141" s="160" t="n">
        <v>44620</v>
      </c>
      <c r="C141" s="167" t="n">
        <v>10.1285705566406</v>
      </c>
      <c r="D141" s="34">
        <f>(C141-C140)/C140</f>
        <v/>
      </c>
    </row>
    <row r="142">
      <c r="B142" s="160" t="n">
        <v>44651</v>
      </c>
      <c r="C142" s="167" t="n">
        <v>8.47171020507813</v>
      </c>
      <c r="D142" s="34">
        <f>(C142-C141)/C141</f>
        <v/>
      </c>
    </row>
    <row r="143">
      <c r="B143" s="160" t="n">
        <v>44681</v>
      </c>
      <c r="C143" s="167" t="n">
        <v>8.03726291656494</v>
      </c>
      <c r="D143" s="34">
        <f>(C143-C142)/C142</f>
        <v/>
      </c>
    </row>
    <row r="144">
      <c r="B144" s="160" t="n">
        <v>44712</v>
      </c>
      <c r="C144" s="167" t="n">
        <v>9.54220485687256</v>
      </c>
      <c r="D144" s="34">
        <f>(C144-C143)/C143</f>
        <v/>
      </c>
    </row>
    <row r="145">
      <c r="B145" s="160" t="n">
        <v>44742</v>
      </c>
      <c r="C145" s="167" t="n">
        <v>8.37386417388916</v>
      </c>
      <c r="D145" s="34">
        <f>(C145-C144)/C144</f>
        <v/>
      </c>
    </row>
    <row r="146">
      <c r="B146" s="160" t="n">
        <v>44773</v>
      </c>
      <c r="C146" s="167" t="n">
        <v>9.20926666259766</v>
      </c>
      <c r="D146" s="34">
        <f>(C146-C145)/C145</f>
        <v/>
      </c>
    </row>
    <row r="147">
      <c r="B147" s="160" t="n">
        <v>44804</v>
      </c>
      <c r="C147" s="167" t="n">
        <v>9.06265068054199</v>
      </c>
      <c r="D147" s="34">
        <f>(C147-C146)/C146</f>
        <v/>
      </c>
    </row>
    <row r="148">
      <c r="B148" s="160" t="n">
        <v>44834</v>
      </c>
      <c r="C148" s="167" t="n">
        <v>9.04279613494873</v>
      </c>
      <c r="D148" s="34">
        <f>(C148-C147)/C147</f>
        <v/>
      </c>
    </row>
    <row r="149">
      <c r="B149" s="160" t="n">
        <v>44865</v>
      </c>
      <c r="C149" s="167" t="n">
        <v>10.0446672439575</v>
      </c>
      <c r="D149" s="34">
        <f>(C149-C148)/C148</f>
        <v/>
      </c>
    </row>
    <row r="150">
      <c r="B150" s="160" t="n">
        <v>44895</v>
      </c>
      <c r="C150" s="167" t="n">
        <v>11.0877742767334</v>
      </c>
      <c r="D150" s="34">
        <f>(C150-C149)/C149</f>
        <v/>
      </c>
    </row>
    <row r="151">
      <c r="B151" s="160" t="n">
        <v>44926</v>
      </c>
      <c r="C151" s="167" t="n">
        <v>10.2233533859253</v>
      </c>
      <c r="D151" s="34">
        <f>(C151-C150)/C150</f>
        <v/>
      </c>
    </row>
    <row r="152">
      <c r="B152" s="160" t="n">
        <v>44957</v>
      </c>
      <c r="C152" s="167" t="n">
        <v>9.9423418045044</v>
      </c>
      <c r="D152" s="34">
        <f>(C152-C151)/C151</f>
        <v/>
      </c>
    </row>
    <row r="153">
      <c r="B153" s="160" t="n">
        <v>44985</v>
      </c>
      <c r="C153" s="167" t="n">
        <v>10.5654563903809</v>
      </c>
      <c r="D153" s="34">
        <f>(C153-C152)/C152</f>
        <v/>
      </c>
    </row>
    <row r="154">
      <c r="B154" s="160" t="n">
        <v>45016</v>
      </c>
      <c r="C154" s="167" t="n">
        <v>11.1290092468262</v>
      </c>
      <c r="D154" s="34">
        <f>(C154-C153)/C153</f>
        <v/>
      </c>
    </row>
    <row r="155">
      <c r="B155" s="160" t="n">
        <v>45046</v>
      </c>
      <c r="C155" s="167" t="n">
        <v>11.0847177505493</v>
      </c>
      <c r="D155" s="34">
        <f>(C155-C154)/C154</f>
        <v/>
      </c>
    </row>
    <row r="156">
      <c r="B156" s="160" t="n">
        <v>45077</v>
      </c>
      <c r="C156" s="167" t="n">
        <v>11.7944269180298</v>
      </c>
      <c r="D156" s="34">
        <f>(C156-C155)/C155</f>
        <v/>
      </c>
    </row>
    <row r="157">
      <c r="B157" s="160" t="n">
        <v>45107</v>
      </c>
      <c r="C157" s="167" t="n">
        <v>12.7905941009521</v>
      </c>
      <c r="D157" s="34">
        <f>(C157-C156)/C156</f>
        <v/>
      </c>
    </row>
    <row r="158">
      <c r="B158" s="160" t="n">
        <v>45138</v>
      </c>
      <c r="C158" s="167" t="n">
        <v>12.5251731872559</v>
      </c>
      <c r="D158" s="34">
        <f>(C158-C157)/C157</f>
        <v/>
      </c>
    </row>
    <row r="159">
      <c r="B159" s="160" t="n">
        <v>45169</v>
      </c>
      <c r="C159" s="167" t="n">
        <v>12.5066947937012</v>
      </c>
      <c r="D159" s="34">
        <f>(C159-C158)/C158</f>
        <v/>
      </c>
    </row>
    <row r="160">
      <c r="B160" s="160" t="n">
        <v>45199</v>
      </c>
      <c r="C160" s="167" t="n">
        <v>12.2043161392212</v>
      </c>
      <c r="D160" s="34">
        <f>(C160-C159)/C159</f>
        <v/>
      </c>
    </row>
    <row r="161">
      <c r="B161" s="160" t="n">
        <v>45230</v>
      </c>
      <c r="C161" s="167" t="n">
        <v>12.6024484634399</v>
      </c>
      <c r="D161" s="34">
        <f>(C161-C160)/C160</f>
        <v/>
      </c>
    </row>
    <row r="162">
      <c r="B162" s="160" t="n">
        <v>45260</v>
      </c>
      <c r="C162" s="167" t="n">
        <v>13.3701524734497</v>
      </c>
      <c r="D162" s="34">
        <f>(C162-C161)/C161</f>
        <v/>
      </c>
    </row>
    <row r="163">
      <c r="B163" s="160" t="n">
        <v>45291</v>
      </c>
      <c r="C163" s="167" t="n">
        <v>13.3701524734497</v>
      </c>
      <c r="D163" s="34">
        <f>(C163-C162)/C162</f>
        <v/>
      </c>
    </row>
    <row r="164">
      <c r="B164" s="160" t="n">
        <v>45322</v>
      </c>
      <c r="C164" s="167" t="n">
        <v>12.4394998550415</v>
      </c>
      <c r="D164" s="34">
        <f>(C164-C163)/C163</f>
        <v/>
      </c>
    </row>
    <row r="165">
      <c r="B165" s="160" t="n">
        <v>45351</v>
      </c>
      <c r="C165" s="167" t="n">
        <v>12.4613389968872</v>
      </c>
      <c r="D165" s="34">
        <f>(C165-C164)/C164</f>
        <v/>
      </c>
    </row>
    <row r="166">
      <c r="B166" s="160" t="n">
        <v>45382</v>
      </c>
      <c r="C166" s="167" t="n">
        <v>13.0274572372437</v>
      </c>
      <c r="D166" s="34">
        <f>(C166-C165)/C165</f>
        <v/>
      </c>
    </row>
    <row r="167">
      <c r="B167" s="160" t="n">
        <v>45412</v>
      </c>
      <c r="C167" s="167" t="n">
        <v>13.665810585022</v>
      </c>
      <c r="D167" s="34">
        <f>(C167-C166)/C166</f>
        <v/>
      </c>
    </row>
    <row r="168">
      <c r="B168" s="160" t="n">
        <v>45443</v>
      </c>
      <c r="C168" s="167" t="n">
        <v>13.0484552383423</v>
      </c>
      <c r="D168" s="34">
        <f>(C168-C167)/C167</f>
        <v/>
      </c>
    </row>
    <row r="169">
      <c r="B169" s="160" t="n">
        <v>45473</v>
      </c>
      <c r="C169" s="167" t="n">
        <v>12.2798910140991</v>
      </c>
      <c r="D169" s="34">
        <f>(C169-C168)/C168</f>
        <v/>
      </c>
    </row>
    <row r="170">
      <c r="B170" s="160" t="n">
        <v>45504</v>
      </c>
      <c r="C170" s="167" t="n">
        <v>13.3895473480225</v>
      </c>
      <c r="D170" s="34">
        <f>(C170-C169)/C169</f>
        <v/>
      </c>
    </row>
    <row r="171">
      <c r="B171" s="160" t="n">
        <v>45535</v>
      </c>
      <c r="C171" s="167" t="n">
        <v>14.6695671081543</v>
      </c>
      <c r="D171" s="34">
        <f>(C171-C170)/C170</f>
        <v/>
      </c>
    </row>
    <row r="172">
      <c r="B172" s="160" t="n">
        <v>45565</v>
      </c>
      <c r="C172" s="167" t="n">
        <v>14.2874031066895</v>
      </c>
      <c r="D172" s="34">
        <f>(C172-C171)/C171</f>
        <v/>
      </c>
    </row>
    <row r="173">
      <c r="B173" s="160" t="n">
        <v>45596</v>
      </c>
      <c r="C173" s="167" t="n">
        <v>14.195315361023</v>
      </c>
      <c r="D173" s="34">
        <f>(C173-C172)/C172</f>
        <v/>
      </c>
    </row>
    <row r="174">
      <c r="B174" s="160" t="n">
        <v>45626</v>
      </c>
      <c r="C174" s="167" t="n">
        <v>13.8914260864258</v>
      </c>
      <c r="D174" s="34">
        <f>(C174-C173)/C173</f>
        <v/>
      </c>
    </row>
    <row r="175">
      <c r="B175" s="160" t="n">
        <v>45657</v>
      </c>
      <c r="C175" s="167" t="n">
        <v>14.0986232757568</v>
      </c>
      <c r="D175" s="34">
        <f>(C175-C174)/C174</f>
        <v/>
      </c>
    </row>
    <row r="176">
      <c r="B176" s="160" t="n">
        <v>45688</v>
      </c>
      <c r="C176" s="167" t="n">
        <v>14.6557531356812</v>
      </c>
      <c r="D176" s="34">
        <f>(C176-C175)/C175</f>
        <v/>
      </c>
    </row>
    <row r="177">
      <c r="B177" s="160" t="n">
        <v>45716</v>
      </c>
      <c r="C177" s="167" t="n">
        <v>15.8759145736694</v>
      </c>
      <c r="D177" s="34">
        <f>(C177-C176)/C176</f>
        <v/>
      </c>
    </row>
    <row r="178">
      <c r="B178" s="160" t="n">
        <v>45747</v>
      </c>
      <c r="C178" s="167" t="n">
        <v>16.6080112457275</v>
      </c>
      <c r="D178" s="34">
        <f>(C178-C177)/C177</f>
        <v/>
      </c>
    </row>
    <row r="179">
      <c r="B179" s="160" t="n">
        <v>45777</v>
      </c>
      <c r="C179" s="167" t="n">
        <v>16.7461433410645</v>
      </c>
      <c r="D179" s="34">
        <f>(C179-C178)/C178</f>
        <v/>
      </c>
    </row>
    <row r="180">
      <c r="B180" s="160" t="n">
        <v>45808</v>
      </c>
      <c r="C180" s="167" t="n">
        <v>18.9850006103516</v>
      </c>
      <c r="D180" s="34">
        <f>(C180-C179)/C179</f>
        <v/>
      </c>
    </row>
    <row r="181">
      <c r="B181" s="160" t="n">
        <v>45838</v>
      </c>
      <c r="C181" s="167" t="n">
        <v>19.9249992370605</v>
      </c>
      <c r="D181" s="34">
        <f>(C181-C180)/C180</f>
        <v/>
      </c>
    </row>
    <row r="182">
      <c r="B182" s="160" t="n">
        <v>45869</v>
      </c>
      <c r="C182" s="167" t="n">
        <v>19.6200008392334</v>
      </c>
      <c r="D182" s="34">
        <f>(C182-C181)/C181</f>
        <v/>
      </c>
    </row>
    <row r="183">
      <c r="B183" s="160" t="n">
        <v>45900</v>
      </c>
      <c r="C183" s="167" t="n">
        <v>17.6900005340576</v>
      </c>
      <c r="D183" s="34">
        <f>(C183-C182)/C182</f>
        <v/>
      </c>
    </row>
  </sheetData>
  <pageMargins left="0.7" right="0.7" top="0.75" bottom="0.75" header="0.3" footer="0.3"/>
</worksheet>
</file>

<file path=xl/worksheets/sheet17.xml><?xml version="1.0" encoding="utf-8"?>
<worksheet xmlns="http://schemas.openxmlformats.org/spreadsheetml/2006/main">
  <sheetPr>
    <tabColor theme="7" tint="0.7999816888943144"/>
    <outlinePr summaryBelow="1" summaryRight="1"/>
    <pageSetUpPr/>
  </sheetPr>
  <dimension ref="B2:D183"/>
  <sheetViews>
    <sheetView showGridLines="0" topLeftCell="A24" workbookViewId="0">
      <selection activeCell="D57" sqref="D57"/>
    </sheetView>
  </sheetViews>
  <sheetFormatPr baseColWidth="10" defaultColWidth="10.83203125" defaultRowHeight="15"/>
  <cols>
    <col width="12.6640625" bestFit="1" customWidth="1" min="3" max="3"/>
  </cols>
  <sheetData>
    <row r="2">
      <c r="B2" s="30" t="inlineStr">
        <is>
          <t>Date</t>
        </is>
      </c>
      <c r="C2" t="inlineStr">
        <is>
          <t>RMS.PA</t>
        </is>
      </c>
      <c r="D2" t="inlineStr">
        <is>
          <t>Monthly Return</t>
        </is>
      </c>
    </row>
    <row r="3">
      <c r="B3" s="160" t="inlineStr">
        <is>
          <t>2010-08</t>
        </is>
      </c>
      <c r="C3" s="167" t="n">
        <v>120.806251525879</v>
      </c>
    </row>
    <row r="4">
      <c r="B4" s="160" t="n">
        <v>40451</v>
      </c>
      <c r="C4" s="167" t="n">
        <v>141.503768920898</v>
      </c>
      <c r="D4" s="34">
        <f>(C4-C3)/C3</f>
        <v/>
      </c>
    </row>
    <row r="5">
      <c r="B5" s="160" t="n">
        <v>40482</v>
      </c>
      <c r="C5" s="167" t="n">
        <v>128.789611816406</v>
      </c>
      <c r="D5" s="34">
        <f>(C5-C4)/C4</f>
        <v/>
      </c>
    </row>
    <row r="6">
      <c r="B6" s="160" t="n">
        <v>40512</v>
      </c>
      <c r="C6" s="167" t="n">
        <v>123.340591430664</v>
      </c>
      <c r="D6" s="34">
        <f>(C6-C5)/C5</f>
        <v/>
      </c>
    </row>
    <row r="7">
      <c r="B7" s="160" t="n">
        <v>40543</v>
      </c>
      <c r="C7" s="167" t="n">
        <v>132.422241210938</v>
      </c>
      <c r="D7" s="34">
        <f>(C7-C6)/C6</f>
        <v/>
      </c>
    </row>
    <row r="8">
      <c r="B8" s="160" t="n">
        <v>40574</v>
      </c>
      <c r="C8" s="167" t="n">
        <v>124.523323059082</v>
      </c>
      <c r="D8" s="34">
        <f>(C8-C7)/C7</f>
        <v/>
      </c>
    </row>
    <row r="9">
      <c r="B9" s="160" t="n">
        <v>40602</v>
      </c>
      <c r="C9" s="167" t="n">
        <v>133.266998291016</v>
      </c>
      <c r="D9" s="34">
        <f>(C9-C8)/C8</f>
        <v/>
      </c>
    </row>
    <row r="10">
      <c r="B10" s="160" t="n">
        <v>40633</v>
      </c>
      <c r="C10" s="167" t="n">
        <v>131.567474365234</v>
      </c>
      <c r="D10" s="34">
        <f>(C10-C9)/C9</f>
        <v/>
      </c>
    </row>
    <row r="11">
      <c r="B11" s="160" t="n">
        <v>40663</v>
      </c>
      <c r="C11" s="167" t="n">
        <v>134.544128417969</v>
      </c>
      <c r="D11" s="34">
        <f>(C11-C10)/C10</f>
        <v/>
      </c>
    </row>
    <row r="12">
      <c r="B12" s="160" t="n">
        <v>40694</v>
      </c>
      <c r="C12" s="167" t="n">
        <v>152.148834228516</v>
      </c>
      <c r="D12" s="34">
        <f>(C12-C11)/C11</f>
        <v/>
      </c>
    </row>
    <row r="13">
      <c r="B13" s="160" t="n">
        <v>40724</v>
      </c>
      <c r="C13" s="167" t="n">
        <v>173.410568237305</v>
      </c>
      <c r="D13" s="34">
        <f>(C13-C12)/C12</f>
        <v/>
      </c>
    </row>
    <row r="14">
      <c r="B14" s="160" t="n">
        <v>40755</v>
      </c>
      <c r="C14" s="167" t="n">
        <v>205.358917236328</v>
      </c>
      <c r="D14" s="34">
        <f>(C14-C13)/C13</f>
        <v/>
      </c>
    </row>
    <row r="15">
      <c r="B15" s="160" t="n">
        <v>40786</v>
      </c>
      <c r="C15" s="167" t="n">
        <v>230.389175415039</v>
      </c>
      <c r="D15" s="34">
        <f>(C15-C14)/C14</f>
        <v/>
      </c>
    </row>
    <row r="16">
      <c r="B16" s="160" t="n">
        <v>40816</v>
      </c>
      <c r="C16" s="167" t="n">
        <v>192.609268188477</v>
      </c>
      <c r="D16" s="34">
        <f>(C16-C15)/C15</f>
        <v/>
      </c>
    </row>
    <row r="17">
      <c r="B17" s="160" t="n">
        <v>40847</v>
      </c>
      <c r="C17" s="167" t="n">
        <v>209.665618896484</v>
      </c>
      <c r="D17" s="34">
        <f>(C17-C16)/C16</f>
        <v/>
      </c>
    </row>
    <row r="18">
      <c r="B18" s="160" t="n">
        <v>40877</v>
      </c>
      <c r="C18" s="167" t="n">
        <v>201.265350341797</v>
      </c>
      <c r="D18" s="34">
        <f>(C18-C17)/C17</f>
        <v/>
      </c>
    </row>
    <row r="19">
      <c r="B19" s="160" t="n">
        <v>40908</v>
      </c>
      <c r="C19" s="167" t="n">
        <v>196.446975708008</v>
      </c>
      <c r="D19" s="34">
        <f>(C19-C18)/C18</f>
        <v/>
      </c>
    </row>
    <row r="20">
      <c r="B20" s="160" t="n">
        <v>40939</v>
      </c>
      <c r="C20" s="167" t="n">
        <v>226.594131469727</v>
      </c>
      <c r="D20" s="34">
        <f>(C20-C19)/C19</f>
        <v/>
      </c>
    </row>
    <row r="21">
      <c r="B21" s="160" t="n">
        <v>40968</v>
      </c>
      <c r="C21" s="167" t="n">
        <v>238.832077026367</v>
      </c>
      <c r="D21" s="34">
        <f>(C21-C20)/C20</f>
        <v/>
      </c>
    </row>
    <row r="22">
      <c r="B22" s="160" t="n">
        <v>40999</v>
      </c>
      <c r="C22" s="167" t="n">
        <v>216.621139526367</v>
      </c>
      <c r="D22" s="34">
        <f>(C22-C21)/C21</f>
        <v/>
      </c>
    </row>
    <row r="23">
      <c r="B23" s="160" t="n">
        <v>41029</v>
      </c>
      <c r="C23" s="167" t="n">
        <v>229.13916015625</v>
      </c>
      <c r="D23" s="34">
        <f>(C23-C22)/C22</f>
        <v/>
      </c>
    </row>
    <row r="24">
      <c r="B24" s="160" t="n">
        <v>41060</v>
      </c>
      <c r="C24" s="167" t="n">
        <v>224.294860839844</v>
      </c>
      <c r="D24" s="34">
        <f>(C24-C23)/C23</f>
        <v/>
      </c>
    </row>
    <row r="25">
      <c r="B25" s="160" t="n">
        <v>41090</v>
      </c>
      <c r="C25" s="167" t="n">
        <v>212.039627075195</v>
      </c>
      <c r="D25" s="34">
        <f>(C25-C24)/C24</f>
        <v/>
      </c>
    </row>
    <row r="26">
      <c r="B26" s="160" t="n">
        <v>41121</v>
      </c>
      <c r="C26" s="167" t="n">
        <v>194.008575439453</v>
      </c>
      <c r="D26" s="34">
        <f>(C26-C25)/C25</f>
        <v/>
      </c>
    </row>
    <row r="27">
      <c r="B27" s="160" t="n">
        <v>41152</v>
      </c>
      <c r="C27" s="167" t="n">
        <v>200.398239135742</v>
      </c>
      <c r="D27" s="34">
        <f>(C27-C26)/C26</f>
        <v/>
      </c>
    </row>
    <row r="28">
      <c r="B28" s="160" t="n">
        <v>41182</v>
      </c>
      <c r="C28" s="167" t="n">
        <v>182.936157226563</v>
      </c>
      <c r="D28" s="34">
        <f>(C28-C27)/C27</f>
        <v/>
      </c>
    </row>
    <row r="29">
      <c r="B29" s="160" t="n">
        <v>41213</v>
      </c>
      <c r="C29" s="167" t="n">
        <v>184.336639404297</v>
      </c>
      <c r="D29" s="34">
        <f>(C29-C28)/C28</f>
        <v/>
      </c>
    </row>
    <row r="30">
      <c r="B30" s="160" t="n">
        <v>41243</v>
      </c>
      <c r="C30" s="167" t="n">
        <v>207.969512939453</v>
      </c>
      <c r="D30" s="34">
        <f>(C30-C29)/C29</f>
        <v/>
      </c>
    </row>
    <row r="31">
      <c r="B31" s="160" t="n">
        <v>41274</v>
      </c>
      <c r="C31" s="167" t="n">
        <v>198.078689575195</v>
      </c>
      <c r="D31" s="34">
        <f>(C31-C30)/C30</f>
        <v/>
      </c>
    </row>
    <row r="32">
      <c r="B32" s="160" t="n">
        <v>41305</v>
      </c>
      <c r="C32" s="167" t="n">
        <v>209.588775634766</v>
      </c>
      <c r="D32" s="34">
        <f>(C32-C31)/C31</f>
        <v/>
      </c>
    </row>
    <row r="33">
      <c r="B33" s="160" t="n">
        <v>41333</v>
      </c>
      <c r="C33" s="167" t="n">
        <v>223.37467956543</v>
      </c>
      <c r="D33" s="34">
        <f>(C33-C32)/C32</f>
        <v/>
      </c>
    </row>
    <row r="34">
      <c r="B34" s="160" t="n">
        <v>41364</v>
      </c>
      <c r="C34" s="167" t="n">
        <v>238.47331237793</v>
      </c>
      <c r="D34" s="34">
        <f>(C34-C33)/C33</f>
        <v/>
      </c>
    </row>
    <row r="35">
      <c r="B35" s="160" t="n">
        <v>41394</v>
      </c>
      <c r="C35" s="167" t="n">
        <v>225.48649597168</v>
      </c>
      <c r="D35" s="34">
        <f>(C35-C34)/C34</f>
        <v/>
      </c>
    </row>
    <row r="36">
      <c r="B36" s="160" t="n">
        <v>41425</v>
      </c>
      <c r="C36" s="167" t="n">
        <v>242.303359985352</v>
      </c>
      <c r="D36" s="34">
        <f>(C36-C35)/C35</f>
        <v/>
      </c>
    </row>
    <row r="37">
      <c r="B37" s="160" t="n">
        <v>41455</v>
      </c>
      <c r="C37" s="167" t="n">
        <v>218.354736328125</v>
      </c>
      <c r="D37" s="34">
        <f>(C37-C36)/C36</f>
        <v/>
      </c>
    </row>
    <row r="38">
      <c r="B38" s="160" t="n">
        <v>41486</v>
      </c>
      <c r="C38" s="167" t="n">
        <v>225.729751586914</v>
      </c>
      <c r="D38" s="34">
        <f>(C38-C37)/C37</f>
        <v/>
      </c>
    </row>
    <row r="39">
      <c r="B39" s="160" t="n">
        <v>41517</v>
      </c>
      <c r="C39" s="167" t="n">
        <v>224.227233886719</v>
      </c>
      <c r="D39" s="34">
        <f>(C39-C38)/C38</f>
        <v/>
      </c>
    </row>
    <row r="40">
      <c r="B40" s="160" t="n">
        <v>41547</v>
      </c>
      <c r="C40" s="167" t="n">
        <v>235.186706542969</v>
      </c>
      <c r="D40" s="34">
        <f>(C40-C39)/C39</f>
        <v/>
      </c>
    </row>
    <row r="41">
      <c r="B41" s="160" t="n">
        <v>41578</v>
      </c>
      <c r="C41" s="167" t="n">
        <v>221.752548217773</v>
      </c>
      <c r="D41" s="34">
        <f>(C41-C40)/C40</f>
        <v/>
      </c>
    </row>
    <row r="42">
      <c r="B42" s="160" t="n">
        <v>41608</v>
      </c>
      <c r="C42" s="167" t="n">
        <v>227.14387512207</v>
      </c>
      <c r="D42" s="34">
        <f>(C42-C41)/C41</f>
        <v/>
      </c>
    </row>
    <row r="43">
      <c r="B43" s="160" t="n">
        <v>41639</v>
      </c>
      <c r="C43" s="167" t="n">
        <v>232.888778686523</v>
      </c>
      <c r="D43" s="34">
        <f>(C43-C42)/C42</f>
        <v/>
      </c>
    </row>
    <row r="44">
      <c r="B44" s="160" t="n">
        <v>41670</v>
      </c>
      <c r="C44" s="167" t="n">
        <v>208.804458618164</v>
      </c>
      <c r="D44" s="34">
        <f>(C44-C43)/C43</f>
        <v/>
      </c>
    </row>
    <row r="45">
      <c r="B45" s="160" t="n">
        <v>41698</v>
      </c>
      <c r="C45" s="167" t="n">
        <v>206.373916625977</v>
      </c>
      <c r="D45" s="34">
        <f>(C45-C44)/C44</f>
        <v/>
      </c>
    </row>
    <row r="46">
      <c r="B46" s="160" t="n">
        <v>41729</v>
      </c>
      <c r="C46" s="167" t="n">
        <v>214.875915527344</v>
      </c>
      <c r="D46" s="34">
        <f>(C46-C45)/C45</f>
        <v/>
      </c>
    </row>
    <row r="47">
      <c r="B47" s="160" t="n">
        <v>41759</v>
      </c>
      <c r="C47" s="167" t="n">
        <v>225.148361206055</v>
      </c>
      <c r="D47" s="34">
        <f>(C47-C46)/C46</f>
        <v/>
      </c>
    </row>
    <row r="48">
      <c r="B48" s="160" t="n">
        <v>41790</v>
      </c>
      <c r="C48" s="167" t="n">
        <v>231.240585327148</v>
      </c>
      <c r="D48" s="34">
        <f>(C48-C47)/C47</f>
        <v/>
      </c>
    </row>
    <row r="49">
      <c r="B49" s="160" t="n">
        <v>41820</v>
      </c>
      <c r="C49" s="167" t="n">
        <v>239.68977355957</v>
      </c>
      <c r="D49" s="34">
        <f>(C49-C48)/C48</f>
        <v/>
      </c>
    </row>
    <row r="50">
      <c r="B50" s="160" t="n">
        <v>41851</v>
      </c>
      <c r="C50" s="167" t="n">
        <v>230.570449829102</v>
      </c>
      <c r="D50" s="34">
        <f>(C50-C49)/C49</f>
        <v/>
      </c>
    </row>
    <row r="51">
      <c r="B51" s="160" t="n">
        <v>41882</v>
      </c>
      <c r="C51" s="167" t="n">
        <v>233.965835571289</v>
      </c>
      <c r="D51" s="34">
        <f>(C51-C50)/C50</f>
        <v/>
      </c>
    </row>
    <row r="52">
      <c r="B52" s="160" t="n">
        <v>41912</v>
      </c>
      <c r="C52" s="167" t="n">
        <v>211.538696289063</v>
      </c>
      <c r="D52" s="34">
        <f>(C52-C51)/C51</f>
        <v/>
      </c>
    </row>
    <row r="53">
      <c r="B53" s="160" t="n">
        <v>41943</v>
      </c>
      <c r="C53" s="167" t="n">
        <v>220.786514282227</v>
      </c>
      <c r="D53" s="34">
        <f>(C53-C52)/C52</f>
        <v/>
      </c>
    </row>
    <row r="54">
      <c r="B54" s="160" t="n">
        <v>41973</v>
      </c>
      <c r="C54" s="167" t="n">
        <v>240.57780456543</v>
      </c>
      <c r="D54" s="34">
        <f>(C54-C53)/C53</f>
        <v/>
      </c>
    </row>
    <row r="55">
      <c r="B55" s="160" t="n">
        <v>42004</v>
      </c>
      <c r="C55" s="167" t="n">
        <v>263.406951904297</v>
      </c>
      <c r="D55" s="34">
        <f>(C55-C54)/C54</f>
        <v/>
      </c>
    </row>
    <row r="56">
      <c r="B56" s="160" t="n">
        <v>42035</v>
      </c>
      <c r="C56" s="167" t="n">
        <v>268.455322265625</v>
      </c>
      <c r="D56" s="34">
        <f>(C56-C55)/C55</f>
        <v/>
      </c>
    </row>
    <row r="57">
      <c r="B57" s="160" t="n">
        <v>42063</v>
      </c>
      <c r="C57" s="167" t="n">
        <v>257.643920898438</v>
      </c>
      <c r="D57" s="34">
        <f>(C57-C56)/C56</f>
        <v/>
      </c>
    </row>
    <row r="58">
      <c r="B58" s="160" t="n">
        <v>42094</v>
      </c>
      <c r="C58" s="167" t="n">
        <v>293.429046630859</v>
      </c>
      <c r="D58" s="34">
        <f>(C58-C57)/C57</f>
        <v/>
      </c>
    </row>
    <row r="59">
      <c r="B59" s="160" t="n">
        <v>42124</v>
      </c>
      <c r="C59" s="167" t="n">
        <v>302.737609863281</v>
      </c>
      <c r="D59" s="34">
        <f>(C59-C58)/C58</f>
        <v/>
      </c>
    </row>
    <row r="60">
      <c r="B60" s="160" t="n">
        <v>42155</v>
      </c>
      <c r="C60" s="167" t="n">
        <v>319.444122314453</v>
      </c>
      <c r="D60" s="34">
        <f>(C60-C59)/C59</f>
        <v/>
      </c>
    </row>
    <row r="61">
      <c r="B61" s="160" t="n">
        <v>42185</v>
      </c>
      <c r="C61" s="167" t="n">
        <v>300.537048339844</v>
      </c>
      <c r="D61" s="34">
        <f>(C61-C60)/C60</f>
        <v/>
      </c>
    </row>
    <row r="62">
      <c r="B62" s="160" t="n">
        <v>42216</v>
      </c>
      <c r="C62" s="167" t="n">
        <v>324.136962890625</v>
      </c>
      <c r="D62" s="34">
        <f>(C62-C61)/C61</f>
        <v/>
      </c>
    </row>
    <row r="63">
      <c r="B63" s="160" t="n">
        <v>42247</v>
      </c>
      <c r="C63" s="167" t="n">
        <v>289.569580078125</v>
      </c>
      <c r="D63" s="34">
        <f>(C63-C62)/C62</f>
        <v/>
      </c>
    </row>
    <row r="64">
      <c r="B64" s="160" t="n">
        <v>42277</v>
      </c>
      <c r="C64" s="167" t="n">
        <v>297.205444335938</v>
      </c>
      <c r="D64" s="34">
        <f>(C64-C63)/C63</f>
        <v/>
      </c>
    </row>
    <row r="65">
      <c r="B65" s="160" t="n">
        <v>42308</v>
      </c>
      <c r="C65" s="167" t="n">
        <v>320.387481689453</v>
      </c>
      <c r="D65" s="34">
        <f>(C65-C64)/C64</f>
        <v/>
      </c>
    </row>
    <row r="66">
      <c r="B66" s="160" t="n">
        <v>42338</v>
      </c>
      <c r="C66" s="167" t="n">
        <v>304.749877929688</v>
      </c>
      <c r="D66" s="34">
        <f>(C66-C65)/C65</f>
        <v/>
      </c>
    </row>
    <row r="67">
      <c r="B67" s="160" t="n">
        <v>42369</v>
      </c>
      <c r="C67" s="167" t="n">
        <v>285.088653564453</v>
      </c>
      <c r="D67" s="34">
        <f>(C67-C66)/C66</f>
        <v/>
      </c>
    </row>
    <row r="68">
      <c r="B68" s="160" t="n">
        <v>42400</v>
      </c>
      <c r="C68" s="167" t="n">
        <v>286.734710693359</v>
      </c>
      <c r="D68" s="34">
        <f>(C68-C67)/C67</f>
        <v/>
      </c>
    </row>
    <row r="69">
      <c r="B69" s="160" t="n">
        <v>42429</v>
      </c>
      <c r="C69" s="167" t="n">
        <v>287.603485107422</v>
      </c>
      <c r="D69" s="34">
        <f>(C69-C68)/C68</f>
        <v/>
      </c>
    </row>
    <row r="70">
      <c r="B70" s="160" t="n">
        <v>42460</v>
      </c>
      <c r="C70" s="167" t="n">
        <v>284.317077636719</v>
      </c>
      <c r="D70" s="34">
        <f>(C70-C69)/C69</f>
        <v/>
      </c>
    </row>
    <row r="71">
      <c r="B71" s="160" t="n">
        <v>42490</v>
      </c>
      <c r="C71" s="167" t="n">
        <v>285.741180419922</v>
      </c>
      <c r="D71" s="34">
        <f>(C71-C70)/C70</f>
        <v/>
      </c>
    </row>
    <row r="72">
      <c r="B72" s="160" t="n">
        <v>42521</v>
      </c>
      <c r="C72" s="167" t="n">
        <v>298.558197021484</v>
      </c>
      <c r="D72" s="34">
        <f>(C72-C71)/C71</f>
        <v/>
      </c>
    </row>
    <row r="73">
      <c r="B73" s="160" t="n">
        <v>42551</v>
      </c>
      <c r="C73" s="167" t="n">
        <v>309.58349609375</v>
      </c>
      <c r="D73" s="34">
        <f>(C73-C72)/C72</f>
        <v/>
      </c>
    </row>
    <row r="74">
      <c r="B74" s="160" t="n">
        <v>42582</v>
      </c>
      <c r="C74" s="167" t="n">
        <v>355.576904296875</v>
      </c>
      <c r="D74" s="34">
        <f>(C74-C73)/C73</f>
        <v/>
      </c>
    </row>
    <row r="75">
      <c r="B75" s="160" t="n">
        <v>42613</v>
      </c>
      <c r="C75" s="167" t="n">
        <v>349.847778320313</v>
      </c>
      <c r="D75" s="34">
        <f>(C75-C74)/C74</f>
        <v/>
      </c>
    </row>
    <row r="76">
      <c r="B76" s="160" t="n">
        <v>42643</v>
      </c>
      <c r="C76" s="167" t="n">
        <v>334.739410400391</v>
      </c>
      <c r="D76" s="34">
        <f>(C76-C75)/C75</f>
        <v/>
      </c>
    </row>
    <row r="77">
      <c r="B77" s="160" t="n">
        <v>42674</v>
      </c>
      <c r="C77" s="167" t="n">
        <v>341.069244384766</v>
      </c>
      <c r="D77" s="34">
        <f>(C77-C76)/C76</f>
        <v/>
      </c>
    </row>
    <row r="78">
      <c r="B78" s="160" t="n">
        <v>42704</v>
      </c>
      <c r="C78" s="167" t="n">
        <v>359.827545166016</v>
      </c>
      <c r="D78" s="34">
        <f>(C78-C77)/C77</f>
        <v/>
      </c>
    </row>
    <row r="79">
      <c r="B79" s="160" t="n">
        <v>42735</v>
      </c>
      <c r="C79" s="167" t="n">
        <v>360.381958007813</v>
      </c>
      <c r="D79" s="34">
        <f>(C79-C78)/C78</f>
        <v/>
      </c>
    </row>
    <row r="80">
      <c r="B80" s="160" t="n">
        <v>42766</v>
      </c>
      <c r="C80" s="167" t="n">
        <v>371.886535644531</v>
      </c>
      <c r="D80" s="34">
        <f>(C80-C79)/C79</f>
        <v/>
      </c>
    </row>
    <row r="81">
      <c r="B81" s="160" t="n">
        <v>42794</v>
      </c>
      <c r="C81" s="167" t="n">
        <v>380.618835449219</v>
      </c>
      <c r="D81" s="34">
        <f>(C81-C80)/C80</f>
        <v/>
      </c>
    </row>
    <row r="82">
      <c r="B82" s="160" t="n">
        <v>42825</v>
      </c>
      <c r="C82" s="167" t="n">
        <v>411.887390136719</v>
      </c>
      <c r="D82" s="34">
        <f>(C82-C81)/C81</f>
        <v/>
      </c>
    </row>
    <row r="83">
      <c r="B83" s="160" t="n">
        <v>42855</v>
      </c>
      <c r="C83" s="167" t="n">
        <v>407.342803955078</v>
      </c>
      <c r="D83" s="34">
        <f>(C83-C82)/C82</f>
        <v/>
      </c>
    </row>
    <row r="84">
      <c r="B84" s="160" t="n">
        <v>42886</v>
      </c>
      <c r="C84" s="167" t="n">
        <v>408.038391113281</v>
      </c>
      <c r="D84" s="34">
        <f>(C84-C83)/C83</f>
        <v/>
      </c>
    </row>
    <row r="85">
      <c r="B85" s="160" t="n">
        <v>42916</v>
      </c>
      <c r="C85" s="167" t="n">
        <v>401.267913818359</v>
      </c>
      <c r="D85" s="34">
        <f>(C85-C84)/C84</f>
        <v/>
      </c>
    </row>
    <row r="86">
      <c r="B86" s="160" t="n">
        <v>42947</v>
      </c>
      <c r="C86" s="167" t="n">
        <v>398.964324951172</v>
      </c>
      <c r="D86" s="34">
        <f>(C86-C85)/C85</f>
        <v/>
      </c>
    </row>
    <row r="87">
      <c r="B87" s="160" t="n">
        <v>42978</v>
      </c>
      <c r="C87" s="167" t="n">
        <v>414.158599853516</v>
      </c>
      <c r="D87" s="34">
        <f>(C87-C86)/C86</f>
        <v/>
      </c>
    </row>
    <row r="88">
      <c r="B88" s="160" t="n">
        <v>43008</v>
      </c>
      <c r="C88" s="167" t="n">
        <v>397.612640380859</v>
      </c>
      <c r="D88" s="34">
        <f>(C88-C87)/C87</f>
        <v/>
      </c>
    </row>
    <row r="89">
      <c r="B89" s="160" t="n">
        <v>43039</v>
      </c>
      <c r="C89" s="167" t="n">
        <v>415.32373046875</v>
      </c>
      <c r="D89" s="34">
        <f>(C89-C88)/C88</f>
        <v/>
      </c>
    </row>
    <row r="90">
      <c r="B90" s="160" t="n">
        <v>43069</v>
      </c>
      <c r="C90" s="167" t="n">
        <v>412.806854248047</v>
      </c>
      <c r="D90" s="34">
        <f>(C90-C89)/C89</f>
        <v/>
      </c>
    </row>
    <row r="91">
      <c r="B91" s="160" t="n">
        <v>43100</v>
      </c>
      <c r="C91" s="167" t="n">
        <v>415.976257324219</v>
      </c>
      <c r="D91" s="34">
        <f>(C91-C90)/C90</f>
        <v/>
      </c>
    </row>
    <row r="92">
      <c r="B92" s="160" t="n">
        <v>43131</v>
      </c>
      <c r="C92" s="167" t="n">
        <v>414.997467041016</v>
      </c>
      <c r="D92" s="34">
        <f>(C92-C91)/C91</f>
        <v/>
      </c>
    </row>
    <row r="93">
      <c r="B93" s="160" t="n">
        <v>43159</v>
      </c>
      <c r="C93" s="167" t="n">
        <v>412.107788085938</v>
      </c>
      <c r="D93" s="34">
        <f>(C93-C92)/C92</f>
        <v/>
      </c>
    </row>
    <row r="94">
      <c r="B94" s="160" t="n">
        <v>43190</v>
      </c>
      <c r="C94" s="167" t="n">
        <v>450.364654541016</v>
      </c>
      <c r="D94" s="34">
        <f>(C94-C93)/C93</f>
        <v/>
      </c>
    </row>
    <row r="95">
      <c r="B95" s="160" t="n">
        <v>43220</v>
      </c>
      <c r="C95" s="167" t="n">
        <v>501.153381347656</v>
      </c>
      <c r="D95" s="34">
        <f>(C95-C94)/C94</f>
        <v/>
      </c>
    </row>
    <row r="96">
      <c r="B96" s="160" t="n">
        <v>43251</v>
      </c>
      <c r="C96" s="167" t="n">
        <v>569.432983398438</v>
      </c>
      <c r="D96" s="34">
        <f>(C96-C95)/C95</f>
        <v/>
      </c>
    </row>
    <row r="97">
      <c r="B97" s="160" t="n">
        <v>43281</v>
      </c>
      <c r="C97" s="167" t="n">
        <v>489.929290771484</v>
      </c>
      <c r="D97" s="34">
        <f>(C97-C96)/C96</f>
        <v/>
      </c>
    </row>
    <row r="98">
      <c r="B98" s="160" t="n">
        <v>43312</v>
      </c>
      <c r="C98" s="167" t="n">
        <v>513.119201660156</v>
      </c>
      <c r="D98" s="34">
        <f>(C98-C97)/C97</f>
        <v/>
      </c>
    </row>
    <row r="99">
      <c r="B99" s="160" t="n">
        <v>43343</v>
      </c>
      <c r="C99" s="167" t="n">
        <v>530.741271972656</v>
      </c>
      <c r="D99" s="34">
        <f>(C99-C98)/C98</f>
        <v/>
      </c>
    </row>
    <row r="100">
      <c r="B100" s="160" t="n">
        <v>43373</v>
      </c>
      <c r="C100" s="167" t="n">
        <v>540.594360351563</v>
      </c>
      <c r="D100" s="34">
        <f>(C100-C99)/C99</f>
        <v/>
      </c>
    </row>
    <row r="101">
      <c r="B101" s="160" t="n">
        <v>43404</v>
      </c>
      <c r="C101" s="167" t="n">
        <v>478.443939208984</v>
      </c>
      <c r="D101" s="34">
        <f>(C101-C100)/C100</f>
        <v/>
      </c>
    </row>
    <row r="102">
      <c r="B102" s="160" t="n">
        <v>43434</v>
      </c>
      <c r="C102" s="167" t="n">
        <v>452.579620361328</v>
      </c>
      <c r="D102" s="34">
        <f>(C102-C101)/C101</f>
        <v/>
      </c>
    </row>
    <row r="103">
      <c r="B103" s="160" t="n">
        <v>43465</v>
      </c>
      <c r="C103" s="167" t="n">
        <v>459.306121826172</v>
      </c>
      <c r="D103" s="34">
        <f>(C103-C102)/C102</f>
        <v/>
      </c>
    </row>
    <row r="104">
      <c r="B104" s="160" t="n">
        <v>43496</v>
      </c>
      <c r="C104" s="167" t="n">
        <v>496.823791503906</v>
      </c>
      <c r="D104" s="34">
        <f>(C104-C103)/C103</f>
        <v/>
      </c>
    </row>
    <row r="105">
      <c r="B105" s="160" t="n">
        <v>43524</v>
      </c>
      <c r="C105" s="167" t="n">
        <v>527.519897460938</v>
      </c>
      <c r="D105" s="34">
        <f>(C105-C104)/C104</f>
        <v/>
      </c>
    </row>
    <row r="106">
      <c r="B106" s="160" t="n">
        <v>43555</v>
      </c>
      <c r="C106" s="167" t="n">
        <v>558.8056640625</v>
      </c>
      <c r="D106" s="34">
        <f>(C106-C105)/C105</f>
        <v/>
      </c>
    </row>
    <row r="107">
      <c r="B107" s="160" t="n">
        <v>43585</v>
      </c>
      <c r="C107" s="167" t="n">
        <v>595.856811523438</v>
      </c>
      <c r="D107" s="34">
        <f>(C107-C106)/C106</f>
        <v/>
      </c>
    </row>
    <row r="108">
      <c r="B108" s="160" t="n">
        <v>43616</v>
      </c>
      <c r="C108" s="167" t="n">
        <v>565.075805664063</v>
      </c>
      <c r="D108" s="34">
        <f>(C108-C107)/C107</f>
        <v/>
      </c>
    </row>
    <row r="109">
      <c r="B109" s="160" t="n">
        <v>43646</v>
      </c>
      <c r="C109" s="167" t="n">
        <v>602.5068359375</v>
      </c>
      <c r="D109" s="34">
        <f>(C109-C108)/C108</f>
        <v/>
      </c>
    </row>
    <row r="110">
      <c r="B110" s="160" t="n">
        <v>43677</v>
      </c>
      <c r="C110" s="167" t="n">
        <v>607.840270996094</v>
      </c>
      <c r="D110" s="34">
        <f>(C110-C109)/C109</f>
        <v/>
      </c>
    </row>
    <row r="111">
      <c r="B111" s="160" t="n">
        <v>43708</v>
      </c>
      <c r="C111" s="167" t="n">
        <v>592.944946289063</v>
      </c>
      <c r="D111" s="34">
        <f>(C111-C110)/C110</f>
        <v/>
      </c>
    </row>
    <row r="112">
      <c r="B112" s="160" t="n">
        <v>43738</v>
      </c>
      <c r="C112" s="167" t="n">
        <v>605.357666015625</v>
      </c>
      <c r="D112" s="34">
        <f>(C112-C111)/C111</f>
        <v/>
      </c>
    </row>
    <row r="113">
      <c r="B113" s="160" t="n">
        <v>43769</v>
      </c>
      <c r="C113" s="167" t="n">
        <v>615.860656738281</v>
      </c>
      <c r="D113" s="34">
        <f>(C113-C112)/C112</f>
        <v/>
      </c>
    </row>
    <row r="114">
      <c r="B114" s="160" t="n">
        <v>43799</v>
      </c>
      <c r="C114" s="167" t="n">
        <v>649.279357910156</v>
      </c>
      <c r="D114" s="34">
        <f>(C114-C113)/C113</f>
        <v/>
      </c>
    </row>
    <row r="115">
      <c r="B115" s="160" t="n">
        <v>43830</v>
      </c>
      <c r="C115" s="167" t="n">
        <v>636.102905273438</v>
      </c>
      <c r="D115" s="34">
        <f>(C115-C114)/C114</f>
        <v/>
      </c>
    </row>
    <row r="116">
      <c r="B116" s="160" t="n">
        <v>43861</v>
      </c>
      <c r="C116" s="167" t="n">
        <v>646.033081054688</v>
      </c>
      <c r="D116" s="34">
        <f>(C116-C115)/C115</f>
        <v/>
      </c>
    </row>
    <row r="117">
      <c r="B117" s="160" t="n">
        <v>43890</v>
      </c>
      <c r="C117" s="167" t="n">
        <v>601.538330078125</v>
      </c>
      <c r="D117" s="34">
        <f>(C117-C116)/C116</f>
        <v/>
      </c>
    </row>
    <row r="118">
      <c r="B118" s="160" t="n">
        <v>43921</v>
      </c>
      <c r="C118" s="167" t="n">
        <v>600.392517089844</v>
      </c>
      <c r="D118" s="34">
        <f>(C118-C117)/C117</f>
        <v/>
      </c>
    </row>
    <row r="119">
      <c r="B119" s="160" t="n">
        <v>43951</v>
      </c>
      <c r="C119" s="167" t="n">
        <v>639.140808105469</v>
      </c>
      <c r="D119" s="34">
        <f>(C119-C118)/C118</f>
        <v/>
      </c>
    </row>
    <row r="120">
      <c r="B120" s="160" t="n">
        <v>43982</v>
      </c>
      <c r="C120" s="167" t="n">
        <v>718.90576171875</v>
      </c>
      <c r="D120" s="34">
        <f>(C120-C119)/C119</f>
        <v/>
      </c>
    </row>
    <row r="121">
      <c r="B121" s="160" t="n">
        <v>44012</v>
      </c>
      <c r="C121" s="167" t="n">
        <v>715.060302734375</v>
      </c>
      <c r="D121" s="34">
        <f>(C121-C120)/C120</f>
        <v/>
      </c>
    </row>
    <row r="122">
      <c r="B122" s="160" t="n">
        <v>44043</v>
      </c>
      <c r="C122" s="167" t="n">
        <v>659.685974121094</v>
      </c>
      <c r="D122" s="34">
        <f>(C122-C121)/C121</f>
        <v/>
      </c>
    </row>
    <row r="123">
      <c r="B123" s="160" t="n">
        <v>44074</v>
      </c>
      <c r="C123" s="167" t="n">
        <v>691.603210449219</v>
      </c>
      <c r="D123" s="34">
        <f>(C123-C122)/C122</f>
        <v/>
      </c>
    </row>
    <row r="124">
      <c r="B124" s="160" t="n">
        <v>44104</v>
      </c>
      <c r="C124" s="167" t="n">
        <v>707.754028320313</v>
      </c>
      <c r="D124" s="34">
        <f>(C124-C123)/C123</f>
        <v/>
      </c>
    </row>
    <row r="125">
      <c r="B125" s="160" t="n">
        <v>44135</v>
      </c>
      <c r="C125" s="167" t="n">
        <v>768.127563476563</v>
      </c>
      <c r="D125" s="34">
        <f>(C125-C124)/C124</f>
        <v/>
      </c>
    </row>
    <row r="126">
      <c r="B126" s="160" t="n">
        <v>44165</v>
      </c>
      <c r="C126" s="167" t="n">
        <v>785.816528320313</v>
      </c>
      <c r="D126" s="34">
        <f>(C126-C125)/C125</f>
        <v/>
      </c>
    </row>
    <row r="127">
      <c r="B127" s="160" t="n">
        <v>44196</v>
      </c>
      <c r="C127" s="167" t="n">
        <v>845.613159179688</v>
      </c>
      <c r="D127" s="34">
        <f>(C127-C126)/C126</f>
        <v/>
      </c>
    </row>
    <row r="128">
      <c r="B128" s="160" t="n">
        <v>44227</v>
      </c>
      <c r="C128" s="167" t="n">
        <v>810.042846679688</v>
      </c>
      <c r="D128" s="34">
        <f>(C128-C127)/C127</f>
        <v/>
      </c>
    </row>
    <row r="129">
      <c r="B129" s="160" t="n">
        <v>44255</v>
      </c>
      <c r="C129" s="167" t="n">
        <v>887.528503417969</v>
      </c>
      <c r="D129" s="34">
        <f>(C129-C128)/C128</f>
        <v/>
      </c>
    </row>
    <row r="130">
      <c r="B130" s="160" t="n">
        <v>44286</v>
      </c>
      <c r="C130" s="167" t="n">
        <v>907.524841308594</v>
      </c>
      <c r="D130" s="34">
        <f>(C130-C129)/C129</f>
        <v/>
      </c>
    </row>
    <row r="131">
      <c r="B131" s="160" t="n">
        <v>44316</v>
      </c>
      <c r="C131" s="167" t="n">
        <v>1005.28448486328</v>
      </c>
      <c r="D131" s="34">
        <f>(C131-C130)/C130</f>
        <v/>
      </c>
    </row>
    <row r="132">
      <c r="B132" s="160" t="n">
        <v>44347</v>
      </c>
      <c r="C132" s="167" t="n">
        <v>1109.76086425781</v>
      </c>
      <c r="D132" s="34">
        <f>(C132-C131)/C131</f>
        <v/>
      </c>
    </row>
    <row r="133">
      <c r="B133" s="160" t="n">
        <v>44377</v>
      </c>
      <c r="C133" s="167" t="n">
        <v>1186.3193359375</v>
      </c>
      <c r="D133" s="34">
        <f>(C133-C132)/C132</f>
        <v/>
      </c>
    </row>
    <row r="134">
      <c r="B134" s="160" t="n">
        <v>44408</v>
      </c>
      <c r="C134" s="167" t="n">
        <v>1244.74206542969</v>
      </c>
      <c r="D134" s="34">
        <f>(C134-C133)/C133</f>
        <v/>
      </c>
    </row>
    <row r="135">
      <c r="B135" s="160" t="n">
        <v>44439</v>
      </c>
      <c r="C135" s="167" t="n">
        <v>1201.76977539063</v>
      </c>
      <c r="D135" s="34">
        <f>(C135-C134)/C134</f>
        <v/>
      </c>
    </row>
    <row r="136">
      <c r="B136" s="160" t="n">
        <v>44469</v>
      </c>
      <c r="C136" s="167" t="n">
        <v>1155.41796875</v>
      </c>
      <c r="D136" s="34">
        <f>(C136-C135)/C135</f>
        <v/>
      </c>
    </row>
    <row r="137">
      <c r="B137" s="160" t="n">
        <v>44500</v>
      </c>
      <c r="C137" s="167" t="n">
        <v>1323.44372558594</v>
      </c>
      <c r="D137" s="34">
        <f>(C137-C136)/C136</f>
        <v/>
      </c>
    </row>
    <row r="138">
      <c r="B138" s="160" t="n">
        <v>44530</v>
      </c>
      <c r="C138" s="167" t="n">
        <v>1596.244140625</v>
      </c>
      <c r="D138" s="34">
        <f>(C138-C137)/C137</f>
        <v/>
      </c>
    </row>
    <row r="139">
      <c r="B139" s="160" t="n">
        <v>44561</v>
      </c>
      <c r="C139" s="167" t="n">
        <v>1483.26123046875</v>
      </c>
      <c r="D139" s="34">
        <f>(C139-C138)/C138</f>
        <v/>
      </c>
    </row>
    <row r="140">
      <c r="B140" s="160" t="n">
        <v>44592</v>
      </c>
      <c r="C140" s="167" t="n">
        <v>1273.22912597656</v>
      </c>
      <c r="D140" s="34">
        <f>(C140-C139)/C139</f>
        <v/>
      </c>
    </row>
    <row r="141">
      <c r="B141" s="160" t="n">
        <v>44620</v>
      </c>
      <c r="C141" s="167" t="n">
        <v>1199.35583496094</v>
      </c>
      <c r="D141" s="34">
        <f>(C141-C140)/C140</f>
        <v/>
      </c>
    </row>
    <row r="142">
      <c r="B142" s="160" t="n">
        <v>44651</v>
      </c>
      <c r="C142" s="167" t="n">
        <v>1249.75341796875</v>
      </c>
      <c r="D142" s="34">
        <f>(C142-C141)/C141</f>
        <v/>
      </c>
    </row>
    <row r="143">
      <c r="B143" s="160" t="n">
        <v>44681</v>
      </c>
      <c r="C143" s="167" t="n">
        <v>1148.1474609375</v>
      </c>
      <c r="D143" s="34">
        <f>(C143-C142)/C142</f>
        <v/>
      </c>
    </row>
    <row r="144">
      <c r="B144" s="160" t="n">
        <v>44712</v>
      </c>
      <c r="C144" s="167" t="n">
        <v>1078.93505859375</v>
      </c>
      <c r="D144" s="34">
        <f>(C144-C143)/C143</f>
        <v/>
      </c>
    </row>
    <row r="145">
      <c r="B145" s="160" t="n">
        <v>44742</v>
      </c>
      <c r="C145" s="167" t="n">
        <v>1037.13818359375</v>
      </c>
      <c r="D145" s="34">
        <f>(C145-C144)/C144</f>
        <v/>
      </c>
    </row>
    <row r="146">
      <c r="B146" s="160" t="n">
        <v>44773</v>
      </c>
      <c r="C146" s="167" t="n">
        <v>1296.66577148438</v>
      </c>
      <c r="D146" s="34">
        <f>(C146-C145)/C145</f>
        <v/>
      </c>
    </row>
    <row r="147">
      <c r="B147" s="160" t="n">
        <v>44804</v>
      </c>
      <c r="C147" s="167" t="n">
        <v>1246.60729980469</v>
      </c>
      <c r="D147" s="34">
        <f>(C147-C146)/C146</f>
        <v/>
      </c>
    </row>
    <row r="148">
      <c r="B148" s="160" t="n">
        <v>44834</v>
      </c>
      <c r="C148" s="167" t="n">
        <v>1182.94030761719</v>
      </c>
      <c r="D148" s="34">
        <f>(C148-C147)/C147</f>
        <v/>
      </c>
    </row>
    <row r="149">
      <c r="B149" s="160" t="n">
        <v>44865</v>
      </c>
      <c r="C149" s="167" t="n">
        <v>1273.82360839844</v>
      </c>
      <c r="D149" s="34">
        <f>(C149-C148)/C148</f>
        <v/>
      </c>
    </row>
    <row r="150">
      <c r="B150" s="160" t="n">
        <v>44895</v>
      </c>
      <c r="C150" s="167" t="n">
        <v>1499.33093261719</v>
      </c>
      <c r="D150" s="34">
        <f>(C150-C149)/C149</f>
        <v/>
      </c>
    </row>
    <row r="151">
      <c r="B151" s="160" t="n">
        <v>44926</v>
      </c>
      <c r="C151" s="167" t="n">
        <v>1404.55932617188</v>
      </c>
      <c r="D151" s="34">
        <f>(C151-C150)/C150</f>
        <v/>
      </c>
    </row>
    <row r="152">
      <c r="B152" s="160" t="n">
        <v>44957</v>
      </c>
      <c r="C152" s="167" t="n">
        <v>1666.51696777344</v>
      </c>
      <c r="D152" s="34">
        <f>(C152-C151)/C151</f>
        <v/>
      </c>
    </row>
    <row r="153">
      <c r="B153" s="160" t="n">
        <v>44985</v>
      </c>
      <c r="C153" s="167" t="n">
        <v>1667.48901367188</v>
      </c>
      <c r="D153" s="34">
        <f>(C153-C152)/C152</f>
        <v/>
      </c>
    </row>
    <row r="154">
      <c r="B154" s="160" t="n">
        <v>45016</v>
      </c>
      <c r="C154" s="167" t="n">
        <v>1815.47021484375</v>
      </c>
      <c r="D154" s="34">
        <f>(C154-C153)/C153</f>
        <v/>
      </c>
    </row>
    <row r="155">
      <c r="B155" s="160" t="n">
        <v>45046</v>
      </c>
      <c r="C155" s="167" t="n">
        <v>1915.59399414063</v>
      </c>
      <c r="D155" s="34">
        <f>(C155-C154)/C154</f>
        <v/>
      </c>
    </row>
    <row r="156">
      <c r="B156" s="160" t="n">
        <v>45077</v>
      </c>
      <c r="C156" s="167" t="n">
        <v>1861.06481933594</v>
      </c>
      <c r="D156" s="34">
        <f>(C156-C155)/C155</f>
        <v/>
      </c>
    </row>
    <row r="157">
      <c r="B157" s="160" t="n">
        <v>45107</v>
      </c>
      <c r="C157" s="167" t="n">
        <v>1947.37561035156</v>
      </c>
      <c r="D157" s="34">
        <f>(C157-C156)/C156</f>
        <v/>
      </c>
    </row>
    <row r="158">
      <c r="B158" s="160" t="n">
        <v>45138</v>
      </c>
      <c r="C158" s="167" t="n">
        <v>1973.30786132813</v>
      </c>
      <c r="D158" s="34">
        <f>(C158-C157)/C157</f>
        <v/>
      </c>
    </row>
    <row r="159">
      <c r="B159" s="160" t="n">
        <v>45169</v>
      </c>
      <c r="C159" s="167" t="n">
        <v>1860.08630371094</v>
      </c>
      <c r="D159" s="34">
        <f>(C159-C158)/C158</f>
        <v/>
      </c>
    </row>
    <row r="160">
      <c r="B160" s="160" t="n">
        <v>45199</v>
      </c>
      <c r="C160" s="167" t="n">
        <v>1692.7490234375</v>
      </c>
      <c r="D160" s="34">
        <f>(C160-C159)/C159</f>
        <v/>
      </c>
    </row>
    <row r="161">
      <c r="B161" s="160" t="n">
        <v>45230</v>
      </c>
      <c r="C161" s="167" t="n">
        <v>1721.91064453125</v>
      </c>
      <c r="D161" s="34">
        <f>(C161-C160)/C160</f>
        <v/>
      </c>
    </row>
    <row r="162">
      <c r="B162" s="160" t="n">
        <v>45260</v>
      </c>
      <c r="C162" s="167" t="n">
        <v>1863.41333007813</v>
      </c>
      <c r="D162" s="34">
        <f>(C162-C161)/C161</f>
        <v/>
      </c>
    </row>
    <row r="163">
      <c r="B163" s="160" t="n">
        <v>45291</v>
      </c>
      <c r="C163" s="167" t="n">
        <v>1877.70068359375</v>
      </c>
      <c r="D163" s="34">
        <f>(C163-C162)/C162</f>
        <v/>
      </c>
    </row>
    <row r="164">
      <c r="B164" s="160" t="n">
        <v>45322</v>
      </c>
      <c r="C164" s="167" t="n">
        <v>1915.86535644531</v>
      </c>
      <c r="D164" s="34">
        <f>(C164-C163)/C163</f>
        <v/>
      </c>
    </row>
    <row r="165">
      <c r="B165" s="160" t="n">
        <v>45351</v>
      </c>
      <c r="C165" s="167" t="n">
        <v>2263.45727539063</v>
      </c>
      <c r="D165" s="34">
        <f>(C165-C164)/C164</f>
        <v/>
      </c>
    </row>
    <row r="166">
      <c r="B166" s="160" t="n">
        <v>45382</v>
      </c>
      <c r="C166" s="167" t="n">
        <v>2319.03564453125</v>
      </c>
      <c r="D166" s="34">
        <f>(C166-C165)/C165</f>
        <v/>
      </c>
    </row>
    <row r="167">
      <c r="B167" s="160" t="n">
        <v>45412</v>
      </c>
      <c r="C167" s="167" t="n">
        <v>2206.318359375</v>
      </c>
      <c r="D167" s="34">
        <f>(C167-C166)/C166</f>
        <v/>
      </c>
    </row>
    <row r="168">
      <c r="B168" s="160" t="n">
        <v>45443</v>
      </c>
      <c r="C168" s="167" t="n">
        <v>2132.80712890625</v>
      </c>
      <c r="D168" s="34">
        <f>(C168-C167)/C167</f>
        <v/>
      </c>
    </row>
    <row r="169">
      <c r="B169" s="160" t="n">
        <v>45473</v>
      </c>
      <c r="C169" s="167" t="n">
        <v>2117.7490234375</v>
      </c>
      <c r="D169" s="34">
        <f>(C169-C168)/C168</f>
        <v/>
      </c>
    </row>
    <row r="170">
      <c r="B170" s="160" t="n">
        <v>45504</v>
      </c>
      <c r="C170" s="167" t="n">
        <v>2001.96545410156</v>
      </c>
      <c r="D170" s="34">
        <f>(C170-C169)/C169</f>
        <v/>
      </c>
    </row>
    <row r="171">
      <c r="B171" s="160" t="n">
        <v>45535</v>
      </c>
      <c r="C171" s="167" t="n">
        <v>2146.44750976563</v>
      </c>
      <c r="D171" s="34">
        <f>(C171-C170)/C170</f>
        <v/>
      </c>
    </row>
    <row r="172">
      <c r="B172" s="160" t="n">
        <v>45565</v>
      </c>
      <c r="C172" s="167" t="n">
        <v>2183.06274414063</v>
      </c>
      <c r="D172" s="34">
        <f>(C172-C171)/C171</f>
        <v/>
      </c>
    </row>
    <row r="173">
      <c r="B173" s="160" t="n">
        <v>45596</v>
      </c>
      <c r="C173" s="167" t="n">
        <v>2052.43505859375</v>
      </c>
      <c r="D173" s="34">
        <f>(C173-C172)/C172</f>
        <v/>
      </c>
    </row>
    <row r="174">
      <c r="B174" s="160" t="n">
        <v>45626</v>
      </c>
      <c r="C174" s="167" t="n">
        <v>2043.52880859375</v>
      </c>
      <c r="D174" s="34">
        <f>(C174-C173)/C173</f>
        <v/>
      </c>
    </row>
    <row r="175">
      <c r="B175" s="160" t="n">
        <v>45657</v>
      </c>
      <c r="C175" s="167" t="n">
        <v>2297.85668945313</v>
      </c>
      <c r="D175" s="34">
        <f>(C175-C174)/C174</f>
        <v/>
      </c>
    </row>
    <row r="176">
      <c r="B176" s="160" t="n">
        <v>45688</v>
      </c>
      <c r="C176" s="167" t="n">
        <v>2695.6767578125</v>
      </c>
      <c r="D176" s="34">
        <f>(C176-C175)/C175</f>
        <v/>
      </c>
    </row>
    <row r="177">
      <c r="B177" s="160" t="n">
        <v>45716</v>
      </c>
      <c r="C177" s="167" t="n">
        <v>2708.54150390625</v>
      </c>
      <c r="D177" s="34">
        <f>(C177-C176)/C176</f>
        <v/>
      </c>
    </row>
    <row r="178">
      <c r="B178" s="160" t="n">
        <v>45747</v>
      </c>
      <c r="C178" s="167" t="n">
        <v>2388.87622070313</v>
      </c>
      <c r="D178" s="34">
        <f>(C178-C177)/C177</f>
        <v/>
      </c>
    </row>
    <row r="179">
      <c r="B179" s="160" t="n">
        <v>45777</v>
      </c>
      <c r="C179" s="167" t="n">
        <v>2369.05981445313</v>
      </c>
      <c r="D179" s="34">
        <f>(C179-C178)/C178</f>
        <v/>
      </c>
    </row>
    <row r="180">
      <c r="B180" s="160" t="n">
        <v>45808</v>
      </c>
      <c r="C180" s="167" t="n">
        <v>2405.72021484375</v>
      </c>
      <c r="D180" s="34">
        <f>(C180-C179)/C179</f>
        <v/>
      </c>
    </row>
    <row r="181">
      <c r="B181" s="160" t="n">
        <v>45838</v>
      </c>
      <c r="C181" s="167" t="n">
        <v>2299</v>
      </c>
      <c r="D181" s="34">
        <f>(C181-C180)/C180</f>
        <v/>
      </c>
    </row>
    <row r="182">
      <c r="B182" s="160" t="n">
        <v>45869</v>
      </c>
      <c r="C182" s="167" t="n">
        <v>2151</v>
      </c>
      <c r="D182" s="34">
        <f>(C182-C181)/C181</f>
        <v/>
      </c>
    </row>
    <row r="183">
      <c r="B183" s="160" t="n">
        <v>45900</v>
      </c>
      <c r="C183" s="167" t="n">
        <v>2091</v>
      </c>
      <c r="D183" s="34">
        <f>(C183-C182)/C182</f>
        <v/>
      </c>
    </row>
  </sheetData>
  <pageMargins left="0.7" right="0.7" top="0.75" bottom="0.75" header="0.3" footer="0.3"/>
</worksheet>
</file>

<file path=xl/worksheets/sheet18.xml><?xml version="1.0" encoding="utf-8"?>
<worksheet xmlns="http://schemas.openxmlformats.org/spreadsheetml/2006/main">
  <sheetPr>
    <tabColor theme="7" tint="0.7999816888943144"/>
    <outlinePr summaryBelow="1" summaryRight="1"/>
    <pageSetUpPr/>
  </sheetPr>
  <dimension ref="B2:D183"/>
  <sheetViews>
    <sheetView showGridLines="0" workbookViewId="0">
      <selection activeCell="N31" sqref="N31"/>
    </sheetView>
  </sheetViews>
  <sheetFormatPr baseColWidth="10" defaultColWidth="10.83203125" defaultRowHeight="15"/>
  <cols>
    <col width="12.6640625" bestFit="1" customWidth="1" min="3" max="3"/>
  </cols>
  <sheetData>
    <row r="2">
      <c r="B2" s="30" t="inlineStr">
        <is>
          <t>Date</t>
        </is>
      </c>
      <c r="C2" t="inlineStr">
        <is>
          <t>RI.PA</t>
        </is>
      </c>
      <c r="D2" t="inlineStr">
        <is>
          <t>Monthly Return</t>
        </is>
      </c>
    </row>
    <row r="3">
      <c r="B3" s="160" t="inlineStr">
        <is>
          <t>2010-08</t>
        </is>
      </c>
      <c r="C3" s="167" t="n">
        <v>44.549373626709</v>
      </c>
    </row>
    <row r="4">
      <c r="B4" s="160" t="n">
        <v>40451</v>
      </c>
      <c r="C4" s="167" t="n">
        <v>44.2316398620606</v>
      </c>
      <c r="D4" s="34">
        <f>(C4-C3)/C3</f>
        <v/>
      </c>
    </row>
    <row r="5">
      <c r="B5" s="160" t="n">
        <v>40482</v>
      </c>
      <c r="C5" s="167" t="n">
        <v>46.0081100463867</v>
      </c>
      <c r="D5" s="34">
        <f>(C5-C4)/C4</f>
        <v/>
      </c>
    </row>
    <row r="6">
      <c r="B6" s="160" t="n">
        <v>40512</v>
      </c>
      <c r="C6" s="167" t="n">
        <v>45.3437461853027</v>
      </c>
      <c r="D6" s="34">
        <f>(C6-C5)/C5</f>
        <v/>
      </c>
    </row>
    <row r="7">
      <c r="B7" s="160" t="n">
        <v>40543</v>
      </c>
      <c r="C7" s="167" t="n">
        <v>51.4040641784668</v>
      </c>
      <c r="D7" s="34">
        <f>(C7-C6)/C6</f>
        <v/>
      </c>
    </row>
    <row r="8">
      <c r="B8" s="160" t="n">
        <v>40574</v>
      </c>
      <c r="C8" s="167" t="n">
        <v>50.8707389831543</v>
      </c>
      <c r="D8" s="34">
        <f>(C8-C7)/C7</f>
        <v/>
      </c>
    </row>
    <row r="9">
      <c r="B9" s="160" t="n">
        <v>40602</v>
      </c>
      <c r="C9" s="167" t="n">
        <v>48.810474395752</v>
      </c>
      <c r="D9" s="34">
        <f>(C9-C8)/C8</f>
        <v/>
      </c>
    </row>
    <row r="10">
      <c r="B10" s="160" t="n">
        <v>40633</v>
      </c>
      <c r="C10" s="167" t="n">
        <v>48.1456489562988</v>
      </c>
      <c r="D10" s="34">
        <f>(C10-C9)/C9</f>
        <v/>
      </c>
    </row>
    <row r="11">
      <c r="B11" s="160" t="n">
        <v>40663</v>
      </c>
      <c r="C11" s="167" t="n">
        <v>49.5776100158691</v>
      </c>
      <c r="D11" s="34">
        <f>(C11-C10)/C10</f>
        <v/>
      </c>
    </row>
    <row r="12">
      <c r="B12" s="160" t="n">
        <v>40694</v>
      </c>
      <c r="C12" s="167" t="n">
        <v>51.2506523132324</v>
      </c>
      <c r="D12" s="34">
        <f>(C12-C11)/C11</f>
        <v/>
      </c>
    </row>
    <row r="13">
      <c r="B13" s="160" t="n">
        <v>40724</v>
      </c>
      <c r="C13" s="167" t="n">
        <v>49.6579704284668</v>
      </c>
      <c r="D13" s="34">
        <f>(C13-C12)/C12</f>
        <v/>
      </c>
    </row>
    <row r="14">
      <c r="B14" s="160" t="n">
        <v>40755</v>
      </c>
      <c r="C14" s="167" t="n">
        <v>50.4981193542481</v>
      </c>
      <c r="D14" s="34">
        <f>(C14-C13)/C13</f>
        <v/>
      </c>
    </row>
    <row r="15">
      <c r="B15" s="160" t="n">
        <v>40786</v>
      </c>
      <c r="C15" s="167" t="n">
        <v>46.1162490844727</v>
      </c>
      <c r="D15" s="34">
        <f>(C15-C14)/C14</f>
        <v/>
      </c>
    </row>
    <row r="16">
      <c r="B16" s="160" t="n">
        <v>40816</v>
      </c>
      <c r="C16" s="167" t="n">
        <v>43.4082946777344</v>
      </c>
      <c r="D16" s="34">
        <f>(C16-C15)/C15</f>
        <v/>
      </c>
    </row>
    <row r="17">
      <c r="B17" s="160" t="n">
        <v>40847</v>
      </c>
      <c r="C17" s="167" t="n">
        <v>49.8055381774902</v>
      </c>
      <c r="D17" s="34">
        <f>(C17-C16)/C16</f>
        <v/>
      </c>
    </row>
    <row r="18">
      <c r="B18" s="160" t="n">
        <v>40877</v>
      </c>
      <c r="C18" s="167" t="n">
        <v>51.6797065734863</v>
      </c>
      <c r="D18" s="34">
        <f>(C18-C17)/C17</f>
        <v/>
      </c>
    </row>
    <row r="19">
      <c r="B19" s="160" t="n">
        <v>40908</v>
      </c>
      <c r="C19" s="167" t="n">
        <v>53.4864463806152</v>
      </c>
      <c r="D19" s="34">
        <f>(C19-C18)/C18</f>
        <v/>
      </c>
    </row>
    <row r="20">
      <c r="B20" s="160" t="n">
        <v>40939</v>
      </c>
      <c r="C20" s="167" t="n">
        <v>54.7776947021484</v>
      </c>
      <c r="D20" s="34">
        <f>(C20-C19)/C19</f>
        <v/>
      </c>
    </row>
    <row r="21">
      <c r="B21" s="160" t="n">
        <v>40968</v>
      </c>
      <c r="C21" s="167" t="n">
        <v>57.9648132324219</v>
      </c>
      <c r="D21" s="34">
        <f>(C21-C20)/C20</f>
        <v/>
      </c>
    </row>
    <row r="22">
      <c r="B22" s="160" t="n">
        <v>40999</v>
      </c>
      <c r="C22" s="167" t="n">
        <v>58.5171203613281</v>
      </c>
      <c r="D22" s="34">
        <f>(C22-C21)/C21</f>
        <v/>
      </c>
    </row>
    <row r="23">
      <c r="B23" s="160" t="n">
        <v>41029</v>
      </c>
      <c r="C23" s="167" t="n">
        <v>58.5245933532715</v>
      </c>
      <c r="D23" s="34">
        <f>(C23-C22)/C22</f>
        <v/>
      </c>
    </row>
    <row r="24">
      <c r="B24" s="160" t="n">
        <v>41060</v>
      </c>
      <c r="C24" s="167" t="n">
        <v>58.9649505615234</v>
      </c>
      <c r="D24" s="34">
        <f>(C24-C23)/C23</f>
        <v/>
      </c>
    </row>
    <row r="25">
      <c r="B25" s="160" t="n">
        <v>41090</v>
      </c>
      <c r="C25" s="167" t="n">
        <v>62.8909873962402</v>
      </c>
      <c r="D25" s="34">
        <f>(C25-C24)/C24</f>
        <v/>
      </c>
    </row>
    <row r="26">
      <c r="B26" s="160" t="n">
        <v>41121</v>
      </c>
      <c r="C26" s="167" t="n">
        <v>65.3167419433594</v>
      </c>
      <c r="D26" s="34">
        <f>(C26-C25)/C25</f>
        <v/>
      </c>
    </row>
    <row r="27">
      <c r="B27" s="160" t="n">
        <v>41152</v>
      </c>
      <c r="C27" s="167" t="n">
        <v>64.494499206543</v>
      </c>
      <c r="D27" s="34">
        <f>(C27-C26)/C26</f>
        <v/>
      </c>
    </row>
    <row r="28">
      <c r="B28" s="160" t="n">
        <v>41182</v>
      </c>
      <c r="C28" s="167" t="n">
        <v>65.729133605957</v>
      </c>
      <c r="D28" s="34">
        <f>(C28-C27)/C27</f>
        <v/>
      </c>
    </row>
    <row r="29">
      <c r="B29" s="160" t="n">
        <v>41213</v>
      </c>
      <c r="C29" s="167" t="n">
        <v>62.5070495605469</v>
      </c>
      <c r="D29" s="34">
        <f>(C29-C28)/C28</f>
        <v/>
      </c>
    </row>
    <row r="30">
      <c r="B30" s="160" t="n">
        <v>41243</v>
      </c>
      <c r="C30" s="167" t="n">
        <v>65.5409317016602</v>
      </c>
      <c r="D30" s="34">
        <f>(C30-C29)/C29</f>
        <v/>
      </c>
    </row>
    <row r="31">
      <c r="B31" s="160" t="n">
        <v>41274</v>
      </c>
      <c r="C31" s="167" t="n">
        <v>66.5069274902344</v>
      </c>
      <c r="D31" s="34">
        <f>(C31-C30)/C30</f>
        <v/>
      </c>
    </row>
    <row r="32">
      <c r="B32" s="160" t="n">
        <v>41305</v>
      </c>
      <c r="C32" s="167" t="n">
        <v>70.1273727416992</v>
      </c>
      <c r="D32" s="34">
        <f>(C32-C31)/C31</f>
        <v/>
      </c>
    </row>
    <row r="33">
      <c r="B33" s="160" t="n">
        <v>41333</v>
      </c>
      <c r="C33" s="167" t="n">
        <v>75.59609222412109</v>
      </c>
      <c r="D33" s="34">
        <f>(C33-C32)/C32</f>
        <v/>
      </c>
    </row>
    <row r="34">
      <c r="B34" s="160" t="n">
        <v>41364</v>
      </c>
      <c r="C34" s="167" t="n">
        <v>73.9379959106445</v>
      </c>
      <c r="D34" s="34">
        <f>(C34-C33)/C33</f>
        <v/>
      </c>
    </row>
    <row r="35">
      <c r="B35" s="160" t="n">
        <v>41394</v>
      </c>
      <c r="C35" s="167" t="n">
        <v>71.49648284912109</v>
      </c>
      <c r="D35" s="34">
        <f>(C35-C34)/C34</f>
        <v/>
      </c>
    </row>
    <row r="36">
      <c r="B36" s="160" t="n">
        <v>41425</v>
      </c>
      <c r="C36" s="167" t="n">
        <v>70.5000915527344</v>
      </c>
      <c r="D36" s="34">
        <f>(C36-C35)/C35</f>
        <v/>
      </c>
    </row>
    <row r="37">
      <c r="B37" s="160" t="n">
        <v>41455</v>
      </c>
      <c r="C37" s="167" t="n">
        <v>64.7955780029297</v>
      </c>
      <c r="D37" s="34">
        <f>(C37-C36)/C36</f>
        <v/>
      </c>
    </row>
    <row r="38">
      <c r="B38" s="160" t="n">
        <v>41486</v>
      </c>
      <c r="C38" s="167" t="n">
        <v>68.0737991333008</v>
      </c>
      <c r="D38" s="34">
        <f>(C38-C37)/C37</f>
        <v/>
      </c>
    </row>
    <row r="39">
      <c r="B39" s="160" t="n">
        <v>41517</v>
      </c>
      <c r="C39" s="167" t="n">
        <v>67.4170761108398</v>
      </c>
      <c r="D39" s="34">
        <f>(C39-C38)/C38</f>
        <v/>
      </c>
    </row>
    <row r="40">
      <c r="B40" s="160" t="n">
        <v>41547</v>
      </c>
      <c r="C40" s="167" t="n">
        <v>70.44870758056641</v>
      </c>
      <c r="D40" s="34">
        <f>(C40-C39)/C39</f>
        <v/>
      </c>
    </row>
    <row r="41">
      <c r="B41" s="160" t="n">
        <v>41578</v>
      </c>
      <c r="C41" s="167" t="n">
        <v>67.9236297607422</v>
      </c>
      <c r="D41" s="34">
        <f>(C41-C40)/C40</f>
        <v/>
      </c>
    </row>
    <row r="42">
      <c r="B42" s="160" t="n">
        <v>41608</v>
      </c>
      <c r="C42" s="167" t="n">
        <v>64.0324172973633</v>
      </c>
      <c r="D42" s="34">
        <f>(C42-C41)/C41</f>
        <v/>
      </c>
    </row>
    <row r="43">
      <c r="B43" s="160" t="n">
        <v>41639</v>
      </c>
      <c r="C43" s="167" t="n">
        <v>64.16802978515631</v>
      </c>
      <c r="D43" s="34">
        <f>(C43-C42)/C42</f>
        <v/>
      </c>
    </row>
    <row r="44">
      <c r="B44" s="160" t="n">
        <v>41670</v>
      </c>
      <c r="C44" s="167" t="n">
        <v>61.7116661071777</v>
      </c>
      <c r="D44" s="34">
        <f>(C44-C43)/C43</f>
        <v/>
      </c>
    </row>
    <row r="45">
      <c r="B45" s="160" t="n">
        <v>41698</v>
      </c>
      <c r="C45" s="167" t="n">
        <v>66.0897521972656</v>
      </c>
      <c r="D45" s="34">
        <f>(C45-C44)/C44</f>
        <v/>
      </c>
    </row>
    <row r="46">
      <c r="B46" s="160" t="n">
        <v>41729</v>
      </c>
      <c r="C46" s="167" t="n">
        <v>65.4775772094727</v>
      </c>
      <c r="D46" s="34">
        <f>(C46-C45)/C45</f>
        <v/>
      </c>
    </row>
    <row r="47">
      <c r="B47" s="160" t="n">
        <v>41759</v>
      </c>
      <c r="C47" s="167" t="n">
        <v>67.03509521484381</v>
      </c>
      <c r="D47" s="34">
        <f>(C47-C46)/C46</f>
        <v/>
      </c>
    </row>
    <row r="48">
      <c r="B48" s="160" t="n">
        <v>41790</v>
      </c>
      <c r="C48" s="167" t="n">
        <v>69.70068359375</v>
      </c>
      <c r="D48" s="34">
        <f>(C48-C47)/C47</f>
        <v/>
      </c>
    </row>
    <row r="49">
      <c r="B49" s="160" t="n">
        <v>41820</v>
      </c>
      <c r="C49" s="167" t="n">
        <v>67.9571838378906</v>
      </c>
      <c r="D49" s="34">
        <f>(C49-C48)/C48</f>
        <v/>
      </c>
    </row>
    <row r="50">
      <c r="B50" s="160" t="n">
        <v>41851</v>
      </c>
      <c r="C50" s="167" t="n">
        <v>64.8576736450195</v>
      </c>
      <c r="D50" s="34">
        <f>(C50-C49)/C49</f>
        <v/>
      </c>
    </row>
    <row r="51">
      <c r="B51" s="160" t="n">
        <v>41882</v>
      </c>
      <c r="C51" s="167" t="n">
        <v>70.18919372558589</v>
      </c>
      <c r="D51" s="34">
        <f>(C51-C50)/C50</f>
        <v/>
      </c>
    </row>
    <row r="52">
      <c r="B52" s="160" t="n">
        <v>41912</v>
      </c>
      <c r="C52" s="167" t="n">
        <v>70.11097717285161</v>
      </c>
      <c r="D52" s="34">
        <f>(C52-C51)/C51</f>
        <v/>
      </c>
    </row>
    <row r="53">
      <c r="B53" s="160" t="n">
        <v>41943</v>
      </c>
      <c r="C53" s="167" t="n">
        <v>71.0417098999023</v>
      </c>
      <c r="D53" s="34">
        <f>(C53-C52)/C52</f>
        <v/>
      </c>
    </row>
    <row r="54">
      <c r="B54" s="160" t="n">
        <v>41973</v>
      </c>
      <c r="C54" s="167" t="n">
        <v>74.5457305908203</v>
      </c>
      <c r="D54" s="34">
        <f>(C54-C53)/C53</f>
        <v/>
      </c>
    </row>
    <row r="55">
      <c r="B55" s="160" t="n">
        <v>42004</v>
      </c>
      <c r="C55" s="167" t="n">
        <v>72.812141418457</v>
      </c>
      <c r="D55" s="34">
        <f>(C55-C54)/C54</f>
        <v/>
      </c>
    </row>
    <row r="56">
      <c r="B56" s="160" t="n">
        <v>42035</v>
      </c>
      <c r="C56" s="167" t="n">
        <v>84.1293487548828</v>
      </c>
      <c r="D56" s="34">
        <f>(C56-C55)/C55</f>
        <v/>
      </c>
    </row>
    <row r="57">
      <c r="B57" s="160" t="n">
        <v>42063</v>
      </c>
      <c r="C57" s="167" t="n">
        <v>83.6163711547852</v>
      </c>
      <c r="D57" s="34">
        <f>(C57-C56)/C56</f>
        <v/>
      </c>
    </row>
    <row r="58">
      <c r="B58" s="160" t="n">
        <v>42094</v>
      </c>
      <c r="C58" s="167" t="n">
        <v>86.9310302734375</v>
      </c>
      <c r="D58" s="34">
        <f>(C58-C57)/C57</f>
        <v/>
      </c>
    </row>
    <row r="59">
      <c r="B59" s="160" t="n">
        <v>42124</v>
      </c>
      <c r="C59" s="167" t="n">
        <v>87.6018600463867</v>
      </c>
      <c r="D59" s="34">
        <f>(C59-C58)/C58</f>
        <v/>
      </c>
    </row>
    <row r="60">
      <c r="B60" s="160" t="n">
        <v>42155</v>
      </c>
      <c r="C60" s="167" t="n">
        <v>88.82513427734381</v>
      </c>
      <c r="D60" s="34">
        <f>(C60-C59)/C59</f>
        <v/>
      </c>
    </row>
    <row r="61">
      <c r="B61" s="160" t="n">
        <v>42185</v>
      </c>
      <c r="C61" s="167" t="n">
        <v>81.76171875</v>
      </c>
      <c r="D61" s="34">
        <f>(C61-C60)/C60</f>
        <v/>
      </c>
    </row>
    <row r="62">
      <c r="B62" s="160" t="n">
        <v>42216</v>
      </c>
      <c r="C62" s="167" t="n">
        <v>86.0629043579102</v>
      </c>
      <c r="D62" s="34">
        <f>(C62-C61)/C61</f>
        <v/>
      </c>
    </row>
    <row r="63">
      <c r="B63" s="160" t="n">
        <v>42247</v>
      </c>
      <c r="C63" s="167" t="n">
        <v>74.3931045532227</v>
      </c>
      <c r="D63" s="34">
        <f>(C63-C62)/C62</f>
        <v/>
      </c>
    </row>
    <row r="64">
      <c r="B64" s="160" t="n">
        <v>42277</v>
      </c>
      <c r="C64" s="167" t="n">
        <v>71.73619079589839</v>
      </c>
      <c r="D64" s="34">
        <f>(C64-C63)/C63</f>
        <v/>
      </c>
    </row>
    <row r="65">
      <c r="B65" s="160" t="n">
        <v>42308</v>
      </c>
      <c r="C65" s="167" t="n">
        <v>85.27524566650391</v>
      </c>
      <c r="D65" s="34">
        <f>(C65-C64)/C64</f>
        <v/>
      </c>
    </row>
    <row r="66">
      <c r="B66" s="160" t="n">
        <v>42338</v>
      </c>
      <c r="C66" s="167" t="n">
        <v>85.6729736328125</v>
      </c>
      <c r="D66" s="34">
        <f>(C66-C65)/C65</f>
        <v/>
      </c>
    </row>
    <row r="67">
      <c r="B67" s="160" t="n">
        <v>42369</v>
      </c>
      <c r="C67" s="167" t="n">
        <v>84.4655456542969</v>
      </c>
      <c r="D67" s="34">
        <f>(C67-C66)/C66</f>
        <v/>
      </c>
    </row>
    <row r="68">
      <c r="B68" s="160" t="n">
        <v>42400</v>
      </c>
      <c r="C68" s="167" t="n">
        <v>86.6735305786133</v>
      </c>
      <c r="D68" s="34">
        <f>(C68-C67)/C67</f>
        <v/>
      </c>
    </row>
    <row r="69">
      <c r="B69" s="160" t="n">
        <v>42429</v>
      </c>
      <c r="C69" s="167" t="n">
        <v>78.77296447753911</v>
      </c>
      <c r="D69" s="34">
        <f>(C69-C68)/C68</f>
        <v/>
      </c>
    </row>
    <row r="70">
      <c r="B70" s="160" t="n">
        <v>42460</v>
      </c>
      <c r="C70" s="167" t="n">
        <v>78.68463134765631</v>
      </c>
      <c r="D70" s="34">
        <f>(C70-C69)/C69</f>
        <v/>
      </c>
    </row>
    <row r="71">
      <c r="B71" s="160" t="n">
        <v>42490</v>
      </c>
      <c r="C71" s="167" t="n">
        <v>75.6978454589844</v>
      </c>
      <c r="D71" s="34">
        <f>(C71-C70)/C70</f>
        <v/>
      </c>
    </row>
    <row r="72">
      <c r="B72" s="160" t="n">
        <v>42521</v>
      </c>
      <c r="C72" s="167" t="n">
        <v>78.6123886108398</v>
      </c>
      <c r="D72" s="34">
        <f>(C72-C71)/C71</f>
        <v/>
      </c>
    </row>
    <row r="73">
      <c r="B73" s="160" t="n">
        <v>42551</v>
      </c>
      <c r="C73" s="167" t="n">
        <v>80.37074279785161</v>
      </c>
      <c r="D73" s="34">
        <f>(C73-C72)/C72</f>
        <v/>
      </c>
    </row>
    <row r="74">
      <c r="B74" s="160" t="n">
        <v>42582</v>
      </c>
      <c r="C74" s="167" t="n">
        <v>82.0568542480469</v>
      </c>
      <c r="D74" s="34">
        <f>(C74-C73)/C73</f>
        <v/>
      </c>
    </row>
    <row r="75">
      <c r="B75" s="160" t="n">
        <v>42613</v>
      </c>
      <c r="C75" s="167" t="n">
        <v>83.3716278076172</v>
      </c>
      <c r="D75" s="34">
        <f>(C75-C74)/C74</f>
        <v/>
      </c>
    </row>
    <row r="76">
      <c r="B76" s="160" t="n">
        <v>42643</v>
      </c>
      <c r="C76" s="167" t="n">
        <v>85.3566589355469</v>
      </c>
      <c r="D76" s="34">
        <f>(C76-C75)/C75</f>
        <v/>
      </c>
    </row>
    <row r="77">
      <c r="B77" s="160" t="n">
        <v>42674</v>
      </c>
      <c r="C77" s="167" t="n">
        <v>87.78733062744141</v>
      </c>
      <c r="D77" s="34">
        <f>(C77-C76)/C76</f>
        <v/>
      </c>
    </row>
    <row r="78">
      <c r="B78" s="160" t="n">
        <v>42704</v>
      </c>
      <c r="C78" s="167" t="n">
        <v>80.21176910400391</v>
      </c>
      <c r="D78" s="34">
        <f>(C78-C77)/C77</f>
        <v/>
      </c>
    </row>
    <row r="79">
      <c r="B79" s="160" t="n">
        <v>42735</v>
      </c>
      <c r="C79" s="167" t="n">
        <v>84.2471084594727</v>
      </c>
      <c r="D79" s="34">
        <f>(C79-C78)/C78</f>
        <v/>
      </c>
    </row>
    <row r="80">
      <c r="B80" s="160" t="n">
        <v>42766</v>
      </c>
      <c r="C80" s="167" t="n">
        <v>88.6660995483398</v>
      </c>
      <c r="D80" s="34">
        <f>(C80-C79)/C79</f>
        <v/>
      </c>
    </row>
    <row r="81">
      <c r="B81" s="160" t="n">
        <v>42794</v>
      </c>
      <c r="C81" s="167" t="n">
        <v>88.2978439331055</v>
      </c>
      <c r="D81" s="34">
        <f>(C81-C80)/C80</f>
        <v/>
      </c>
    </row>
    <row r="82">
      <c r="B82" s="160" t="n">
        <v>42825</v>
      </c>
      <c r="C82" s="167" t="n">
        <v>90.7528381347656</v>
      </c>
      <c r="D82" s="34">
        <f>(C82-C81)/C81</f>
        <v/>
      </c>
    </row>
    <row r="83">
      <c r="B83" s="160" t="n">
        <v>42855</v>
      </c>
      <c r="C83" s="167" t="n">
        <v>93.98524475097661</v>
      </c>
      <c r="D83" s="34">
        <f>(C83-C82)/C82</f>
        <v/>
      </c>
    </row>
    <row r="84">
      <c r="B84" s="160" t="n">
        <v>42886</v>
      </c>
      <c r="C84" s="167" t="n">
        <v>98.936149597168</v>
      </c>
      <c r="D84" s="34">
        <f>(C84-C83)/C83</f>
        <v/>
      </c>
    </row>
    <row r="85">
      <c r="B85" s="160" t="n">
        <v>42916</v>
      </c>
      <c r="C85" s="167" t="n">
        <v>95.94923400878911</v>
      </c>
      <c r="D85" s="34">
        <f>(C85-C84)/C84</f>
        <v/>
      </c>
    </row>
    <row r="86">
      <c r="B86" s="160" t="n">
        <v>42947</v>
      </c>
      <c r="C86" s="167" t="n">
        <v>95.94923400878911</v>
      </c>
      <c r="D86" s="34">
        <f>(C86-C85)/C85</f>
        <v/>
      </c>
    </row>
    <row r="87">
      <c r="B87" s="160" t="n">
        <v>42978</v>
      </c>
      <c r="C87" s="167" t="n">
        <v>94.69935607910161</v>
      </c>
      <c r="D87" s="34">
        <f>(C87-C86)/C86</f>
        <v/>
      </c>
    </row>
    <row r="88">
      <c r="B88" s="160" t="n">
        <v>43008</v>
      </c>
      <c r="C88" s="167" t="n">
        <v>96.55539703369141</v>
      </c>
      <c r="D88" s="34">
        <f>(C88-C87)/C87</f>
        <v/>
      </c>
    </row>
    <row r="89">
      <c r="B89" s="160" t="n">
        <v>43039</v>
      </c>
      <c r="C89" s="167" t="n">
        <v>106.206809997559</v>
      </c>
      <c r="D89" s="34">
        <f>(C89-C88)/C88</f>
        <v/>
      </c>
    </row>
    <row r="90">
      <c r="B90" s="160" t="n">
        <v>43069</v>
      </c>
      <c r="C90" s="167" t="n">
        <v>108.104110717773</v>
      </c>
      <c r="D90" s="34">
        <f>(C90-C89)/C89</f>
        <v/>
      </c>
    </row>
    <row r="91">
      <c r="B91" s="160" t="n">
        <v>43100</v>
      </c>
      <c r="C91" s="167" t="n">
        <v>109.771621704102</v>
      </c>
      <c r="D91" s="34">
        <f>(C91-C90)/C90</f>
        <v/>
      </c>
    </row>
    <row r="92">
      <c r="B92" s="160" t="n">
        <v>43131</v>
      </c>
      <c r="C92" s="167" t="n">
        <v>106.735130310059</v>
      </c>
      <c r="D92" s="34">
        <f>(C92-C91)/C91</f>
        <v/>
      </c>
    </row>
    <row r="93">
      <c r="B93" s="160" t="n">
        <v>43159</v>
      </c>
      <c r="C93" s="167" t="n">
        <v>112.308982849121</v>
      </c>
      <c r="D93" s="34">
        <f>(C93-C92)/C92</f>
        <v/>
      </c>
    </row>
    <row r="94">
      <c r="B94" s="160" t="n">
        <v>43190</v>
      </c>
      <c r="C94" s="167" t="n">
        <v>112.516960144043</v>
      </c>
      <c r="D94" s="34">
        <f>(C94-C93)/C93</f>
        <v/>
      </c>
    </row>
    <row r="95">
      <c r="B95" s="160" t="n">
        <v>43220</v>
      </c>
      <c r="C95" s="167" t="n">
        <v>114.430389404297</v>
      </c>
      <c r="D95" s="34">
        <f>(C95-C94)/C94</f>
        <v/>
      </c>
    </row>
    <row r="96">
      <c r="B96" s="160" t="n">
        <v>43251</v>
      </c>
      <c r="C96" s="167" t="n">
        <v>119.546684265137</v>
      </c>
      <c r="D96" s="34">
        <f>(C96-C95)/C95</f>
        <v/>
      </c>
    </row>
    <row r="97">
      <c r="B97" s="160" t="n">
        <v>43281</v>
      </c>
      <c r="C97" s="167" t="n">
        <v>116.385368347168</v>
      </c>
      <c r="D97" s="34">
        <f>(C97-C96)/C96</f>
        <v/>
      </c>
    </row>
    <row r="98">
      <c r="B98" s="160" t="n">
        <v>43312</v>
      </c>
      <c r="C98" s="167" t="n">
        <v>114.763122558594</v>
      </c>
      <c r="D98" s="34">
        <f>(C98-C97)/C97</f>
        <v/>
      </c>
    </row>
    <row r="99">
      <c r="B99" s="160" t="n">
        <v>43343</v>
      </c>
      <c r="C99" s="167" t="n">
        <v>113.972023010254</v>
      </c>
      <c r="D99" s="34">
        <f>(C99-C98)/C98</f>
        <v/>
      </c>
    </row>
    <row r="100">
      <c r="B100" s="160" t="n">
        <v>43373</v>
      </c>
      <c r="C100" s="167" t="n">
        <v>118.413589477539</v>
      </c>
      <c r="D100" s="34">
        <f>(C100-C99)/C99</f>
        <v/>
      </c>
    </row>
    <row r="101">
      <c r="B101" s="160" t="n">
        <v>43404</v>
      </c>
      <c r="C101" s="167" t="n">
        <v>112.96639251709</v>
      </c>
      <c r="D101" s="34">
        <f>(C101-C100)/C100</f>
        <v/>
      </c>
    </row>
    <row r="102">
      <c r="B102" s="160" t="n">
        <v>43434</v>
      </c>
      <c r="C102" s="167" t="n">
        <v>118.329780578613</v>
      </c>
      <c r="D102" s="34">
        <f>(C102-C101)/C101</f>
        <v/>
      </c>
    </row>
    <row r="103">
      <c r="B103" s="160" t="n">
        <v>43465</v>
      </c>
      <c r="C103" s="167" t="n">
        <v>121.244331359863</v>
      </c>
      <c r="D103" s="34">
        <f>(C103-C102)/C102</f>
        <v/>
      </c>
    </row>
    <row r="104">
      <c r="B104" s="160" t="n">
        <v>43496</v>
      </c>
      <c r="C104" s="167" t="n">
        <v>122.682685852051</v>
      </c>
      <c r="D104" s="34">
        <f>(C104-C103)/C103</f>
        <v/>
      </c>
    </row>
    <row r="105">
      <c r="B105" s="160" t="n">
        <v>43524</v>
      </c>
      <c r="C105" s="167" t="n">
        <v>128.09765625</v>
      </c>
      <c r="D105" s="34">
        <f>(C105-C104)/C104</f>
        <v/>
      </c>
    </row>
    <row r="106">
      <c r="B106" s="160" t="n">
        <v>43555</v>
      </c>
      <c r="C106" s="167" t="n">
        <v>135.374008178711</v>
      </c>
      <c r="D106" s="34">
        <f>(C106-C105)/C105</f>
        <v/>
      </c>
    </row>
    <row r="107">
      <c r="B107" s="160" t="n">
        <v>43585</v>
      </c>
      <c r="C107" s="167" t="n">
        <v>131.439682006836</v>
      </c>
      <c r="D107" s="34">
        <f>(C107-C106)/C106</f>
        <v/>
      </c>
    </row>
    <row r="108">
      <c r="B108" s="160" t="n">
        <v>43616</v>
      </c>
      <c r="C108" s="167" t="n">
        <v>133.512619018555</v>
      </c>
      <c r="D108" s="34">
        <f>(C108-C107)/C107</f>
        <v/>
      </c>
    </row>
    <row r="109">
      <c r="B109" s="160" t="n">
        <v>43646</v>
      </c>
      <c r="C109" s="167" t="n">
        <v>137.108520507813</v>
      </c>
      <c r="D109" s="34">
        <f>(C109-C108)/C108</f>
        <v/>
      </c>
    </row>
    <row r="110">
      <c r="B110" s="160" t="n">
        <v>43677</v>
      </c>
      <c r="C110" s="167" t="n">
        <v>134.570236206055</v>
      </c>
      <c r="D110" s="34">
        <f>(C110-C109)/C109</f>
        <v/>
      </c>
    </row>
    <row r="111">
      <c r="B111" s="160" t="n">
        <v>43708</v>
      </c>
      <c r="C111" s="167" t="n">
        <v>148.047088623047</v>
      </c>
      <c r="D111" s="34">
        <f>(C111-C110)/C110</f>
        <v/>
      </c>
    </row>
    <row r="112">
      <c r="B112" s="160" t="n">
        <v>43738</v>
      </c>
      <c r="C112" s="167" t="n">
        <v>139.268249511719</v>
      </c>
      <c r="D112" s="34">
        <f>(C112-C111)/C111</f>
        <v/>
      </c>
    </row>
    <row r="113">
      <c r="B113" s="160" t="n">
        <v>43769</v>
      </c>
      <c r="C113" s="167" t="n">
        <v>141.05810546875</v>
      </c>
      <c r="D113" s="34">
        <f>(C113-C112)/C112</f>
        <v/>
      </c>
    </row>
    <row r="114">
      <c r="B114" s="160" t="n">
        <v>43799</v>
      </c>
      <c r="C114" s="167" t="n">
        <v>142.080902099609</v>
      </c>
      <c r="D114" s="34">
        <f>(C114-C113)/C113</f>
        <v/>
      </c>
    </row>
    <row r="115">
      <c r="B115" s="160" t="n">
        <v>43830</v>
      </c>
      <c r="C115" s="167" t="n">
        <v>137.460662841797</v>
      </c>
      <c r="D115" s="34">
        <f>(C115-C114)/C114</f>
        <v/>
      </c>
    </row>
    <row r="116">
      <c r="B116" s="160" t="n">
        <v>43861</v>
      </c>
      <c r="C116" s="167" t="n">
        <v>134.959808349609</v>
      </c>
      <c r="D116" s="34">
        <f>(C116-C115)/C115</f>
        <v/>
      </c>
    </row>
    <row r="117">
      <c r="B117" s="160" t="n">
        <v>43890</v>
      </c>
      <c r="C117" s="167" t="n">
        <v>126.249923706055</v>
      </c>
      <c r="D117" s="34">
        <f>(C117-C116)/C116</f>
        <v/>
      </c>
    </row>
    <row r="118">
      <c r="B118" s="160" t="n">
        <v>43921</v>
      </c>
      <c r="C118" s="167" t="n">
        <v>111.63289642334</v>
      </c>
      <c r="D118" s="34">
        <f>(C118-C117)/C117</f>
        <v/>
      </c>
    </row>
    <row r="119">
      <c r="B119" s="160" t="n">
        <v>43951</v>
      </c>
      <c r="C119" s="167" t="n">
        <v>119.954689025879</v>
      </c>
      <c r="D119" s="34">
        <f>(C119-C118)/C118</f>
        <v/>
      </c>
    </row>
    <row r="120">
      <c r="B120" s="160" t="n">
        <v>43982</v>
      </c>
      <c r="C120" s="167" t="n">
        <v>120.817039489746</v>
      </c>
      <c r="D120" s="34">
        <f>(C120-C119)/C119</f>
        <v/>
      </c>
    </row>
    <row r="121">
      <c r="B121" s="160" t="n">
        <v>44012</v>
      </c>
      <c r="C121" s="167" t="n">
        <v>120.773941040039</v>
      </c>
      <c r="D121" s="34">
        <f>(C121-C120)/C120</f>
        <v/>
      </c>
    </row>
    <row r="122">
      <c r="B122" s="160" t="n">
        <v>44043</v>
      </c>
      <c r="C122" s="167" t="n">
        <v>125.905006408691</v>
      </c>
      <c r="D122" s="34">
        <f>(C122-C121)/C121</f>
        <v/>
      </c>
    </row>
    <row r="123">
      <c r="B123" s="160" t="n">
        <v>44074</v>
      </c>
      <c r="C123" s="167" t="n">
        <v>124.787872314453</v>
      </c>
      <c r="D123" s="34">
        <f>(C123-C122)/C122</f>
        <v/>
      </c>
    </row>
    <row r="124">
      <c r="B124" s="160" t="n">
        <v>44104</v>
      </c>
      <c r="C124" s="167" t="n">
        <v>118.39631652832</v>
      </c>
      <c r="D124" s="34">
        <f>(C124-C123)/C123</f>
        <v/>
      </c>
    </row>
    <row r="125">
      <c r="B125" s="160" t="n">
        <v>44135</v>
      </c>
      <c r="C125" s="167" t="n">
        <v>120.352920532227</v>
      </c>
      <c r="D125" s="34">
        <f>(C125-C124)/C124</f>
        <v/>
      </c>
    </row>
    <row r="126">
      <c r="B126" s="160" t="n">
        <v>44165</v>
      </c>
      <c r="C126" s="167" t="n">
        <v>139.136306762695</v>
      </c>
      <c r="D126" s="34">
        <f>(C126-C125)/C125</f>
        <v/>
      </c>
    </row>
    <row r="127">
      <c r="B127" s="160" t="n">
        <v>44196</v>
      </c>
      <c r="C127" s="167" t="n">
        <v>136.353607177734</v>
      </c>
      <c r="D127" s="34">
        <f>(C127-C126)/C126</f>
        <v/>
      </c>
    </row>
    <row r="128">
      <c r="B128" s="160" t="n">
        <v>44227</v>
      </c>
      <c r="C128" s="167" t="n">
        <v>136.686370849609</v>
      </c>
      <c r="D128" s="34">
        <f>(C128-C127)/C127</f>
        <v/>
      </c>
    </row>
    <row r="129">
      <c r="B129" s="160" t="n">
        <v>44255</v>
      </c>
      <c r="C129" s="167" t="n">
        <v>138.134872436523</v>
      </c>
      <c r="D129" s="34">
        <f>(C129-C128)/C128</f>
        <v/>
      </c>
    </row>
    <row r="130">
      <c r="B130" s="160" t="n">
        <v>44286</v>
      </c>
      <c r="C130" s="167" t="n">
        <v>140.505157470703</v>
      </c>
      <c r="D130" s="34">
        <f>(C130-C129)/C129</f>
        <v/>
      </c>
    </row>
    <row r="131">
      <c r="B131" s="160" t="n">
        <v>44316</v>
      </c>
      <c r="C131" s="167" t="n">
        <v>149.854598999023</v>
      </c>
      <c r="D131" s="34">
        <f>(C131-C130)/C130</f>
        <v/>
      </c>
    </row>
    <row r="132">
      <c r="B132" s="160" t="n">
        <v>44347</v>
      </c>
      <c r="C132" s="167" t="n">
        <v>158.150573730469</v>
      </c>
      <c r="D132" s="34">
        <f>(C132-C131)/C131</f>
        <v/>
      </c>
    </row>
    <row r="133">
      <c r="B133" s="160" t="n">
        <v>44377</v>
      </c>
      <c r="C133" s="167" t="n">
        <v>164.33967590332</v>
      </c>
      <c r="D133" s="34">
        <f>(C133-C132)/C132</f>
        <v/>
      </c>
    </row>
    <row r="134">
      <c r="B134" s="160" t="n">
        <v>44408</v>
      </c>
      <c r="C134" s="167" t="n">
        <v>163.374008178711</v>
      </c>
      <c r="D134" s="34">
        <f>(C134-C133)/C133</f>
        <v/>
      </c>
    </row>
    <row r="135">
      <c r="B135" s="160" t="n">
        <v>44439</v>
      </c>
      <c r="C135" s="167" t="n">
        <v>157.356033325195</v>
      </c>
      <c r="D135" s="34">
        <f>(C135-C134)/C134</f>
        <v/>
      </c>
    </row>
    <row r="136">
      <c r="B136" s="160" t="n">
        <v>44469</v>
      </c>
      <c r="C136" s="167" t="n">
        <v>168.630477905273</v>
      </c>
      <c r="D136" s="34">
        <f>(C136-C135)/C135</f>
        <v/>
      </c>
    </row>
    <row r="137">
      <c r="B137" s="160" t="n">
        <v>44500</v>
      </c>
      <c r="C137" s="167" t="n">
        <v>175.704650878906</v>
      </c>
      <c r="D137" s="34">
        <f>(C137-C136)/C136</f>
        <v/>
      </c>
    </row>
    <row r="138">
      <c r="B138" s="160" t="n">
        <v>44530</v>
      </c>
      <c r="C138" s="167" t="n">
        <v>179.064895629883</v>
      </c>
      <c r="D138" s="34">
        <f>(C138-C137)/C137</f>
        <v/>
      </c>
    </row>
    <row r="139">
      <c r="B139" s="160" t="n">
        <v>44561</v>
      </c>
      <c r="C139" s="167" t="n">
        <v>188.614364624023</v>
      </c>
      <c r="D139" s="34">
        <f>(C139-C138)/C138</f>
        <v/>
      </c>
    </row>
    <row r="140">
      <c r="B140" s="160" t="n">
        <v>44592</v>
      </c>
      <c r="C140" s="167" t="n">
        <v>168.549011230469</v>
      </c>
      <c r="D140" s="34">
        <f>(C140-C139)/C139</f>
        <v/>
      </c>
    </row>
    <row r="141">
      <c r="B141" s="160" t="n">
        <v>44620</v>
      </c>
      <c r="C141" s="167" t="n">
        <v>174.479431152344</v>
      </c>
      <c r="D141" s="34">
        <f>(C141-C140)/C140</f>
        <v/>
      </c>
    </row>
    <row r="142">
      <c r="B142" s="160" t="n">
        <v>44651</v>
      </c>
      <c r="C142" s="167" t="n">
        <v>177.734497070313</v>
      </c>
      <c r="D142" s="34">
        <f>(C142-C141)/C141</f>
        <v/>
      </c>
    </row>
    <row r="143">
      <c r="B143" s="160" t="n">
        <v>44681</v>
      </c>
      <c r="C143" s="167" t="n">
        <v>176.26301574707</v>
      </c>
      <c r="D143" s="34">
        <f>(C143-C142)/C142</f>
        <v/>
      </c>
    </row>
    <row r="144">
      <c r="B144" s="160" t="n">
        <v>44712</v>
      </c>
      <c r="C144" s="167" t="n">
        <v>162.752365112305</v>
      </c>
      <c r="D144" s="34">
        <f>(C144-C143)/C143</f>
        <v/>
      </c>
    </row>
    <row r="145">
      <c r="B145" s="160" t="n">
        <v>44742</v>
      </c>
      <c r="C145" s="167" t="n">
        <v>156.331451416016</v>
      </c>
      <c r="D145" s="34">
        <f>(C145-C144)/C144</f>
        <v/>
      </c>
    </row>
    <row r="146">
      <c r="B146" s="160" t="n">
        <v>44773</v>
      </c>
      <c r="C146" s="167" t="n">
        <v>170.778472900391</v>
      </c>
      <c r="D146" s="34">
        <f>(C146-C145)/C145</f>
        <v/>
      </c>
    </row>
    <row r="147">
      <c r="B147" s="160" t="n">
        <v>44804</v>
      </c>
      <c r="C147" s="167" t="n">
        <v>165.148818969727</v>
      </c>
      <c r="D147" s="34">
        <f>(C147-C146)/C146</f>
        <v/>
      </c>
    </row>
    <row r="148">
      <c r="B148" s="160" t="n">
        <v>44834</v>
      </c>
      <c r="C148" s="167" t="n">
        <v>169.917495727539</v>
      </c>
      <c r="D148" s="34">
        <f>(C148-C147)/C147</f>
        <v/>
      </c>
    </row>
    <row r="149">
      <c r="B149" s="160" t="n">
        <v>44865</v>
      </c>
      <c r="C149" s="167" t="n">
        <v>159.885314941406</v>
      </c>
      <c r="D149" s="34">
        <f>(C149-C148)/C148</f>
        <v/>
      </c>
    </row>
    <row r="150">
      <c r="B150" s="160" t="n">
        <v>44895</v>
      </c>
      <c r="C150" s="167" t="n">
        <v>170.007446289063</v>
      </c>
      <c r="D150" s="34">
        <f>(C150-C149)/C149</f>
        <v/>
      </c>
    </row>
    <row r="151">
      <c r="B151" s="160" t="n">
        <v>44926</v>
      </c>
      <c r="C151" s="167" t="n">
        <v>167.578964233398</v>
      </c>
      <c r="D151" s="34">
        <f>(C151-C150)/C150</f>
        <v/>
      </c>
    </row>
    <row r="152">
      <c r="B152" s="160" t="n">
        <v>44957</v>
      </c>
      <c r="C152" s="167" t="n">
        <v>173.187728881836</v>
      </c>
      <c r="D152" s="34">
        <f>(C152-C151)/C151</f>
        <v/>
      </c>
    </row>
    <row r="153">
      <c r="B153" s="160" t="n">
        <v>44985</v>
      </c>
      <c r="C153" s="167" t="n">
        <v>180.301300048828</v>
      </c>
      <c r="D153" s="34">
        <f>(C153-C152)/C152</f>
        <v/>
      </c>
    </row>
    <row r="154">
      <c r="B154" s="160" t="n">
        <v>45016</v>
      </c>
      <c r="C154" s="167" t="n">
        <v>190.333236694336</v>
      </c>
      <c r="D154" s="34">
        <f>(C154-C153)/C153</f>
        <v/>
      </c>
    </row>
    <row r="155">
      <c r="B155" s="160" t="n">
        <v>45046</v>
      </c>
      <c r="C155" s="167" t="n">
        <v>190.971618652344</v>
      </c>
      <c r="D155" s="34">
        <f>(C155-C154)/C154</f>
        <v/>
      </c>
    </row>
    <row r="156">
      <c r="B156" s="160" t="n">
        <v>45077</v>
      </c>
      <c r="C156" s="167" t="n">
        <v>184.314086914063</v>
      </c>
      <c r="D156" s="34">
        <f>(C156-C155)/C155</f>
        <v/>
      </c>
    </row>
    <row r="157">
      <c r="B157" s="160" t="n">
        <v>45107</v>
      </c>
      <c r="C157" s="167" t="n">
        <v>184.587661743164</v>
      </c>
      <c r="D157" s="34">
        <f>(C157-C156)/C156</f>
        <v/>
      </c>
    </row>
    <row r="158">
      <c r="B158" s="160" t="n">
        <v>45138</v>
      </c>
      <c r="C158" s="167" t="n">
        <v>182.946075439453</v>
      </c>
      <c r="D158" s="34">
        <f>(C158-C157)/C157</f>
        <v/>
      </c>
    </row>
    <row r="159">
      <c r="B159" s="160" t="n">
        <v>45169</v>
      </c>
      <c r="C159" s="167" t="n">
        <v>166.937469482422</v>
      </c>
      <c r="D159" s="34">
        <f>(C159-C158)/C158</f>
        <v/>
      </c>
    </row>
    <row r="160">
      <c r="B160" s="160" t="n">
        <v>45199</v>
      </c>
      <c r="C160" s="167" t="n">
        <v>145.425399780273</v>
      </c>
      <c r="D160" s="34">
        <f>(C160-C159)/C159</f>
        <v/>
      </c>
    </row>
    <row r="161">
      <c r="B161" s="160" t="n">
        <v>45230</v>
      </c>
      <c r="C161" s="167" t="n">
        <v>154.315826416016</v>
      </c>
      <c r="D161" s="34">
        <f>(C161-C160)/C160</f>
        <v/>
      </c>
    </row>
    <row r="162">
      <c r="B162" s="160" t="n">
        <v>45260</v>
      </c>
      <c r="C162" s="167" t="n">
        <v>146.070297241211</v>
      </c>
      <c r="D162" s="34">
        <f>(C162-C161)/C161</f>
        <v/>
      </c>
    </row>
    <row r="163">
      <c r="B163" s="160" t="n">
        <v>45291</v>
      </c>
      <c r="C163" s="167" t="n">
        <v>149.535507202148</v>
      </c>
      <c r="D163" s="34">
        <f>(C163-C162)/C162</f>
        <v/>
      </c>
    </row>
    <row r="164">
      <c r="B164" s="160" t="n">
        <v>45322</v>
      </c>
      <c r="C164" s="167" t="n">
        <v>142.749084472656</v>
      </c>
      <c r="D164" s="34">
        <f>(C164-C163)/C163</f>
        <v/>
      </c>
    </row>
    <row r="165">
      <c r="B165" s="160" t="n">
        <v>45351</v>
      </c>
      <c r="C165" s="167" t="n">
        <v>144.668014526367</v>
      </c>
      <c r="D165" s="34">
        <f>(C165-C164)/C164</f>
        <v/>
      </c>
    </row>
    <row r="166">
      <c r="B166" s="160" t="n">
        <v>45382</v>
      </c>
      <c r="C166" s="167" t="n">
        <v>140.362121582031</v>
      </c>
      <c r="D166" s="34">
        <f>(C166-C165)/C165</f>
        <v/>
      </c>
    </row>
    <row r="167">
      <c r="B167" s="160" t="n">
        <v>45412</v>
      </c>
      <c r="C167" s="167" t="n">
        <v>132.920471191406</v>
      </c>
      <c r="D167" s="34">
        <f>(C167-C166)/C166</f>
        <v/>
      </c>
    </row>
    <row r="168">
      <c r="B168" s="160" t="n">
        <v>45443</v>
      </c>
      <c r="C168" s="167" t="n">
        <v>128.193359375</v>
      </c>
      <c r="D168" s="34">
        <f>(C168-C167)/C167</f>
        <v/>
      </c>
    </row>
    <row r="169">
      <c r="B169" s="160" t="n">
        <v>45473</v>
      </c>
      <c r="C169" s="167" t="n">
        <v>118.598754882813</v>
      </c>
      <c r="D169" s="34">
        <f>(C169-C168)/C168</f>
        <v/>
      </c>
    </row>
    <row r="170">
      <c r="B170" s="160" t="n">
        <v>45504</v>
      </c>
      <c r="C170" s="167" t="n">
        <v>116.071388244629</v>
      </c>
      <c r="D170" s="34">
        <f>(C170-C169)/C169</f>
        <v/>
      </c>
    </row>
    <row r="171">
      <c r="B171" s="160" t="n">
        <v>45535</v>
      </c>
      <c r="C171" s="167" t="n">
        <v>122.870758056641</v>
      </c>
      <c r="D171" s="34">
        <f>(C171-C170)/C170</f>
        <v/>
      </c>
    </row>
    <row r="172">
      <c r="B172" s="160" t="n">
        <v>45565</v>
      </c>
      <c r="C172" s="167" t="n">
        <v>129.357727050781</v>
      </c>
      <c r="D172" s="34">
        <f>(C172-C171)/C171</f>
        <v/>
      </c>
    </row>
    <row r="173">
      <c r="B173" s="160" t="n">
        <v>45596</v>
      </c>
      <c r="C173" s="167" t="n">
        <v>108.990562438965</v>
      </c>
      <c r="D173" s="34">
        <f>(C173-C172)/C172</f>
        <v/>
      </c>
    </row>
    <row r="174">
      <c r="B174" s="160" t="n">
        <v>45626</v>
      </c>
      <c r="C174" s="167" t="n">
        <v>101.024948120117</v>
      </c>
      <c r="D174" s="34">
        <f>(C174-C173)/C173</f>
        <v/>
      </c>
    </row>
    <row r="175">
      <c r="B175" s="160" t="n">
        <v>45657</v>
      </c>
      <c r="C175" s="167" t="n">
        <v>106.325080871582</v>
      </c>
      <c r="D175" s="34">
        <f>(C175-C174)/C174</f>
        <v/>
      </c>
    </row>
    <row r="176">
      <c r="B176" s="160" t="n">
        <v>45688</v>
      </c>
      <c r="C176" s="167" t="n">
        <v>107.495628356934</v>
      </c>
      <c r="D176" s="34">
        <f>(C176-C175)/C175</f>
        <v/>
      </c>
    </row>
    <row r="177">
      <c r="B177" s="160" t="n">
        <v>45716</v>
      </c>
      <c r="C177" s="167" t="n">
        <v>100.716186523438</v>
      </c>
      <c r="D177" s="34">
        <f>(C177-C176)/C176</f>
        <v/>
      </c>
    </row>
    <row r="178">
      <c r="B178" s="160" t="n">
        <v>45747</v>
      </c>
      <c r="C178" s="167" t="n">
        <v>89.0204315185547</v>
      </c>
      <c r="D178" s="34">
        <f>(C178-C177)/C177</f>
        <v/>
      </c>
    </row>
    <row r="179">
      <c r="B179" s="160" t="n">
        <v>45777</v>
      </c>
      <c r="C179" s="167" t="n">
        <v>92.8832473754883</v>
      </c>
      <c r="D179" s="34">
        <f>(C179-C178)/C178</f>
        <v/>
      </c>
    </row>
    <row r="180">
      <c r="B180" s="160" t="n">
        <v>45808</v>
      </c>
      <c r="C180" s="167" t="n">
        <v>88.78631591796881</v>
      </c>
      <c r="D180" s="34">
        <f>(C180-C179)/C179</f>
        <v/>
      </c>
    </row>
    <row r="181">
      <c r="B181" s="160" t="n">
        <v>45838</v>
      </c>
      <c r="C181" s="167" t="n">
        <v>82.52386474609381</v>
      </c>
      <c r="D181" s="34">
        <f>(C181-C180)/C180</f>
        <v/>
      </c>
    </row>
    <row r="182">
      <c r="B182" s="160" t="n">
        <v>45869</v>
      </c>
      <c r="C182" s="167" t="n">
        <v>88.14251708984381</v>
      </c>
      <c r="D182" s="34">
        <f>(C182-C181)/C181</f>
        <v/>
      </c>
    </row>
    <row r="183">
      <c r="B183" s="160" t="n">
        <v>45900</v>
      </c>
      <c r="C183" s="167" t="n">
        <v>97.1999969482422</v>
      </c>
      <c r="D183" s="34">
        <f>(C183-C182)/C182</f>
        <v/>
      </c>
    </row>
  </sheetData>
  <pageMargins left="0.7" right="0.7" top="0.75" bottom="0.75" header="0.3" footer="0.3"/>
</worksheet>
</file>

<file path=xl/worksheets/sheet19.xml><?xml version="1.0" encoding="utf-8"?>
<worksheet xmlns="http://schemas.openxmlformats.org/spreadsheetml/2006/main">
  <sheetPr>
    <tabColor theme="7" tint="0.7999816888943144"/>
    <outlinePr summaryBelow="1" summaryRight="1"/>
    <pageSetUpPr/>
  </sheetPr>
  <dimension ref="B2:D183"/>
  <sheetViews>
    <sheetView showGridLines="0" workbookViewId="0">
      <selection activeCell="N31" sqref="N31"/>
    </sheetView>
  </sheetViews>
  <sheetFormatPr baseColWidth="10" defaultColWidth="10.83203125" defaultRowHeight="15"/>
  <cols>
    <col width="11.6640625" bestFit="1" customWidth="1" min="3" max="3"/>
  </cols>
  <sheetData>
    <row r="2">
      <c r="B2" s="30" t="inlineStr">
        <is>
          <t>Date</t>
        </is>
      </c>
      <c r="C2" t="inlineStr">
        <is>
          <t>RNO.PA</t>
        </is>
      </c>
      <c r="D2" t="inlineStr">
        <is>
          <t>Monthly Return</t>
        </is>
      </c>
    </row>
    <row r="3">
      <c r="B3" s="160" t="inlineStr">
        <is>
          <t>2010-08</t>
        </is>
      </c>
      <c r="C3" s="167" t="n">
        <v>21.5720558166504</v>
      </c>
    </row>
    <row r="4">
      <c r="B4" s="160" t="n">
        <v>40451</v>
      </c>
      <c r="C4" s="167" t="n">
        <v>25.3972969055176</v>
      </c>
      <c r="D4" s="34">
        <f>(C4-C3)/C3</f>
        <v/>
      </c>
    </row>
    <row r="5">
      <c r="B5" s="160" t="n">
        <v>40482</v>
      </c>
      <c r="C5" s="167" t="n">
        <v>26.8641395568848</v>
      </c>
      <c r="D5" s="34">
        <f>(C5-C4)/C4</f>
        <v/>
      </c>
    </row>
    <row r="6">
      <c r="B6" s="160" t="n">
        <v>40512</v>
      </c>
      <c r="C6" s="167" t="n">
        <v>27.170295715332</v>
      </c>
      <c r="D6" s="34">
        <f>(C6-C5)/C5</f>
        <v/>
      </c>
    </row>
    <row r="7">
      <c r="B7" s="160" t="n">
        <v>40543</v>
      </c>
      <c r="C7" s="167" t="n">
        <v>29.2696342468262</v>
      </c>
      <c r="D7" s="34">
        <f>(C7-C6)/C6</f>
        <v/>
      </c>
    </row>
    <row r="8">
      <c r="B8" s="160" t="n">
        <v>40574</v>
      </c>
      <c r="C8" s="167" t="n">
        <v>32.1528625488281</v>
      </c>
      <c r="D8" s="34">
        <f>(C8-C7)/C7</f>
        <v/>
      </c>
    </row>
    <row r="9">
      <c r="B9" s="160" t="n">
        <v>40602</v>
      </c>
      <c r="C9" s="167" t="n">
        <v>29.8853054046631</v>
      </c>
      <c r="D9" s="34">
        <f>(C9-C8)/C8</f>
        <v/>
      </c>
    </row>
    <row r="10">
      <c r="B10" s="160" t="n">
        <v>40633</v>
      </c>
      <c r="C10" s="167" t="n">
        <v>26.2484703063965</v>
      </c>
      <c r="D10" s="34">
        <f>(C10-C9)/C9</f>
        <v/>
      </c>
    </row>
    <row r="11">
      <c r="B11" s="160" t="n">
        <v>40663</v>
      </c>
      <c r="C11" s="167" t="n">
        <v>27.6816749572754</v>
      </c>
      <c r="D11" s="34">
        <f>(C11-C10)/C10</f>
        <v/>
      </c>
    </row>
    <row r="12">
      <c r="B12" s="160" t="n">
        <v>40694</v>
      </c>
      <c r="C12" s="167" t="n">
        <v>26.5243434906006</v>
      </c>
      <c r="D12" s="34">
        <f>(C12-C11)/C11</f>
        <v/>
      </c>
    </row>
    <row r="13">
      <c r="B13" s="160" t="n">
        <v>40724</v>
      </c>
      <c r="C13" s="167" t="n">
        <v>27.7136669158936</v>
      </c>
      <c r="D13" s="34">
        <f>(C13-C12)/C12</f>
        <v/>
      </c>
    </row>
    <row r="14">
      <c r="B14" s="160" t="n">
        <v>40755</v>
      </c>
      <c r="C14" s="167" t="n">
        <v>25.2598724365234</v>
      </c>
      <c r="D14" s="34">
        <f>(C14-C13)/C13</f>
        <v/>
      </c>
    </row>
    <row r="15">
      <c r="B15" s="160" t="n">
        <v>40786</v>
      </c>
      <c r="C15" s="167" t="n">
        <v>19.2338390350342</v>
      </c>
      <c r="D15" s="34">
        <f>(C15-C14)/C14</f>
        <v/>
      </c>
    </row>
    <row r="16">
      <c r="B16" s="160" t="n">
        <v>40816</v>
      </c>
      <c r="C16" s="167" t="n">
        <v>16.993558883667</v>
      </c>
      <c r="D16" s="34">
        <f>(C16-C15)/C15</f>
        <v/>
      </c>
    </row>
    <row r="17">
      <c r="B17" s="160" t="n">
        <v>40847</v>
      </c>
      <c r="C17" s="167" t="n">
        <v>20.6369724273682</v>
      </c>
      <c r="D17" s="34">
        <f>(C17-C16)/C16</f>
        <v/>
      </c>
    </row>
    <row r="18">
      <c r="B18" s="160" t="n">
        <v>40877</v>
      </c>
      <c r="C18" s="167" t="n">
        <v>18.8101806640625</v>
      </c>
      <c r="D18" s="34">
        <f>(C18-C17)/C17</f>
        <v/>
      </c>
    </row>
    <row r="19">
      <c r="B19" s="160" t="n">
        <v>40908</v>
      </c>
      <c r="C19" s="167" t="n">
        <v>18.1662311553955</v>
      </c>
      <c r="D19" s="34">
        <f>(C19-C18)/C18</f>
        <v/>
      </c>
    </row>
    <row r="20">
      <c r="B20" s="160" t="n">
        <v>40939</v>
      </c>
      <c r="C20" s="167" t="n">
        <v>22.0740032196045</v>
      </c>
      <c r="D20" s="34">
        <f>(C20-C19)/C19</f>
        <v/>
      </c>
    </row>
    <row r="21">
      <c r="B21" s="160" t="n">
        <v>40968</v>
      </c>
      <c r="C21" s="167" t="n">
        <v>26.9375400543213</v>
      </c>
      <c r="D21" s="34">
        <f>(C21-C20)/C20</f>
        <v/>
      </c>
    </row>
    <row r="22">
      <c r="B22" s="160" t="n">
        <v>40999</v>
      </c>
      <c r="C22" s="167" t="n">
        <v>26.7918014526367</v>
      </c>
      <c r="D22" s="34">
        <f>(C22-C21)/C21</f>
        <v/>
      </c>
    </row>
    <row r="23">
      <c r="B23" s="160" t="n">
        <v>41029</v>
      </c>
      <c r="C23" s="167" t="n">
        <v>23.2670135498047</v>
      </c>
      <c r="D23" s="34">
        <f>(C23-C22)/C22</f>
        <v/>
      </c>
    </row>
    <row r="24">
      <c r="B24" s="160" t="n">
        <v>41060</v>
      </c>
      <c r="C24" s="167" t="n">
        <v>22.9687595367432</v>
      </c>
      <c r="D24" s="34">
        <f>(C24-C23)/C23</f>
        <v/>
      </c>
    </row>
    <row r="25">
      <c r="B25" s="160" t="n">
        <v>41090</v>
      </c>
      <c r="C25" s="167" t="n">
        <v>22.1262378692627</v>
      </c>
      <c r="D25" s="34">
        <f>(C25-C24)/C24</f>
        <v/>
      </c>
    </row>
    <row r="26">
      <c r="B26" s="160" t="n">
        <v>41121</v>
      </c>
      <c r="C26" s="167" t="n">
        <v>25.0468425750732</v>
      </c>
      <c r="D26" s="34">
        <f>(C26-C25)/C25</f>
        <v/>
      </c>
    </row>
    <row r="27">
      <c r="B27" s="160" t="n">
        <v>41152</v>
      </c>
      <c r="C27" s="167" t="n">
        <v>26.1552696228027</v>
      </c>
      <c r="D27" s="34">
        <f>(C27-C26)/C26</f>
        <v/>
      </c>
    </row>
    <row r="28">
      <c r="B28" s="160" t="n">
        <v>41182</v>
      </c>
      <c r="C28" s="167" t="n">
        <v>25.7013359069824</v>
      </c>
      <c r="D28" s="34">
        <f>(C28-C27)/C27</f>
        <v/>
      </c>
    </row>
    <row r="29">
      <c r="B29" s="160" t="n">
        <v>41213</v>
      </c>
      <c r="C29" s="167" t="n">
        <v>24.2867794036865</v>
      </c>
      <c r="D29" s="34">
        <f>(C29-C28)/C28</f>
        <v/>
      </c>
    </row>
    <row r="30">
      <c r="B30" s="160" t="n">
        <v>41243</v>
      </c>
      <c r="C30" s="167" t="n">
        <v>27.0631198883057</v>
      </c>
      <c r="D30" s="34">
        <f>(C30-C29)/C29</f>
        <v/>
      </c>
    </row>
    <row r="31">
      <c r="B31" s="160" t="n">
        <v>41274</v>
      </c>
      <c r="C31" s="167" t="n">
        <v>28.6325016021729</v>
      </c>
      <c r="D31" s="34">
        <f>(C31-C30)/C30</f>
        <v/>
      </c>
    </row>
    <row r="32">
      <c r="B32" s="160" t="n">
        <v>41305</v>
      </c>
      <c r="C32" s="167" t="n">
        <v>31.257532119751</v>
      </c>
      <c r="D32" s="34">
        <f>(C32-C31)/C31</f>
        <v/>
      </c>
    </row>
    <row r="33">
      <c r="B33" s="160" t="n">
        <v>41333</v>
      </c>
      <c r="C33" s="167" t="n">
        <v>34.2133293151856</v>
      </c>
      <c r="D33" s="34">
        <f>(C33-C32)/C32</f>
        <v/>
      </c>
    </row>
    <row r="34">
      <c r="B34" s="160" t="n">
        <v>41364</v>
      </c>
      <c r="C34" s="167" t="n">
        <v>34.3963012695313</v>
      </c>
      <c r="D34" s="34">
        <f>(C34-C33)/C33</f>
        <v/>
      </c>
    </row>
    <row r="35">
      <c r="B35" s="160" t="n">
        <v>41394</v>
      </c>
      <c r="C35" s="167" t="n">
        <v>36.8207588195801</v>
      </c>
      <c r="D35" s="34">
        <f>(C35-C34)/C34</f>
        <v/>
      </c>
    </row>
    <row r="36">
      <c r="B36" s="160" t="n">
        <v>41425</v>
      </c>
      <c r="C36" s="167" t="n">
        <v>42.0567398071289</v>
      </c>
      <c r="D36" s="34">
        <f>(C36-C35)/C35</f>
        <v/>
      </c>
    </row>
    <row r="37">
      <c r="B37" s="160" t="n">
        <v>41455</v>
      </c>
      <c r="C37" s="167" t="n">
        <v>37.6040992736816</v>
      </c>
      <c r="D37" s="34">
        <f>(C37-C36)/C36</f>
        <v/>
      </c>
    </row>
    <row r="38">
      <c r="B38" s="160" t="n">
        <v>41486</v>
      </c>
      <c r="C38" s="167" t="n">
        <v>43.0374183654785</v>
      </c>
      <c r="D38" s="34">
        <f>(C38-C37)/C37</f>
        <v/>
      </c>
    </row>
    <row r="39">
      <c r="B39" s="160" t="n">
        <v>41517</v>
      </c>
      <c r="C39" s="167" t="n">
        <v>39.3351974487305</v>
      </c>
      <c r="D39" s="34">
        <f>(C39-C38)/C38</f>
        <v/>
      </c>
    </row>
    <row r="40">
      <c r="B40" s="160" t="n">
        <v>41547</v>
      </c>
      <c r="C40" s="167" t="n">
        <v>42.8628540039063</v>
      </c>
      <c r="D40" s="34">
        <f>(C40-C39)/C39</f>
        <v/>
      </c>
    </row>
    <row r="41">
      <c r="B41" s="160" t="n">
        <v>41578</v>
      </c>
      <c r="C41" s="167" t="n">
        <v>46.9214782714844</v>
      </c>
      <c r="D41" s="34">
        <f>(C41-C40)/C40</f>
        <v/>
      </c>
    </row>
    <row r="42">
      <c r="B42" s="160" t="n">
        <v>41608</v>
      </c>
      <c r="C42" s="167" t="n">
        <v>47.4888114929199</v>
      </c>
      <c r="D42" s="34">
        <f>(C42-C41)/C41</f>
        <v/>
      </c>
    </row>
    <row r="43">
      <c r="B43" s="160" t="n">
        <v>41639</v>
      </c>
      <c r="C43" s="167" t="n">
        <v>42.5137214660645</v>
      </c>
      <c r="D43" s="34">
        <f>(C43-C42)/C42</f>
        <v/>
      </c>
    </row>
    <row r="44">
      <c r="B44" s="160" t="n">
        <v>41670</v>
      </c>
      <c r="C44" s="167" t="n">
        <v>47.1033134460449</v>
      </c>
      <c r="D44" s="34">
        <f>(C44-C43)/C43</f>
        <v/>
      </c>
    </row>
    <row r="45">
      <c r="B45" s="160" t="n">
        <v>41698</v>
      </c>
      <c r="C45" s="167" t="n">
        <v>52.5220909118652</v>
      </c>
      <c r="D45" s="34">
        <f>(C45-C44)/C44</f>
        <v/>
      </c>
    </row>
    <row r="46">
      <c r="B46" s="160" t="n">
        <v>41729</v>
      </c>
      <c r="C46" s="167" t="n">
        <v>51.3074073791504</v>
      </c>
      <c r="D46" s="34">
        <f>(C46-C45)/C45</f>
        <v/>
      </c>
    </row>
    <row r="47">
      <c r="B47" s="160" t="n">
        <v>41759</v>
      </c>
      <c r="C47" s="167" t="n">
        <v>51.0237464904785</v>
      </c>
      <c r="D47" s="34">
        <f>(C47-C46)/C46</f>
        <v/>
      </c>
    </row>
    <row r="48">
      <c r="B48" s="160" t="n">
        <v>41790</v>
      </c>
      <c r="C48" s="167" t="n">
        <v>50.2309265136719</v>
      </c>
      <c r="D48" s="34">
        <f>(C48-C47)/C47</f>
        <v/>
      </c>
    </row>
    <row r="49">
      <c r="B49" s="160" t="n">
        <v>41820</v>
      </c>
      <c r="C49" s="167" t="n">
        <v>49.2662773132324</v>
      </c>
      <c r="D49" s="34">
        <f>(C49-C48)/C48</f>
        <v/>
      </c>
    </row>
    <row r="50">
      <c r="B50" s="160" t="n">
        <v>41851</v>
      </c>
      <c r="C50" s="167" t="n">
        <v>46.5354728698731</v>
      </c>
      <c r="D50" s="34">
        <f>(C50-C49)/C49</f>
        <v/>
      </c>
    </row>
    <row r="51">
      <c r="B51" s="160" t="n">
        <v>41882</v>
      </c>
      <c r="C51" s="167" t="n">
        <v>44.453800201416</v>
      </c>
      <c r="D51" s="34">
        <f>(C51-C50)/C50</f>
        <v/>
      </c>
    </row>
    <row r="52">
      <c r="B52" s="160" t="n">
        <v>41912</v>
      </c>
      <c r="C52" s="167" t="n">
        <v>42.7899551391602</v>
      </c>
      <c r="D52" s="34">
        <f>(C52-C51)/C51</f>
        <v/>
      </c>
    </row>
    <row r="53">
      <c r="B53" s="160" t="n">
        <v>41943</v>
      </c>
      <c r="C53" s="167" t="n">
        <v>44.1926651000977</v>
      </c>
      <c r="D53" s="34">
        <f>(C53-C52)/C52</f>
        <v/>
      </c>
    </row>
    <row r="54">
      <c r="B54" s="160" t="n">
        <v>41973</v>
      </c>
      <c r="C54" s="167" t="n">
        <v>48.1396293640137</v>
      </c>
      <c r="D54" s="34">
        <f>(C54-C53)/C53</f>
        <v/>
      </c>
    </row>
    <row r="55">
      <c r="B55" s="160" t="n">
        <v>42004</v>
      </c>
      <c r="C55" s="167" t="n">
        <v>45.1626129150391</v>
      </c>
      <c r="D55" s="34">
        <f>(C55-C54)/C54</f>
        <v/>
      </c>
    </row>
    <row r="56">
      <c r="B56" s="160" t="n">
        <v>42035</v>
      </c>
      <c r="C56" s="167" t="n">
        <v>50.8928108215332</v>
      </c>
      <c r="D56" s="34">
        <f>(C56-C55)/C55</f>
        <v/>
      </c>
    </row>
    <row r="57">
      <c r="B57" s="160" t="n">
        <v>42063</v>
      </c>
      <c r="C57" s="167" t="n">
        <v>64.0543594360352</v>
      </c>
      <c r="D57" s="34">
        <f>(C57-C56)/C56</f>
        <v/>
      </c>
    </row>
    <row r="58">
      <c r="B58" s="160" t="n">
        <v>42094</v>
      </c>
      <c r="C58" s="167" t="n">
        <v>63.2485504150391</v>
      </c>
      <c r="D58" s="34">
        <f>(C58-C57)/C57</f>
        <v/>
      </c>
    </row>
    <row r="59">
      <c r="B59" s="160" t="n">
        <v>42124</v>
      </c>
      <c r="C59" s="167" t="n">
        <v>70.209846496582</v>
      </c>
      <c r="D59" s="34">
        <f>(C59-C58)/C58</f>
        <v/>
      </c>
    </row>
    <row r="60">
      <c r="B60" s="160" t="n">
        <v>42155</v>
      </c>
      <c r="C60" s="167" t="n">
        <v>70.5306777954102</v>
      </c>
      <c r="D60" s="34">
        <f>(C60-C59)/C59</f>
        <v/>
      </c>
    </row>
    <row r="61">
      <c r="B61" s="160" t="n">
        <v>42185</v>
      </c>
      <c r="C61" s="167" t="n">
        <v>71.1511306762695</v>
      </c>
      <c r="D61" s="34">
        <f>(C61-C60)/C60</f>
        <v/>
      </c>
    </row>
    <row r="62">
      <c r="B62" s="160" t="n">
        <v>42216</v>
      </c>
      <c r="C62" s="167" t="n">
        <v>63.8090591430664</v>
      </c>
      <c r="D62" s="34">
        <f>(C62-C61)/C61</f>
        <v/>
      </c>
    </row>
    <row r="63">
      <c r="B63" s="160" t="n">
        <v>42247</v>
      </c>
      <c r="C63" s="167" t="n">
        <v>56.4288864135742</v>
      </c>
      <c r="D63" s="34">
        <f>(C63-C62)/C62</f>
        <v/>
      </c>
    </row>
    <row r="64">
      <c r="B64" s="160" t="n">
        <v>42277</v>
      </c>
      <c r="C64" s="167" t="n">
        <v>48.7440872192383</v>
      </c>
      <c r="D64" s="34">
        <f>(C64-C63)/C63</f>
        <v/>
      </c>
    </row>
    <row r="65">
      <c r="B65" s="160" t="n">
        <v>42308</v>
      </c>
      <c r="C65" s="167" t="n">
        <v>65.2942276000977</v>
      </c>
      <c r="D65" s="34">
        <f>(C65-C64)/C64</f>
        <v/>
      </c>
    </row>
    <row r="66">
      <c r="B66" s="160" t="n">
        <v>42338</v>
      </c>
      <c r="C66" s="167" t="n">
        <v>72.7429275512695</v>
      </c>
      <c r="D66" s="34">
        <f>(C66-C65)/C65</f>
        <v/>
      </c>
    </row>
    <row r="67">
      <c r="B67" s="160" t="n">
        <v>42369</v>
      </c>
      <c r="C67" s="167" t="n">
        <v>70.5494384765625</v>
      </c>
      <c r="D67" s="34">
        <f>(C67-C66)/C66</f>
        <v/>
      </c>
    </row>
    <row r="68">
      <c r="B68" s="160" t="n">
        <v>42400</v>
      </c>
      <c r="C68" s="167" t="n">
        <v>59.3535423278809</v>
      </c>
      <c r="D68" s="34">
        <f>(C68-C67)/C67</f>
        <v/>
      </c>
    </row>
    <row r="69">
      <c r="B69" s="160" t="n">
        <v>42429</v>
      </c>
      <c r="C69" s="167" t="n">
        <v>64.08323669433589</v>
      </c>
      <c r="D69" s="34">
        <f>(C69-C68)/C68</f>
        <v/>
      </c>
    </row>
    <row r="70">
      <c r="B70" s="160" t="n">
        <v>42460</v>
      </c>
      <c r="C70" s="167" t="n">
        <v>66.5052032470703</v>
      </c>
      <c r="D70" s="34">
        <f>(C70-C69)/C69</f>
        <v/>
      </c>
    </row>
    <row r="71">
      <c r="B71" s="160" t="n">
        <v>42490</v>
      </c>
      <c r="C71" s="167" t="n">
        <v>64.1898651123047</v>
      </c>
      <c r="D71" s="34">
        <f>(C71-C70)/C70</f>
        <v/>
      </c>
    </row>
    <row r="72">
      <c r="B72" s="160" t="n">
        <v>42521</v>
      </c>
      <c r="C72" s="167" t="n">
        <v>64.2355651855469</v>
      </c>
      <c r="D72" s="34">
        <f>(C72-C71)/C71</f>
        <v/>
      </c>
    </row>
    <row r="73">
      <c r="B73" s="160" t="n">
        <v>42551</v>
      </c>
      <c r="C73" s="167" t="n">
        <v>53.693790435791</v>
      </c>
      <c r="D73" s="34">
        <f>(C73-C72)/C72</f>
        <v/>
      </c>
    </row>
    <row r="74">
      <c r="B74" s="160" t="n">
        <v>42582</v>
      </c>
      <c r="C74" s="167" t="n">
        <v>61.3901023864746</v>
      </c>
      <c r="D74" s="34">
        <f>(C74-C73)/C73</f>
        <v/>
      </c>
    </row>
    <row r="75">
      <c r="B75" s="160" t="n">
        <v>42613</v>
      </c>
      <c r="C75" s="167" t="n">
        <v>57.5144805908203</v>
      </c>
      <c r="D75" s="34">
        <f>(C75-C74)/C74</f>
        <v/>
      </c>
    </row>
    <row r="76">
      <c r="B76" s="160" t="n">
        <v>42643</v>
      </c>
      <c r="C76" s="167" t="n">
        <v>57.3811149597168</v>
      </c>
      <c r="D76" s="34">
        <f>(C76-C75)/C75</f>
        <v/>
      </c>
    </row>
    <row r="77">
      <c r="B77" s="160" t="n">
        <v>42674</v>
      </c>
      <c r="C77" s="167" t="n">
        <v>62.0648155212402</v>
      </c>
      <c r="D77" s="34">
        <f>(C77-C76)/C76</f>
        <v/>
      </c>
    </row>
    <row r="78">
      <c r="B78" s="160" t="n">
        <v>42704</v>
      </c>
      <c r="C78" s="167" t="n">
        <v>58.3225631713867</v>
      </c>
      <c r="D78" s="34">
        <f>(C78-C77)/C77</f>
        <v/>
      </c>
    </row>
    <row r="79">
      <c r="B79" s="160" t="n">
        <v>42735</v>
      </c>
      <c r="C79" s="167" t="n">
        <v>66.3013153076172</v>
      </c>
      <c r="D79" s="34">
        <f>(C79-C78)/C78</f>
        <v/>
      </c>
    </row>
    <row r="80">
      <c r="B80" s="160" t="n">
        <v>42766</v>
      </c>
      <c r="C80" s="167" t="n">
        <v>65.414794921875</v>
      </c>
      <c r="D80" s="34">
        <f>(C80-C79)/C79</f>
        <v/>
      </c>
    </row>
    <row r="81">
      <c r="B81" s="160" t="n">
        <v>42794</v>
      </c>
      <c r="C81" s="167" t="n">
        <v>65.67369079589839</v>
      </c>
      <c r="D81" s="34">
        <f>(C81-C80)/C80</f>
        <v/>
      </c>
    </row>
    <row r="82">
      <c r="B82" s="160" t="n">
        <v>42825</v>
      </c>
      <c r="C82" s="167" t="n">
        <v>63.8849411010742</v>
      </c>
      <c r="D82" s="34">
        <f>(C82-C81)/C81</f>
        <v/>
      </c>
    </row>
    <row r="83">
      <c r="B83" s="160" t="n">
        <v>42855</v>
      </c>
      <c r="C83" s="167" t="n">
        <v>67.164306640625</v>
      </c>
      <c r="D83" s="34">
        <f>(C83-C82)/C82</f>
        <v/>
      </c>
    </row>
    <row r="84">
      <c r="B84" s="160" t="n">
        <v>42886</v>
      </c>
      <c r="C84" s="167" t="n">
        <v>65.18727874755859</v>
      </c>
      <c r="D84" s="34">
        <f>(C84-C83)/C83</f>
        <v/>
      </c>
    </row>
    <row r="85">
      <c r="B85" s="160" t="n">
        <v>42916</v>
      </c>
      <c r="C85" s="167" t="n">
        <v>62.1746406555176</v>
      </c>
      <c r="D85" s="34">
        <f>(C85-C84)/C84</f>
        <v/>
      </c>
    </row>
    <row r="86">
      <c r="B86" s="160" t="n">
        <v>42947</v>
      </c>
      <c r="C86" s="167" t="n">
        <v>62.1343955993652</v>
      </c>
      <c r="D86" s="34">
        <f>(C86-C85)/C85</f>
        <v/>
      </c>
    </row>
    <row r="87">
      <c r="B87" s="160" t="n">
        <v>42978</v>
      </c>
      <c r="C87" s="167" t="n">
        <v>60.65771484375</v>
      </c>
      <c r="D87" s="34">
        <f>(C87-C86)/C86</f>
        <v/>
      </c>
    </row>
    <row r="88">
      <c r="B88" s="160" t="n">
        <v>43008</v>
      </c>
      <c r="C88" s="167" t="n">
        <v>67.8044738769531</v>
      </c>
      <c r="D88" s="34">
        <f>(C88-C87)/C87</f>
        <v/>
      </c>
    </row>
    <row r="89">
      <c r="B89" s="160" t="n">
        <v>43039</v>
      </c>
      <c r="C89" s="167" t="n">
        <v>69.4606246948242</v>
      </c>
      <c r="D89" s="34">
        <f>(C89-C88)/C88</f>
        <v/>
      </c>
    </row>
    <row r="90">
      <c r="B90" s="160" t="n">
        <v>43069</v>
      </c>
      <c r="C90" s="167" t="n">
        <v>69.6564254760742</v>
      </c>
      <c r="D90" s="34">
        <f>(C90-C89)/C89</f>
        <v/>
      </c>
    </row>
    <row r="91">
      <c r="B91" s="160" t="n">
        <v>43100</v>
      </c>
      <c r="C91" s="167" t="n">
        <v>68.457145690918</v>
      </c>
      <c r="D91" s="34">
        <f>(C91-C90)/C90</f>
        <v/>
      </c>
    </row>
    <row r="92">
      <c r="B92" s="160" t="n">
        <v>43131</v>
      </c>
      <c r="C92" s="167" t="n">
        <v>72.2589569091797</v>
      </c>
      <c r="D92" s="34">
        <f>(C92-C91)/C91</f>
        <v/>
      </c>
    </row>
    <row r="93">
      <c r="B93" s="160" t="n">
        <v>43159</v>
      </c>
      <c r="C93" s="167" t="n">
        <v>73.0013809204102</v>
      </c>
      <c r="D93" s="34">
        <f>(C93-C92)/C92</f>
        <v/>
      </c>
    </row>
    <row r="94">
      <c r="B94" s="160" t="n">
        <v>43190</v>
      </c>
      <c r="C94" s="167" t="n">
        <v>80.3602676391602</v>
      </c>
      <c r="D94" s="34">
        <f>(C94-C93)/C93</f>
        <v/>
      </c>
    </row>
    <row r="95">
      <c r="B95" s="160" t="n">
        <v>43220</v>
      </c>
      <c r="C95" s="167" t="n">
        <v>73.2950820922852</v>
      </c>
      <c r="D95" s="34">
        <f>(C95-C94)/C94</f>
        <v/>
      </c>
    </row>
    <row r="96">
      <c r="B96" s="160" t="n">
        <v>43251</v>
      </c>
      <c r="C96" s="167" t="n">
        <v>67.41286468505859</v>
      </c>
      <c r="D96" s="34">
        <f>(C96-C95)/C95</f>
        <v/>
      </c>
    </row>
    <row r="97">
      <c r="B97" s="160" t="n">
        <v>43281</v>
      </c>
      <c r="C97" s="167" t="n">
        <v>59.4176368713379</v>
      </c>
      <c r="D97" s="34">
        <f>(C97-C96)/C96</f>
        <v/>
      </c>
    </row>
    <row r="98">
      <c r="B98" s="160" t="n">
        <v>43312</v>
      </c>
      <c r="C98" s="167" t="n">
        <v>64.2466201782227</v>
      </c>
      <c r="D98" s="34">
        <f>(C98-C97)/C97</f>
        <v/>
      </c>
    </row>
    <row r="99">
      <c r="B99" s="160" t="n">
        <v>43343</v>
      </c>
      <c r="C99" s="167" t="n">
        <v>63.3164978027344</v>
      </c>
      <c r="D99" s="34">
        <f>(C99-C98)/C98</f>
        <v/>
      </c>
    </row>
    <row r="100">
      <c r="B100" s="160" t="n">
        <v>43373</v>
      </c>
      <c r="C100" s="167" t="n">
        <v>63.5725021362305</v>
      </c>
      <c r="D100" s="34">
        <f>(C100-C99)/C99</f>
        <v/>
      </c>
    </row>
    <row r="101">
      <c r="B101" s="160" t="n">
        <v>43404</v>
      </c>
      <c r="C101" s="167" t="n">
        <v>56.3789901733398</v>
      </c>
      <c r="D101" s="34">
        <f>(C101-C100)/C100</f>
        <v/>
      </c>
    </row>
    <row r="102">
      <c r="B102" s="160" t="n">
        <v>43434</v>
      </c>
      <c r="C102" s="167" t="n">
        <v>52.9486351013184</v>
      </c>
      <c r="D102" s="34">
        <f>(C102-C101)/C101</f>
        <v/>
      </c>
    </row>
    <row r="103">
      <c r="B103" s="160" t="n">
        <v>43465</v>
      </c>
      <c r="C103" s="167" t="n">
        <v>46.5487213134766</v>
      </c>
      <c r="D103" s="34">
        <f>(C103-C102)/C102</f>
        <v/>
      </c>
    </row>
    <row r="104">
      <c r="B104" s="160" t="n">
        <v>43496</v>
      </c>
      <c r="C104" s="167" t="n">
        <v>52.7779769897461</v>
      </c>
      <c r="D104" s="34">
        <f>(C104-C103)/C103</f>
        <v/>
      </c>
    </row>
    <row r="105">
      <c r="B105" s="160" t="n">
        <v>43524</v>
      </c>
      <c r="C105" s="167" t="n">
        <v>51.3955917358398</v>
      </c>
      <c r="D105" s="34">
        <f>(C105-C104)/C104</f>
        <v/>
      </c>
    </row>
    <row r="106">
      <c r="B106" s="160" t="n">
        <v>43555</v>
      </c>
      <c r="C106" s="167" t="n">
        <v>50.2692070007324</v>
      </c>
      <c r="D106" s="34">
        <f>(C106-C105)/C105</f>
        <v/>
      </c>
    </row>
    <row r="107">
      <c r="B107" s="160" t="n">
        <v>43585</v>
      </c>
      <c r="C107" s="167" t="n">
        <v>51.8990516662598</v>
      </c>
      <c r="D107" s="34">
        <f>(C107-C106)/C106</f>
        <v/>
      </c>
    </row>
    <row r="108">
      <c r="B108" s="160" t="n">
        <v>43616</v>
      </c>
      <c r="C108" s="167" t="n">
        <v>46.0111274719238</v>
      </c>
      <c r="D108" s="34">
        <f>(C108-C107)/C107</f>
        <v/>
      </c>
    </row>
    <row r="109">
      <c r="B109" s="160" t="n">
        <v>43646</v>
      </c>
      <c r="C109" s="167" t="n">
        <v>47.1801795959473</v>
      </c>
      <c r="D109" s="34">
        <f>(C109-C108)/C108</f>
        <v/>
      </c>
    </row>
    <row r="110">
      <c r="B110" s="160" t="n">
        <v>43677</v>
      </c>
      <c r="C110" s="167" t="n">
        <v>46.035343170166</v>
      </c>
      <c r="D110" s="34">
        <f>(C110-C109)/C109</f>
        <v/>
      </c>
    </row>
    <row r="111">
      <c r="B111" s="160" t="n">
        <v>43708</v>
      </c>
      <c r="C111" s="167" t="n">
        <v>47.5109558105469</v>
      </c>
      <c r="D111" s="34">
        <f>(C111-C110)/C110</f>
        <v/>
      </c>
    </row>
    <row r="112">
      <c r="B112" s="160" t="n">
        <v>43738</v>
      </c>
      <c r="C112" s="167" t="n">
        <v>47.9663887023926</v>
      </c>
      <c r="D112" s="34">
        <f>(C112-C111)/C111</f>
        <v/>
      </c>
    </row>
    <row r="113">
      <c r="B113" s="160" t="n">
        <v>43769</v>
      </c>
      <c r="C113" s="167" t="n">
        <v>41.6813888549805</v>
      </c>
      <c r="D113" s="34">
        <f>(C113-C112)/C112</f>
        <v/>
      </c>
    </row>
    <row r="114">
      <c r="B114" s="160" t="n">
        <v>43799</v>
      </c>
      <c r="C114" s="167" t="n">
        <v>39.5818328857422</v>
      </c>
      <c r="D114" s="34">
        <f>(C114-C113)/C113</f>
        <v/>
      </c>
    </row>
    <row r="115">
      <c r="B115" s="160" t="n">
        <v>43830</v>
      </c>
      <c r="C115" s="167" t="n">
        <v>38.4204711914063</v>
      </c>
      <c r="D115" s="34">
        <f>(C115-C114)/C114</f>
        <v/>
      </c>
    </row>
    <row r="116">
      <c r="B116" s="160" t="n">
        <v>43861</v>
      </c>
      <c r="C116" s="167" t="n">
        <v>32.1035919189453</v>
      </c>
      <c r="D116" s="34">
        <f>(C116-C115)/C115</f>
        <v/>
      </c>
    </row>
    <row r="117">
      <c r="B117" s="160" t="n">
        <v>43890</v>
      </c>
      <c r="C117" s="167" t="n">
        <v>24.133487701416</v>
      </c>
      <c r="D117" s="34">
        <f>(C117-C116)/C116</f>
        <v/>
      </c>
    </row>
    <row r="118">
      <c r="B118" s="160" t="n">
        <v>43921</v>
      </c>
      <c r="C118" s="167" t="n">
        <v>16.129674911499</v>
      </c>
      <c r="D118" s="34">
        <f>(C118-C117)/C117</f>
        <v/>
      </c>
    </row>
    <row r="119">
      <c r="B119" s="160" t="n">
        <v>43951</v>
      </c>
      <c r="C119" s="167" t="n">
        <v>16.4922046661377</v>
      </c>
      <c r="D119" s="34">
        <f>(C119-C118)/C118</f>
        <v/>
      </c>
    </row>
    <row r="120">
      <c r="B120" s="160" t="n">
        <v>43982</v>
      </c>
      <c r="C120" s="167" t="n">
        <v>18.4041175842285</v>
      </c>
      <c r="D120" s="34">
        <f>(C120-C119)/C119</f>
        <v/>
      </c>
    </row>
    <row r="121">
      <c r="B121" s="160" t="n">
        <v>44012</v>
      </c>
      <c r="C121" s="167" t="n">
        <v>20.5674324035645</v>
      </c>
      <c r="D121" s="34">
        <f>(C121-C120)/C120</f>
        <v/>
      </c>
    </row>
    <row r="122">
      <c r="B122" s="160" t="n">
        <v>44043</v>
      </c>
      <c r="C122" s="167" t="n">
        <v>18.2674865722656</v>
      </c>
      <c r="D122" s="34">
        <f>(C122-C121)/C121</f>
        <v/>
      </c>
    </row>
    <row r="123">
      <c r="B123" s="160" t="n">
        <v>44074</v>
      </c>
      <c r="C123" s="167" t="n">
        <v>21.7151279449463</v>
      </c>
      <c r="D123" s="34">
        <f>(C123-C122)/C122</f>
        <v/>
      </c>
    </row>
    <row r="124">
      <c r="B124" s="160" t="n">
        <v>44104</v>
      </c>
      <c r="C124" s="167" t="n">
        <v>20.2167472839355</v>
      </c>
      <c r="D124" s="34">
        <f>(C124-C123)/C123</f>
        <v/>
      </c>
    </row>
    <row r="125">
      <c r="B125" s="160" t="n">
        <v>44135</v>
      </c>
      <c r="C125" s="167" t="n">
        <v>19.3605289459229</v>
      </c>
      <c r="D125" s="34">
        <f>(C125-C124)/C124</f>
        <v/>
      </c>
    </row>
    <row r="126">
      <c r="B126" s="160" t="n">
        <v>44165</v>
      </c>
      <c r="C126" s="167" t="n">
        <v>30.3820514678955</v>
      </c>
      <c r="D126" s="34">
        <f>(C126-C125)/C125</f>
        <v/>
      </c>
    </row>
    <row r="127">
      <c r="B127" s="160" t="n">
        <v>44196</v>
      </c>
      <c r="C127" s="167" t="n">
        <v>32.5726890563965</v>
      </c>
      <c r="D127" s="34">
        <f>(C127-C126)/C126</f>
        <v/>
      </c>
    </row>
    <row r="128">
      <c r="B128" s="160" t="n">
        <v>44227</v>
      </c>
      <c r="C128" s="167" t="n">
        <v>32.0990447998047</v>
      </c>
      <c r="D128" s="34">
        <f>(C128-C127)/C127</f>
        <v/>
      </c>
    </row>
    <row r="129">
      <c r="B129" s="160" t="n">
        <v>44255</v>
      </c>
      <c r="C129" s="167" t="n">
        <v>33.8160285949707</v>
      </c>
      <c r="D129" s="34">
        <f>(C129-C128)/C128</f>
        <v/>
      </c>
    </row>
    <row r="130">
      <c r="B130" s="160" t="n">
        <v>44286</v>
      </c>
      <c r="C130" s="167" t="n">
        <v>33.6384124755859</v>
      </c>
      <c r="D130" s="34">
        <f>(C130-C129)/C129</f>
        <v/>
      </c>
    </row>
    <row r="131">
      <c r="B131" s="160" t="n">
        <v>44316</v>
      </c>
      <c r="C131" s="167" t="n">
        <v>30.5368995666504</v>
      </c>
      <c r="D131" s="34">
        <f>(C131-C130)/C130</f>
        <v/>
      </c>
    </row>
    <row r="132">
      <c r="B132" s="160" t="n">
        <v>44347</v>
      </c>
      <c r="C132" s="167" t="n">
        <v>30.8192672729492</v>
      </c>
      <c r="D132" s="34">
        <f>(C132-C131)/C131</f>
        <v/>
      </c>
    </row>
    <row r="133">
      <c r="B133" s="160" t="n">
        <v>44377</v>
      </c>
      <c r="C133" s="167" t="n">
        <v>31.0469837188721</v>
      </c>
      <c r="D133" s="34">
        <f>(C133-C132)/C132</f>
        <v/>
      </c>
    </row>
    <row r="134">
      <c r="B134" s="160" t="n">
        <v>44408</v>
      </c>
      <c r="C134" s="167" t="n">
        <v>29.1705951690674</v>
      </c>
      <c r="D134" s="34">
        <f>(C134-C133)/C133</f>
        <v/>
      </c>
    </row>
    <row r="135">
      <c r="B135" s="160" t="n">
        <v>44439</v>
      </c>
      <c r="C135" s="167" t="n">
        <v>28.6468448638916</v>
      </c>
      <c r="D135" s="34">
        <f>(C135-C134)/C134</f>
        <v/>
      </c>
    </row>
    <row r="136">
      <c r="B136" s="160" t="n">
        <v>44469</v>
      </c>
      <c r="C136" s="167" t="n">
        <v>28.1413135528564</v>
      </c>
      <c r="D136" s="34">
        <f>(C136-C135)/C135</f>
        <v/>
      </c>
    </row>
    <row r="137">
      <c r="B137" s="160" t="n">
        <v>44500</v>
      </c>
      <c r="C137" s="167" t="n">
        <v>28.2916030883789</v>
      </c>
      <c r="D137" s="34">
        <f>(C137-C136)/C136</f>
        <v/>
      </c>
    </row>
    <row r="138">
      <c r="B138" s="160" t="n">
        <v>44530</v>
      </c>
      <c r="C138" s="167" t="n">
        <v>25.9233436584473</v>
      </c>
      <c r="D138" s="34">
        <f>(C138-C137)/C137</f>
        <v/>
      </c>
    </row>
    <row r="139">
      <c r="B139" s="160" t="n">
        <v>44561</v>
      </c>
      <c r="C139" s="167" t="n">
        <v>27.8225078582764</v>
      </c>
      <c r="D139" s="34">
        <f>(C139-C138)/C138</f>
        <v/>
      </c>
    </row>
    <row r="140">
      <c r="B140" s="160" t="n">
        <v>44592</v>
      </c>
      <c r="C140" s="167" t="n">
        <v>31.8030071258545</v>
      </c>
      <c r="D140" s="34">
        <f>(C140-C139)/C139</f>
        <v/>
      </c>
    </row>
    <row r="141">
      <c r="B141" s="160" t="n">
        <v>44620</v>
      </c>
      <c r="C141" s="167" t="n">
        <v>25.9962158203125</v>
      </c>
      <c r="D141" s="34">
        <f>(C141-C140)/C140</f>
        <v/>
      </c>
    </row>
    <row r="142">
      <c r="B142" s="160" t="n">
        <v>44651</v>
      </c>
      <c r="C142" s="167" t="n">
        <v>21.7470073699951</v>
      </c>
      <c r="D142" s="34">
        <f>(C142-C141)/C141</f>
        <v/>
      </c>
    </row>
    <row r="143">
      <c r="B143" s="160" t="n">
        <v>44681</v>
      </c>
      <c r="C143" s="167" t="n">
        <v>21.4737491607666</v>
      </c>
      <c r="D143" s="34">
        <f>(C143-C142)/C142</f>
        <v/>
      </c>
    </row>
    <row r="144">
      <c r="B144" s="160" t="n">
        <v>44712</v>
      </c>
      <c r="C144" s="167" t="n">
        <v>23.2727127075195</v>
      </c>
      <c r="D144" s="34">
        <f>(C144-C143)/C143</f>
        <v/>
      </c>
    </row>
    <row r="145">
      <c r="B145" s="160" t="n">
        <v>44742</v>
      </c>
      <c r="C145" s="167" t="n">
        <v>21.6695861816406</v>
      </c>
      <c r="D145" s="34">
        <f>(C145-C144)/C144</f>
        <v/>
      </c>
    </row>
    <row r="146">
      <c r="B146" s="160" t="n">
        <v>44773</v>
      </c>
      <c r="C146" s="167" t="n">
        <v>26.1829433441162</v>
      </c>
      <c r="D146" s="34">
        <f>(C146-C145)/C145</f>
        <v/>
      </c>
    </row>
    <row r="147">
      <c r="B147" s="160" t="n">
        <v>44804</v>
      </c>
      <c r="C147" s="167" t="n">
        <v>26.0599765777588</v>
      </c>
      <c r="D147" s="34">
        <f>(C147-C146)/C146</f>
        <v/>
      </c>
    </row>
    <row r="148">
      <c r="B148" s="160" t="n">
        <v>44834</v>
      </c>
      <c r="C148" s="167" t="n">
        <v>25.4770183563232</v>
      </c>
      <c r="D148" s="34">
        <f>(C148-C147)/C147</f>
        <v/>
      </c>
    </row>
    <row r="149">
      <c r="B149" s="160" t="n">
        <v>44865</v>
      </c>
      <c r="C149" s="167" t="n">
        <v>28.3918018341064</v>
      </c>
      <c r="D149" s="34">
        <f>(C149-C148)/C148</f>
        <v/>
      </c>
    </row>
    <row r="150">
      <c r="B150" s="160" t="n">
        <v>44895</v>
      </c>
      <c r="C150" s="167" t="n">
        <v>31.7073650360107</v>
      </c>
      <c r="D150" s="34">
        <f>(C150-C149)/C149</f>
        <v/>
      </c>
    </row>
    <row r="151">
      <c r="B151" s="160" t="n">
        <v>44926</v>
      </c>
      <c r="C151" s="167" t="n">
        <v>28.4874439239502</v>
      </c>
      <c r="D151" s="34">
        <f>(C151-C150)/C150</f>
        <v/>
      </c>
    </row>
    <row r="152">
      <c r="B152" s="160" t="n">
        <v>44957</v>
      </c>
      <c r="C152" s="167" t="n">
        <v>33.9207801818848</v>
      </c>
      <c r="D152" s="34">
        <f>(C152-C151)/C151</f>
        <v/>
      </c>
    </row>
    <row r="153">
      <c r="B153" s="160" t="n">
        <v>44985</v>
      </c>
      <c r="C153" s="167" t="n">
        <v>38.6846313476563</v>
      </c>
      <c r="D153" s="34">
        <f>(C153-C152)/C152</f>
        <v/>
      </c>
    </row>
    <row r="154">
      <c r="B154" s="160" t="n">
        <v>45016</v>
      </c>
      <c r="C154" s="167" t="n">
        <v>34.2486877441406</v>
      </c>
      <c r="D154" s="34">
        <f>(C154-C153)/C153</f>
        <v/>
      </c>
    </row>
    <row r="155">
      <c r="B155" s="160" t="n">
        <v>45046</v>
      </c>
      <c r="C155" s="167" t="n">
        <v>30.6325416564941</v>
      </c>
      <c r="D155" s="34">
        <f>(C155-C154)/C154</f>
        <v/>
      </c>
    </row>
    <row r="156">
      <c r="B156" s="160" t="n">
        <v>45077</v>
      </c>
      <c r="C156" s="167" t="n">
        <v>28.4965496063232</v>
      </c>
      <c r="D156" s="34">
        <f>(C156-C155)/C155</f>
        <v/>
      </c>
    </row>
    <row r="157">
      <c r="B157" s="160" t="n">
        <v>45107</v>
      </c>
      <c r="C157" s="167" t="n">
        <v>35.4127082824707</v>
      </c>
      <c r="D157" s="34">
        <f>(C157-C156)/C156</f>
        <v/>
      </c>
    </row>
    <row r="158">
      <c r="B158" s="160" t="n">
        <v>45138</v>
      </c>
      <c r="C158" s="167" t="n">
        <v>36.6289291381836</v>
      </c>
      <c r="D158" s="34">
        <f>(C158-C157)/C157</f>
        <v/>
      </c>
    </row>
    <row r="159">
      <c r="B159" s="160" t="n">
        <v>45169</v>
      </c>
      <c r="C159" s="167" t="n">
        <v>34.2699127197266</v>
      </c>
      <c r="D159" s="34">
        <f>(C159-C158)/C158</f>
        <v/>
      </c>
    </row>
    <row r="160">
      <c r="B160" s="160" t="n">
        <v>45199</v>
      </c>
      <c r="C160" s="167" t="n">
        <v>35.6834869384766</v>
      </c>
      <c r="D160" s="34">
        <f>(C160-C159)/C159</f>
        <v/>
      </c>
    </row>
    <row r="161">
      <c r="B161" s="160" t="n">
        <v>45230</v>
      </c>
      <c r="C161" s="167" t="n">
        <v>30.3367004394531</v>
      </c>
      <c r="D161" s="34">
        <f>(C161-C160)/C160</f>
        <v/>
      </c>
    </row>
    <row r="162">
      <c r="B162" s="160" t="n">
        <v>45260</v>
      </c>
      <c r="C162" s="167" t="n">
        <v>33.0353355407715</v>
      </c>
      <c r="D162" s="34">
        <f>(C162-C161)/C161</f>
        <v/>
      </c>
    </row>
    <row r="163">
      <c r="B163" s="160" t="n">
        <v>45291</v>
      </c>
      <c r="C163" s="167" t="n">
        <v>33.8752174377441</v>
      </c>
      <c r="D163" s="34">
        <f>(C163-C162)/C162</f>
        <v/>
      </c>
    </row>
    <row r="164">
      <c r="B164" s="160" t="n">
        <v>45322</v>
      </c>
      <c r="C164" s="167" t="n">
        <v>32.1908645629883</v>
      </c>
      <c r="D164" s="34">
        <f>(C164-C163)/C163</f>
        <v/>
      </c>
    </row>
    <row r="165">
      <c r="B165" s="160" t="n">
        <v>45351</v>
      </c>
      <c r="C165" s="167" t="n">
        <v>35.3668098449707</v>
      </c>
      <c r="D165" s="34">
        <f>(C165-C164)/C164</f>
        <v/>
      </c>
    </row>
    <row r="166">
      <c r="B166" s="160" t="n">
        <v>45382</v>
      </c>
      <c r="C166" s="167" t="n">
        <v>42.9532775878906</v>
      </c>
      <c r="D166" s="34">
        <f>(C166-C165)/C165</f>
        <v/>
      </c>
    </row>
    <row r="167">
      <c r="B167" s="160" t="n">
        <v>45412</v>
      </c>
      <c r="C167" s="167" t="n">
        <v>42.9027976989746</v>
      </c>
      <c r="D167" s="34">
        <f>(C167-C166)/C166</f>
        <v/>
      </c>
    </row>
    <row r="168">
      <c r="B168" s="160" t="n">
        <v>45443</v>
      </c>
      <c r="C168" s="167" t="n">
        <v>49.1812553405762</v>
      </c>
      <c r="D168" s="34">
        <f>(C168-C167)/C167</f>
        <v/>
      </c>
    </row>
    <row r="169">
      <c r="B169" s="160" t="n">
        <v>45473</v>
      </c>
      <c r="C169" s="167" t="n">
        <v>45.6256484985352</v>
      </c>
      <c r="D169" s="34">
        <f>(C169-C168)/C168</f>
        <v/>
      </c>
    </row>
    <row r="170">
      <c r="B170" s="160" t="n">
        <v>45504</v>
      </c>
      <c r="C170" s="167" t="n">
        <v>42.7645111083984</v>
      </c>
      <c r="D170" s="34">
        <f>(C170-C169)/C169</f>
        <v/>
      </c>
    </row>
    <row r="171">
      <c r="B171" s="160" t="n">
        <v>45535</v>
      </c>
      <c r="C171" s="167" t="n">
        <v>40.9619903564453</v>
      </c>
      <c r="D171" s="34">
        <f>(C171-C170)/C170</f>
        <v/>
      </c>
    </row>
    <row r="172">
      <c r="B172" s="160" t="n">
        <v>45565</v>
      </c>
      <c r="C172" s="167" t="n">
        <v>37.1852874755859</v>
      </c>
      <c r="D172" s="34">
        <f>(C172-C171)/C171</f>
        <v/>
      </c>
    </row>
    <row r="173">
      <c r="B173" s="160" t="n">
        <v>45596</v>
      </c>
      <c r="C173" s="167" t="n">
        <v>39.9605941772461</v>
      </c>
      <c r="D173" s="34">
        <f>(C173-C172)/C172</f>
        <v/>
      </c>
    </row>
    <row r="174">
      <c r="B174" s="160" t="n">
        <v>45626</v>
      </c>
      <c r="C174" s="167" t="n">
        <v>38.6540031433106</v>
      </c>
      <c r="D174" s="34">
        <f>(C174-C173)/C173</f>
        <v/>
      </c>
    </row>
    <row r="175">
      <c r="B175" s="160" t="n">
        <v>45657</v>
      </c>
      <c r="C175" s="167" t="n">
        <v>44.8722152709961</v>
      </c>
      <c r="D175" s="34">
        <f>(C175-C174)/C174</f>
        <v/>
      </c>
    </row>
    <row r="176">
      <c r="B176" s="160" t="n">
        <v>45688</v>
      </c>
      <c r="C176" s="167" t="n">
        <v>47.3518714904785</v>
      </c>
      <c r="D176" s="34">
        <f>(C176-C175)/C175</f>
        <v/>
      </c>
    </row>
    <row r="177">
      <c r="B177" s="160" t="n">
        <v>45716</v>
      </c>
      <c r="C177" s="167" t="n">
        <v>47.5330772399902</v>
      </c>
      <c r="D177" s="34">
        <f>(C177-C176)/C176</f>
        <v/>
      </c>
    </row>
    <row r="178">
      <c r="B178" s="160" t="n">
        <v>45747</v>
      </c>
      <c r="C178" s="167" t="n">
        <v>44.3953590393066</v>
      </c>
      <c r="D178" s="34">
        <f>(C178-C177)/C177</f>
        <v/>
      </c>
    </row>
    <row r="179">
      <c r="B179" s="160" t="n">
        <v>45777</v>
      </c>
      <c r="C179" s="167" t="n">
        <v>44.4716567993164</v>
      </c>
      <c r="D179" s="34">
        <f>(C179-C178)/C178</f>
        <v/>
      </c>
    </row>
    <row r="180">
      <c r="B180" s="160" t="n">
        <v>45808</v>
      </c>
      <c r="C180" s="167" t="n">
        <v>43.2795143127441</v>
      </c>
      <c r="D180" s="34">
        <f>(C180-C179)/C179</f>
        <v/>
      </c>
    </row>
    <row r="181">
      <c r="B181" s="160" t="n">
        <v>45838</v>
      </c>
      <c r="C181" s="167" t="n">
        <v>39.1300010681152</v>
      </c>
      <c r="D181" s="34">
        <f>(C181-C180)/C180</f>
        <v/>
      </c>
    </row>
    <row r="182">
      <c r="B182" s="160" t="n">
        <v>45869</v>
      </c>
      <c r="C182" s="167" t="n">
        <v>32.7099990844727</v>
      </c>
      <c r="D182" s="34">
        <f>(C182-C181)/C181</f>
        <v/>
      </c>
    </row>
    <row r="183">
      <c r="B183" s="160" t="n">
        <v>45900</v>
      </c>
      <c r="C183" s="167" t="n">
        <v>33.5999984741211</v>
      </c>
      <c r="D183" s="34">
        <f>(C183-C182)/C182</f>
        <v/>
      </c>
    </row>
  </sheetData>
  <pageMargins left="0.7" right="0.7" top="0.75" bottom="0.75" header="0.3" footer="0.3"/>
</worksheet>
</file>

<file path=xl/worksheets/sheet20.xml><?xml version="1.0" encoding="utf-8"?>
<worksheet xmlns="http://schemas.openxmlformats.org/spreadsheetml/2006/main">
  <sheetPr>
    <tabColor theme="7" tint="0.7999816888943144"/>
    <outlinePr summaryBelow="1" summaryRight="1"/>
    <pageSetUpPr/>
  </sheetPr>
  <dimension ref="B2:D183"/>
  <sheetViews>
    <sheetView showGridLines="0" workbookViewId="0">
      <selection activeCell="N31" sqref="N31"/>
    </sheetView>
  </sheetViews>
  <sheetFormatPr baseColWidth="10" defaultColWidth="10.83203125" defaultRowHeight="15"/>
  <cols>
    <col width="11.6640625" bestFit="1" customWidth="1" min="3" max="3"/>
  </cols>
  <sheetData>
    <row r="2">
      <c r="B2" s="30" t="inlineStr">
        <is>
          <t>Date</t>
        </is>
      </c>
      <c r="C2" t="inlineStr">
        <is>
          <t>SAN.PA</t>
        </is>
      </c>
      <c r="D2" t="inlineStr">
        <is>
          <t>Monthly Return</t>
        </is>
      </c>
    </row>
    <row r="3">
      <c r="B3" s="160" t="inlineStr">
        <is>
          <t>2010-08</t>
        </is>
      </c>
      <c r="C3" s="167" t="n">
        <v>25.0827789306641</v>
      </c>
    </row>
    <row r="4">
      <c r="B4" s="160" t="n">
        <v>40451</v>
      </c>
      <c r="C4" s="167" t="n">
        <v>27.0802001953125</v>
      </c>
      <c r="D4" s="34">
        <f>(C4-C3)/C3</f>
        <v/>
      </c>
    </row>
    <row r="5">
      <c r="B5" s="160" t="n">
        <v>40482</v>
      </c>
      <c r="C5" s="167" t="n">
        <v>27.803258895874</v>
      </c>
      <c r="D5" s="34">
        <f>(C5-C4)/C4</f>
        <v/>
      </c>
    </row>
    <row r="6">
      <c r="B6" s="160" t="n">
        <v>40512</v>
      </c>
      <c r="C6" s="167" t="n">
        <v>25.8086051940918</v>
      </c>
      <c r="D6" s="34">
        <f>(C6-C5)/C5</f>
        <v/>
      </c>
    </row>
    <row r="7">
      <c r="B7" s="160" t="n">
        <v>40543</v>
      </c>
      <c r="C7" s="167" t="n">
        <v>26.5122814178467</v>
      </c>
      <c r="D7" s="34">
        <f>(C7-C6)/C6</f>
        <v/>
      </c>
    </row>
    <row r="8">
      <c r="B8" s="160" t="n">
        <v>40574</v>
      </c>
      <c r="C8" s="167" t="n">
        <v>27.6342678070068</v>
      </c>
      <c r="D8" s="34">
        <f>(C8-C7)/C7</f>
        <v/>
      </c>
    </row>
    <row r="9">
      <c r="B9" s="160" t="n">
        <v>40602</v>
      </c>
      <c r="C9" s="167" t="n">
        <v>27.7035255432129</v>
      </c>
      <c r="D9" s="34">
        <f>(C9-C8)/C8</f>
        <v/>
      </c>
    </row>
    <row r="10">
      <c r="B10" s="160" t="n">
        <v>40633</v>
      </c>
      <c r="C10" s="167" t="n">
        <v>27.4126358032227</v>
      </c>
      <c r="D10" s="34">
        <f>(C10-C9)/C9</f>
        <v/>
      </c>
    </row>
    <row r="11">
      <c r="B11" s="160" t="n">
        <v>40663</v>
      </c>
      <c r="C11" s="167" t="n">
        <v>29.587366104126</v>
      </c>
      <c r="D11" s="34">
        <f>(C11-C10)/C10</f>
        <v/>
      </c>
    </row>
    <row r="12">
      <c r="B12" s="160" t="n">
        <v>40694</v>
      </c>
      <c r="C12" s="167" t="n">
        <v>30.4849548339844</v>
      </c>
      <c r="D12" s="34">
        <f>(C12-C11)/C11</f>
        <v/>
      </c>
    </row>
    <row r="13">
      <c r="B13" s="160" t="n">
        <v>40724</v>
      </c>
      <c r="C13" s="167" t="n">
        <v>32.1543006896973</v>
      </c>
      <c r="D13" s="34">
        <f>(C13-C12)/C12</f>
        <v/>
      </c>
    </row>
    <row r="14">
      <c r="B14" s="160" t="n">
        <v>40755</v>
      </c>
      <c r="C14" s="167" t="n">
        <v>31.4873218536377</v>
      </c>
      <c r="D14" s="34">
        <f>(C14-C13)/C13</f>
        <v/>
      </c>
    </row>
    <row r="15">
      <c r="B15" s="160" t="n">
        <v>40786</v>
      </c>
      <c r="C15" s="167" t="n">
        <v>29.0397930145264</v>
      </c>
      <c r="D15" s="34">
        <f>(C15-C14)/C14</f>
        <v/>
      </c>
    </row>
    <row r="16">
      <c r="B16" s="160" t="n">
        <v>40816</v>
      </c>
      <c r="C16" s="167" t="n">
        <v>28.6222057342529</v>
      </c>
      <c r="D16" s="34">
        <f>(C16-C15)/C15</f>
        <v/>
      </c>
    </row>
    <row r="17">
      <c r="B17" s="160" t="n">
        <v>40847</v>
      </c>
      <c r="C17" s="167" t="n">
        <v>30.1359615325928</v>
      </c>
      <c r="D17" s="34">
        <f>(C17-C16)/C16</f>
        <v/>
      </c>
    </row>
    <row r="18">
      <c r="B18" s="160" t="n">
        <v>40877</v>
      </c>
      <c r="C18" s="167" t="n">
        <v>30.2113552093506</v>
      </c>
      <c r="D18" s="34">
        <f>(C18-C17)/C17</f>
        <v/>
      </c>
    </row>
    <row r="19">
      <c r="B19" s="160" t="n">
        <v>40908</v>
      </c>
      <c r="C19" s="167" t="n">
        <v>32.9140777587891</v>
      </c>
      <c r="D19" s="34">
        <f>(C19-C18)/C18</f>
        <v/>
      </c>
    </row>
    <row r="20">
      <c r="B20" s="160" t="n">
        <v>40939</v>
      </c>
      <c r="C20" s="167" t="n">
        <v>32.7516860961914</v>
      </c>
      <c r="D20" s="34">
        <f>(C20-C19)/C19</f>
        <v/>
      </c>
    </row>
    <row r="21">
      <c r="B21" s="160" t="n">
        <v>40968</v>
      </c>
      <c r="C21" s="167" t="n">
        <v>32.1948966979981</v>
      </c>
      <c r="D21" s="34">
        <f>(C21-C20)/C20</f>
        <v/>
      </c>
    </row>
    <row r="22">
      <c r="B22" s="160" t="n">
        <v>40999</v>
      </c>
      <c r="C22" s="167" t="n">
        <v>33.7724647521973</v>
      </c>
      <c r="D22" s="34">
        <f>(C22-C21)/C21</f>
        <v/>
      </c>
    </row>
    <row r="23">
      <c r="B23" s="160" t="n">
        <v>41029</v>
      </c>
      <c r="C23" s="167" t="n">
        <v>33.4418640136719</v>
      </c>
      <c r="D23" s="34">
        <f>(C23-C22)/C22</f>
        <v/>
      </c>
    </row>
    <row r="24">
      <c r="B24" s="160" t="n">
        <v>41060</v>
      </c>
      <c r="C24" s="167" t="n">
        <v>31.8991050720215</v>
      </c>
      <c r="D24" s="34">
        <f>(C24-C23)/C23</f>
        <v/>
      </c>
    </row>
    <row r="25">
      <c r="B25" s="160" t="n">
        <v>41090</v>
      </c>
      <c r="C25" s="167" t="n">
        <v>36.3135757446289</v>
      </c>
      <c r="D25" s="34">
        <f>(C25-C24)/C24</f>
        <v/>
      </c>
    </row>
    <row r="26">
      <c r="B26" s="160" t="n">
        <v>41121</v>
      </c>
      <c r="C26" s="167" t="n">
        <v>40.4044761657715</v>
      </c>
      <c r="D26" s="34">
        <f>(C26-C25)/C25</f>
        <v/>
      </c>
    </row>
    <row r="27">
      <c r="B27" s="160" t="n">
        <v>41152</v>
      </c>
      <c r="C27" s="167" t="n">
        <v>39.5413208007813</v>
      </c>
      <c r="D27" s="34">
        <f>(C27-C26)/C26</f>
        <v/>
      </c>
    </row>
    <row r="28">
      <c r="B28" s="160" t="n">
        <v>41182</v>
      </c>
      <c r="C28" s="167" t="n">
        <v>40.3315391540527</v>
      </c>
      <c r="D28" s="34">
        <f>(C28-C27)/C27</f>
        <v/>
      </c>
    </row>
    <row r="29">
      <c r="B29" s="160" t="n">
        <v>41213</v>
      </c>
      <c r="C29" s="167" t="n">
        <v>41.2250938415527</v>
      </c>
      <c r="D29" s="34">
        <f>(C29-C28)/C28</f>
        <v/>
      </c>
    </row>
    <row r="30">
      <c r="B30" s="160" t="n">
        <v>41243</v>
      </c>
      <c r="C30" s="167" t="n">
        <v>41.7357025146484</v>
      </c>
      <c r="D30" s="34">
        <f>(C30-C29)/C29</f>
        <v/>
      </c>
    </row>
    <row r="31">
      <c r="B31" s="160" t="n">
        <v>41274</v>
      </c>
      <c r="C31" s="167" t="n">
        <v>43.395149230957</v>
      </c>
      <c r="D31" s="34">
        <f>(C31-C30)/C30</f>
        <v/>
      </c>
    </row>
    <row r="32">
      <c r="B32" s="160" t="n">
        <v>41305</v>
      </c>
      <c r="C32" s="167" t="n">
        <v>43.6808433532715</v>
      </c>
      <c r="D32" s="34">
        <f>(C32-C31)/C31</f>
        <v/>
      </c>
    </row>
    <row r="33">
      <c r="B33" s="160" t="n">
        <v>41333</v>
      </c>
      <c r="C33" s="167" t="n">
        <v>44.1184997558594</v>
      </c>
      <c r="D33" s="34">
        <f>(C33-C32)/C32</f>
        <v/>
      </c>
    </row>
    <row r="34">
      <c r="B34" s="160" t="n">
        <v>41364</v>
      </c>
      <c r="C34" s="167" t="n">
        <v>48.1850891113281</v>
      </c>
      <c r="D34" s="34">
        <f>(C34-C33)/C33</f>
        <v/>
      </c>
    </row>
    <row r="35">
      <c r="B35" s="160" t="n">
        <v>41394</v>
      </c>
      <c r="C35" s="167" t="n">
        <v>50.5861434936523</v>
      </c>
      <c r="D35" s="34">
        <f>(C35-C34)/C34</f>
        <v/>
      </c>
    </row>
    <row r="36">
      <c r="B36" s="160" t="n">
        <v>41425</v>
      </c>
      <c r="C36" s="167" t="n">
        <v>50.1545562744141</v>
      </c>
      <c r="D36" s="34">
        <f>(C36-C35)/C35</f>
        <v/>
      </c>
    </row>
    <row r="37">
      <c r="B37" s="160" t="n">
        <v>41455</v>
      </c>
      <c r="C37" s="167" t="n">
        <v>50.0108909606934</v>
      </c>
      <c r="D37" s="34">
        <f>(C37-C36)/C36</f>
        <v/>
      </c>
    </row>
    <row r="38">
      <c r="B38" s="160" t="n">
        <v>41486</v>
      </c>
      <c r="C38" s="167" t="n">
        <v>50.3563690185547</v>
      </c>
      <c r="D38" s="34">
        <f>(C38-C37)/C37</f>
        <v/>
      </c>
    </row>
    <row r="39">
      <c r="B39" s="160" t="n">
        <v>41517</v>
      </c>
      <c r="C39" s="167" t="n">
        <v>45.6580314636231</v>
      </c>
      <c r="D39" s="34">
        <f>(C39-C38)/C38</f>
        <v/>
      </c>
    </row>
    <row r="40">
      <c r="B40" s="160" t="n">
        <v>41547</v>
      </c>
      <c r="C40" s="167" t="n">
        <v>47.0901298522949</v>
      </c>
      <c r="D40" s="34">
        <f>(C40-C39)/C39</f>
        <v/>
      </c>
    </row>
    <row r="41">
      <c r="B41" s="160" t="n">
        <v>41578</v>
      </c>
      <c r="C41" s="167" t="n">
        <v>49.3325233459473</v>
      </c>
      <c r="D41" s="34">
        <f>(C41-C40)/C40</f>
        <v/>
      </c>
    </row>
    <row r="42">
      <c r="B42" s="160" t="n">
        <v>41608</v>
      </c>
      <c r="C42" s="167" t="n">
        <v>48.8928375244141</v>
      </c>
      <c r="D42" s="34">
        <f>(C42-C41)/C41</f>
        <v/>
      </c>
    </row>
    <row r="43">
      <c r="B43" s="160" t="n">
        <v>41639</v>
      </c>
      <c r="C43" s="167" t="n">
        <v>48.440601348877</v>
      </c>
      <c r="D43" s="34">
        <f>(C43-C42)/C42</f>
        <v/>
      </c>
    </row>
    <row r="44">
      <c r="B44" s="160" t="n">
        <v>41670</v>
      </c>
      <c r="C44" s="167" t="n">
        <v>45.7271194458008</v>
      </c>
      <c r="D44" s="34">
        <f>(C44-C43)/C43</f>
        <v/>
      </c>
    </row>
    <row r="45">
      <c r="B45" s="160" t="n">
        <v>41698</v>
      </c>
      <c r="C45" s="167" t="n">
        <v>47.3162574768066</v>
      </c>
      <c r="D45" s="34">
        <f>(C45-C44)/C44</f>
        <v/>
      </c>
    </row>
    <row r="46">
      <c r="B46" s="160" t="n">
        <v>41729</v>
      </c>
      <c r="C46" s="167" t="n">
        <v>47.5361022949219</v>
      </c>
      <c r="D46" s="34">
        <f>(C46-C45)/C45</f>
        <v/>
      </c>
    </row>
    <row r="47">
      <c r="B47" s="160" t="n">
        <v>41759</v>
      </c>
      <c r="C47" s="167" t="n">
        <v>49.0059127807617</v>
      </c>
      <c r="D47" s="34">
        <f>(C47-C46)/C46</f>
        <v/>
      </c>
    </row>
    <row r="48">
      <c r="B48" s="160" t="n">
        <v>41790</v>
      </c>
      <c r="C48" s="167" t="n">
        <v>49.2697143554688</v>
      </c>
      <c r="D48" s="34">
        <f>(C48-C47)/C47</f>
        <v/>
      </c>
    </row>
    <row r="49">
      <c r="B49" s="160" t="n">
        <v>41820</v>
      </c>
      <c r="C49" s="167" t="n">
        <v>50.5450401306152</v>
      </c>
      <c r="D49" s="34">
        <f>(C49-C48)/C48</f>
        <v/>
      </c>
    </row>
    <row r="50">
      <c r="B50" s="160" t="n">
        <v>41851</v>
      </c>
      <c r="C50" s="167" t="n">
        <v>51.2226181030273</v>
      </c>
      <c r="D50" s="34">
        <f>(C50-C49)/C49</f>
        <v/>
      </c>
    </row>
    <row r="51">
      <c r="B51" s="160" t="n">
        <v>41882</v>
      </c>
      <c r="C51" s="167" t="n">
        <v>54.402042388916</v>
      </c>
      <c r="D51" s="34">
        <f>(C51-C50)/C50</f>
        <v/>
      </c>
    </row>
    <row r="52">
      <c r="B52" s="160" t="n">
        <v>41912</v>
      </c>
      <c r="C52" s="167" t="n">
        <v>58.3502655029297</v>
      </c>
      <c r="D52" s="34">
        <f>(C52-C51)/C51</f>
        <v/>
      </c>
    </row>
    <row r="53">
      <c r="B53" s="160" t="n">
        <v>41943</v>
      </c>
      <c r="C53" s="167" t="n">
        <v>47.9910697937012</v>
      </c>
      <c r="D53" s="34">
        <f>(C53-C52)/C52</f>
        <v/>
      </c>
    </row>
    <row r="54">
      <c r="B54" s="160" t="n">
        <v>41973</v>
      </c>
      <c r="C54" s="167" t="n">
        <v>50.7274627685547</v>
      </c>
      <c r="D54" s="34">
        <f>(C54-C53)/C53</f>
        <v/>
      </c>
    </row>
    <row r="55">
      <c r="B55" s="160" t="n">
        <v>42004</v>
      </c>
      <c r="C55" s="167" t="n">
        <v>49.2941207885742</v>
      </c>
      <c r="D55" s="34">
        <f>(C55-C54)/C54</f>
        <v/>
      </c>
    </row>
    <row r="56">
      <c r="B56" s="160" t="n">
        <v>42035</v>
      </c>
      <c r="C56" s="167" t="n">
        <v>53.4247550964356</v>
      </c>
      <c r="D56" s="34">
        <f>(C56-C55)/C55</f>
        <v/>
      </c>
    </row>
    <row r="57">
      <c r="B57" s="160" t="n">
        <v>42063</v>
      </c>
      <c r="C57" s="167" t="n">
        <v>57.1384315490723</v>
      </c>
      <c r="D57" s="34">
        <f>(C57-C56)/C56</f>
        <v/>
      </c>
    </row>
    <row r="58">
      <c r="B58" s="160" t="n">
        <v>42094</v>
      </c>
      <c r="C58" s="167" t="n">
        <v>59.8943672180176</v>
      </c>
      <c r="D58" s="34">
        <f>(C58-C57)/C57</f>
        <v/>
      </c>
    </row>
    <row r="59">
      <c r="B59" s="160" t="n">
        <v>42124</v>
      </c>
      <c r="C59" s="167" t="n">
        <v>59.4187622070313</v>
      </c>
      <c r="D59" s="34">
        <f>(C59-C58)/C58</f>
        <v/>
      </c>
    </row>
    <row r="60">
      <c r="B60" s="160" t="n">
        <v>42155</v>
      </c>
      <c r="C60" s="167" t="n">
        <v>58.083137512207</v>
      </c>
      <c r="D60" s="34">
        <f>(C60-C59)/C59</f>
        <v/>
      </c>
    </row>
    <row r="61">
      <c r="B61" s="160" t="n">
        <v>42185</v>
      </c>
      <c r="C61" s="167" t="n">
        <v>59.3449592590332</v>
      </c>
      <c r="D61" s="34">
        <f>(C61-C60)/C60</f>
        <v/>
      </c>
    </row>
    <row r="62">
      <c r="B62" s="160" t="n">
        <v>42216</v>
      </c>
      <c r="C62" s="167" t="n">
        <v>65.88877105712891</v>
      </c>
      <c r="D62" s="34">
        <f>(C62-C61)/C61</f>
        <v/>
      </c>
    </row>
    <row r="63">
      <c r="B63" s="160" t="n">
        <v>42247</v>
      </c>
      <c r="C63" s="167" t="n">
        <v>59.2978744506836</v>
      </c>
      <c r="D63" s="34">
        <f>(C63-C62)/C62</f>
        <v/>
      </c>
    </row>
    <row r="64">
      <c r="B64" s="160" t="n">
        <v>42277</v>
      </c>
      <c r="C64" s="167" t="n">
        <v>57.0919380187988</v>
      </c>
      <c r="D64" s="34">
        <f>(C64-C63)/C63</f>
        <v/>
      </c>
    </row>
    <row r="65">
      <c r="B65" s="160" t="n">
        <v>42308</v>
      </c>
      <c r="C65" s="167" t="n">
        <v>61.7728118896484</v>
      </c>
      <c r="D65" s="34">
        <f>(C65-C64)/C64</f>
        <v/>
      </c>
    </row>
    <row r="66">
      <c r="B66" s="160" t="n">
        <v>42338</v>
      </c>
      <c r="C66" s="167" t="n">
        <v>56.7489547729492</v>
      </c>
      <c r="D66" s="34">
        <f>(C66-C65)/C65</f>
        <v/>
      </c>
    </row>
    <row r="67">
      <c r="B67" s="160" t="n">
        <v>42369</v>
      </c>
      <c r="C67" s="167" t="n">
        <v>52.8616561889648</v>
      </c>
      <c r="D67" s="34">
        <f>(C67-C66)/C66</f>
        <v/>
      </c>
    </row>
    <row r="68">
      <c r="B68" s="160" t="n">
        <v>42400</v>
      </c>
      <c r="C68" s="167" t="n">
        <v>51.4829559326172</v>
      </c>
      <c r="D68" s="34">
        <f>(C68-C67)/C67</f>
        <v/>
      </c>
    </row>
    <row r="69">
      <c r="B69" s="160" t="n">
        <v>42429</v>
      </c>
      <c r="C69" s="167" t="n">
        <v>49.2232131958008</v>
      </c>
      <c r="D69" s="34">
        <f>(C69-C68)/C68</f>
        <v/>
      </c>
    </row>
    <row r="70">
      <c r="B70" s="160" t="n">
        <v>42460</v>
      </c>
      <c r="C70" s="167" t="n">
        <v>47.6562042236328</v>
      </c>
      <c r="D70" s="34">
        <f>(C70-C69)/C69</f>
        <v/>
      </c>
    </row>
    <row r="71">
      <c r="B71" s="160" t="n">
        <v>42490</v>
      </c>
      <c r="C71" s="167" t="n">
        <v>48.4968757629395</v>
      </c>
      <c r="D71" s="34">
        <f>(C71-C70)/C70</f>
        <v/>
      </c>
    </row>
    <row r="72">
      <c r="B72" s="160" t="n">
        <v>42521</v>
      </c>
      <c r="C72" s="167" t="n">
        <v>49.5594902038574</v>
      </c>
      <c r="D72" s="34">
        <f>(C72-C71)/C71</f>
        <v/>
      </c>
    </row>
    <row r="73">
      <c r="B73" s="160" t="n">
        <v>42551</v>
      </c>
      <c r="C73" s="167" t="n">
        <v>52.5422515869141</v>
      </c>
      <c r="D73" s="34">
        <f>(C73-C72)/C72</f>
        <v/>
      </c>
    </row>
    <row r="74">
      <c r="B74" s="160" t="n">
        <v>42582</v>
      </c>
      <c r="C74" s="167" t="n">
        <v>53.4048728942871</v>
      </c>
      <c r="D74" s="34">
        <f>(C74-C73)/C73</f>
        <v/>
      </c>
    </row>
    <row r="75">
      <c r="B75" s="160" t="n">
        <v>42613</v>
      </c>
      <c r="C75" s="167" t="n">
        <v>48.4395866394043</v>
      </c>
      <c r="D75" s="34">
        <f>(C75-C74)/C74</f>
        <v/>
      </c>
    </row>
    <row r="76">
      <c r="B76" s="160" t="n">
        <v>42643</v>
      </c>
      <c r="C76" s="167" t="n">
        <v>47.4367065429688</v>
      </c>
      <c r="D76" s="34">
        <f>(C76-C75)/C75</f>
        <v/>
      </c>
    </row>
    <row r="77">
      <c r="B77" s="160" t="n">
        <v>42674</v>
      </c>
      <c r="C77" s="167" t="n">
        <v>49.765064239502</v>
      </c>
      <c r="D77" s="34">
        <f>(C77-C76)/C76</f>
        <v/>
      </c>
    </row>
    <row r="78">
      <c r="B78" s="160" t="n">
        <v>42704</v>
      </c>
      <c r="C78" s="167" t="n">
        <v>53.3768272399902</v>
      </c>
      <c r="D78" s="34">
        <f>(C78-C77)/C77</f>
        <v/>
      </c>
    </row>
    <row r="79">
      <c r="B79" s="160" t="n">
        <v>42735</v>
      </c>
      <c r="C79" s="167" t="n">
        <v>53.9308624267578</v>
      </c>
      <c r="D79" s="34">
        <f>(C79-C78)/C78</f>
        <v/>
      </c>
    </row>
    <row r="80">
      <c r="B80" s="160" t="n">
        <v>42766</v>
      </c>
      <c r="C80" s="167" t="n">
        <v>52.2406959533691</v>
      </c>
      <c r="D80" s="34">
        <f>(C80-C79)/C79</f>
        <v/>
      </c>
    </row>
    <row r="81">
      <c r="B81" s="160" t="n">
        <v>42794</v>
      </c>
      <c r="C81" s="167" t="n">
        <v>57.0376663208008</v>
      </c>
      <c r="D81" s="34">
        <f>(C81-C80)/C80</f>
        <v/>
      </c>
    </row>
    <row r="82">
      <c r="B82" s="160" t="n">
        <v>42825</v>
      </c>
      <c r="C82" s="167" t="n">
        <v>59.3449783325195</v>
      </c>
      <c r="D82" s="34">
        <f>(C82-C81)/C81</f>
        <v/>
      </c>
    </row>
    <row r="83">
      <c r="B83" s="160" t="n">
        <v>42855</v>
      </c>
      <c r="C83" s="167" t="n">
        <v>60.7405967712402</v>
      </c>
      <c r="D83" s="34">
        <f>(C83-C82)/C82</f>
        <v/>
      </c>
    </row>
    <row r="84">
      <c r="B84" s="160" t="n">
        <v>42886</v>
      </c>
      <c r="C84" s="167" t="n">
        <v>61.8346405029297</v>
      </c>
      <c r="D84" s="34">
        <f>(C84-C83)/C83</f>
        <v/>
      </c>
    </row>
    <row r="85">
      <c r="B85" s="160" t="n">
        <v>42916</v>
      </c>
      <c r="C85" s="167" t="n">
        <v>60.6845016479492</v>
      </c>
      <c r="D85" s="34">
        <f>(C85-C84)/C84</f>
        <v/>
      </c>
    </row>
    <row r="86">
      <c r="B86" s="160" t="n">
        <v>42947</v>
      </c>
      <c r="C86" s="167" t="n">
        <v>58.4820098876953</v>
      </c>
      <c r="D86" s="34">
        <f>(C86-C85)/C85</f>
        <v/>
      </c>
    </row>
    <row r="87">
      <c r="B87" s="160" t="n">
        <v>42978</v>
      </c>
      <c r="C87" s="167" t="n">
        <v>59.1630363464356</v>
      </c>
      <c r="D87" s="34">
        <f>(C87-C86)/C86</f>
        <v/>
      </c>
    </row>
    <row r="88">
      <c r="B88" s="160" t="n">
        <v>43008</v>
      </c>
      <c r="C88" s="167" t="n">
        <v>60.8656272888184</v>
      </c>
      <c r="D88" s="34">
        <f>(C88-C87)/C87</f>
        <v/>
      </c>
    </row>
    <row r="89">
      <c r="B89" s="160" t="n">
        <v>43039</v>
      </c>
      <c r="C89" s="167" t="n">
        <v>58.8949813842773</v>
      </c>
      <c r="D89" s="34">
        <f>(C89-C88)/C88</f>
        <v/>
      </c>
    </row>
    <row r="90">
      <c r="B90" s="160" t="n">
        <v>43069</v>
      </c>
      <c r="C90" s="167" t="n">
        <v>55.4970436096191</v>
      </c>
      <c r="D90" s="34">
        <f>(C90-C89)/C89</f>
        <v/>
      </c>
    </row>
    <row r="91">
      <c r="B91" s="160" t="n">
        <v>43100</v>
      </c>
      <c r="C91" s="167" t="n">
        <v>52.0556449890137</v>
      </c>
      <c r="D91" s="34">
        <f>(C91-C90)/C90</f>
        <v/>
      </c>
    </row>
    <row r="92">
      <c r="B92" s="160" t="n">
        <v>43131</v>
      </c>
      <c r="C92" s="167" t="n">
        <v>51.5267639160156</v>
      </c>
      <c r="D92" s="34">
        <f>(C92-C91)/C91</f>
        <v/>
      </c>
    </row>
    <row r="93">
      <c r="B93" s="160" t="n">
        <v>43159</v>
      </c>
      <c r="C93" s="167" t="n">
        <v>47.1145286560059</v>
      </c>
      <c r="D93" s="34">
        <f>(C93-C92)/C92</f>
        <v/>
      </c>
    </row>
    <row r="94">
      <c r="B94" s="160" t="n">
        <v>43190</v>
      </c>
      <c r="C94" s="167" t="n">
        <v>47.3318786621094</v>
      </c>
      <c r="D94" s="34">
        <f>(C94-C93)/C93</f>
        <v/>
      </c>
    </row>
    <row r="95">
      <c r="B95" s="160" t="n">
        <v>43220</v>
      </c>
      <c r="C95" s="167" t="n">
        <v>47.665153503418</v>
      </c>
      <c r="D95" s="34">
        <f>(C95-C94)/C94</f>
        <v/>
      </c>
    </row>
    <row r="96">
      <c r="B96" s="160" t="n">
        <v>43251</v>
      </c>
      <c r="C96" s="167" t="n">
        <v>47.5492324829102</v>
      </c>
      <c r="D96" s="34">
        <f>(C96-C95)/C95</f>
        <v/>
      </c>
    </row>
    <row r="97">
      <c r="B97" s="160" t="n">
        <v>43281</v>
      </c>
      <c r="C97" s="167" t="n">
        <v>52.1392440795898</v>
      </c>
      <c r="D97" s="34">
        <f>(C97-C96)/C96</f>
        <v/>
      </c>
    </row>
    <row r="98">
      <c r="B98" s="160" t="n">
        <v>43312</v>
      </c>
      <c r="C98" s="167" t="n">
        <v>56.4835510253906</v>
      </c>
      <c r="D98" s="34">
        <f>(C98-C97)/C97</f>
        <v/>
      </c>
    </row>
    <row r="99">
      <c r="B99" s="160" t="n">
        <v>43343</v>
      </c>
      <c r="C99" s="167" t="n">
        <v>56.1949424743652</v>
      </c>
      <c r="D99" s="34">
        <f>(C99-C98)/C98</f>
        <v/>
      </c>
    </row>
    <row r="100">
      <c r="B100" s="160" t="n">
        <v>43373</v>
      </c>
      <c r="C100" s="167" t="n">
        <v>58.146842956543</v>
      </c>
      <c r="D100" s="34">
        <f>(C100-C99)/C99</f>
        <v/>
      </c>
    </row>
    <row r="101">
      <c r="B101" s="160" t="n">
        <v>43404</v>
      </c>
      <c r="C101" s="167" t="n">
        <v>59.8784713745117</v>
      </c>
      <c r="D101" s="34">
        <f>(C101-C100)/C100</f>
        <v/>
      </c>
    </row>
    <row r="102">
      <c r="B102" s="160" t="n">
        <v>43434</v>
      </c>
      <c r="C102" s="167" t="n">
        <v>60.6151924133301</v>
      </c>
      <c r="D102" s="34">
        <f>(C102-C101)/C101</f>
        <v/>
      </c>
    </row>
    <row r="103">
      <c r="B103" s="160" t="n">
        <v>43465</v>
      </c>
      <c r="C103" s="167" t="n">
        <v>57.4632987976074</v>
      </c>
      <c r="D103" s="34">
        <f>(C103-C102)/C102</f>
        <v/>
      </c>
    </row>
    <row r="104">
      <c r="B104" s="160" t="n">
        <v>43496</v>
      </c>
      <c r="C104" s="167" t="n">
        <v>57.5848121643066</v>
      </c>
      <c r="D104" s="34">
        <f>(C104-C103)/C103</f>
        <v/>
      </c>
    </row>
    <row r="105">
      <c r="B105" s="160" t="n">
        <v>43524</v>
      </c>
      <c r="C105" s="167" t="n">
        <v>55.8227958679199</v>
      </c>
      <c r="D105" s="34">
        <f>(C105-C104)/C104</f>
        <v/>
      </c>
    </row>
    <row r="106">
      <c r="B106" s="160" t="n">
        <v>43555</v>
      </c>
      <c r="C106" s="167" t="n">
        <v>59.8025321960449</v>
      </c>
      <c r="D106" s="34">
        <f>(C106-C105)/C105</f>
        <v/>
      </c>
    </row>
    <row r="107">
      <c r="B107" s="160" t="n">
        <v>43585</v>
      </c>
      <c r="C107" s="167" t="n">
        <v>58.8531684875488</v>
      </c>
      <c r="D107" s="34">
        <f>(C107-C106)/C106</f>
        <v/>
      </c>
    </row>
    <row r="108">
      <c r="B108" s="160" t="n">
        <v>43616</v>
      </c>
      <c r="C108" s="167" t="n">
        <v>54.8658294677734</v>
      </c>
      <c r="D108" s="34">
        <f>(C108-C107)/C107</f>
        <v/>
      </c>
    </row>
    <row r="109">
      <c r="B109" s="160" t="n">
        <v>43646</v>
      </c>
      <c r="C109" s="167" t="n">
        <v>60.0829086303711</v>
      </c>
      <c r="D109" s="34">
        <f>(C109-C108)/C108</f>
        <v/>
      </c>
    </row>
    <row r="110">
      <c r="B110" s="160" t="n">
        <v>43677</v>
      </c>
      <c r="C110" s="167" t="n">
        <v>59.7267379760742</v>
      </c>
      <c r="D110" s="34">
        <f>(C110-C109)/C109</f>
        <v/>
      </c>
    </row>
    <row r="111">
      <c r="B111" s="160" t="n">
        <v>43708</v>
      </c>
      <c r="C111" s="167" t="n">
        <v>61.8321342468262</v>
      </c>
      <c r="D111" s="34">
        <f>(C111-C110)/C110</f>
        <v/>
      </c>
    </row>
    <row r="112">
      <c r="B112" s="160" t="n">
        <v>43738</v>
      </c>
      <c r="C112" s="167" t="n">
        <v>67.3251495361328</v>
      </c>
      <c r="D112" s="34">
        <f>(C112-C111)/C111</f>
        <v/>
      </c>
    </row>
    <row r="113">
      <c r="B113" s="160" t="n">
        <v>43769</v>
      </c>
      <c r="C113" s="167" t="n">
        <v>65.3938827514648</v>
      </c>
      <c r="D113" s="34">
        <f>(C113-C112)/C112</f>
        <v/>
      </c>
    </row>
    <row r="114">
      <c r="B114" s="160" t="n">
        <v>43799</v>
      </c>
      <c r="C114" s="167" t="n">
        <v>66.8898239135742</v>
      </c>
      <c r="D114" s="34">
        <f>(C114-C113)/C113</f>
        <v/>
      </c>
    </row>
    <row r="115">
      <c r="B115" s="160" t="n">
        <v>43830</v>
      </c>
      <c r="C115" s="167" t="n">
        <v>70.9344100952148</v>
      </c>
      <c r="D115" s="34">
        <f>(C115-C114)/C114</f>
        <v/>
      </c>
    </row>
    <row r="116">
      <c r="B116" s="160" t="n">
        <v>43861</v>
      </c>
      <c r="C116" s="167" t="n">
        <v>68.8210906982422</v>
      </c>
      <c r="D116" s="34">
        <f>(C116-C115)/C115</f>
        <v/>
      </c>
    </row>
    <row r="117">
      <c r="B117" s="160" t="n">
        <v>43890</v>
      </c>
      <c r="C117" s="167" t="n">
        <v>66.4307556152344</v>
      </c>
      <c r="D117" s="34">
        <f>(C117-C116)/C116</f>
        <v/>
      </c>
    </row>
    <row r="118">
      <c r="B118" s="160" t="n">
        <v>43921</v>
      </c>
      <c r="C118" s="167" t="n">
        <v>63.430965423584</v>
      </c>
      <c r="D118" s="34">
        <f>(C118-C117)/C117</f>
        <v/>
      </c>
    </row>
    <row r="119">
      <c r="B119" s="160" t="n">
        <v>43951</v>
      </c>
      <c r="C119" s="167" t="n">
        <v>70.59405517578131</v>
      </c>
      <c r="D119" s="34">
        <f>(C119-C118)/C118</f>
        <v/>
      </c>
    </row>
    <row r="120">
      <c r="B120" s="160" t="n">
        <v>43982</v>
      </c>
      <c r="C120" s="167" t="n">
        <v>69.28016662597661</v>
      </c>
      <c r="D120" s="34">
        <f>(C120-C119)/C119</f>
        <v/>
      </c>
    </row>
    <row r="121">
      <c r="B121" s="160" t="n">
        <v>44012</v>
      </c>
      <c r="C121" s="167" t="n">
        <v>74.39134216308589</v>
      </c>
      <c r="D121" s="34">
        <f>(C121-C120)/C120</f>
        <v/>
      </c>
    </row>
    <row r="122">
      <c r="B122" s="160" t="n">
        <v>44043</v>
      </c>
      <c r="C122" s="167" t="n">
        <v>72.66799163818359</v>
      </c>
      <c r="D122" s="34">
        <f>(C122-C121)/C121</f>
        <v/>
      </c>
    </row>
    <row r="123">
      <c r="B123" s="160" t="n">
        <v>44074</v>
      </c>
      <c r="C123" s="167" t="n">
        <v>69.6480331420898</v>
      </c>
      <c r="D123" s="34">
        <f>(C123-C122)/C122</f>
        <v/>
      </c>
    </row>
    <row r="124">
      <c r="B124" s="160" t="n">
        <v>44104</v>
      </c>
      <c r="C124" s="167" t="n">
        <v>70.025520324707</v>
      </c>
      <c r="D124" s="34">
        <f>(C124-C123)/C123</f>
        <v/>
      </c>
    </row>
    <row r="125">
      <c r="B125" s="160" t="n">
        <v>44135</v>
      </c>
      <c r="C125" s="167" t="n">
        <v>63.4931945800781</v>
      </c>
      <c r="D125" s="34">
        <f>(C125-C124)/C124</f>
        <v/>
      </c>
    </row>
    <row r="126">
      <c r="B126" s="160" t="n">
        <v>44165</v>
      </c>
      <c r="C126" s="167" t="n">
        <v>69.516716003418</v>
      </c>
      <c r="D126" s="34">
        <f>(C126-C125)/C125</f>
        <v/>
      </c>
    </row>
    <row r="127">
      <c r="B127" s="160" t="n">
        <v>44196</v>
      </c>
      <c r="C127" s="167" t="n">
        <v>64.5846633911133</v>
      </c>
      <c r="D127" s="34">
        <f>(C127-C126)/C126</f>
        <v/>
      </c>
    </row>
    <row r="128">
      <c r="B128" s="160" t="n">
        <v>44227</v>
      </c>
      <c r="C128" s="167" t="n">
        <v>63.3126564025879</v>
      </c>
      <c r="D128" s="34">
        <f>(C128-C127)/C127</f>
        <v/>
      </c>
    </row>
    <row r="129">
      <c r="B129" s="160" t="n">
        <v>44255</v>
      </c>
      <c r="C129" s="167" t="n">
        <v>62.2047920227051</v>
      </c>
      <c r="D129" s="34">
        <f>(C129-C128)/C128</f>
        <v/>
      </c>
    </row>
    <row r="130">
      <c r="B130" s="160" t="n">
        <v>44286</v>
      </c>
      <c r="C130" s="167" t="n">
        <v>69.1392288208008</v>
      </c>
      <c r="D130" s="34">
        <f>(C130-C129)/C129</f>
        <v/>
      </c>
    </row>
    <row r="131">
      <c r="B131" s="160" t="n">
        <v>44316</v>
      </c>
      <c r="C131" s="167" t="n">
        <v>71.61757659912109</v>
      </c>
      <c r="D131" s="34">
        <f>(C131-C130)/C130</f>
        <v/>
      </c>
    </row>
    <row r="132">
      <c r="B132" s="160" t="n">
        <v>44347</v>
      </c>
      <c r="C132" s="167" t="n">
        <v>71.3713836669922</v>
      </c>
      <c r="D132" s="34">
        <f>(C132-C131)/C131</f>
        <v/>
      </c>
    </row>
    <row r="133">
      <c r="B133" s="160" t="n">
        <v>44377</v>
      </c>
      <c r="C133" s="167" t="n">
        <v>75.30173492431641</v>
      </c>
      <c r="D133" s="34">
        <f>(C133-C132)/C132</f>
        <v/>
      </c>
    </row>
    <row r="134">
      <c r="B134" s="160" t="n">
        <v>44408</v>
      </c>
      <c r="C134" s="167" t="n">
        <v>74.0404586791992</v>
      </c>
      <c r="D134" s="34">
        <f>(C134-C133)/C133</f>
        <v/>
      </c>
    </row>
    <row r="135">
      <c r="B135" s="160" t="n">
        <v>44439</v>
      </c>
      <c r="C135" s="167" t="n">
        <v>74.6710968017578</v>
      </c>
      <c r="D135" s="34">
        <f>(C135-C134)/C134</f>
        <v/>
      </c>
    </row>
    <row r="136">
      <c r="B136" s="160" t="n">
        <v>44469</v>
      </c>
      <c r="C136" s="167" t="n">
        <v>70.8020324707031</v>
      </c>
      <c r="D136" s="34">
        <f>(C136-C135)/C135</f>
        <v/>
      </c>
    </row>
    <row r="137">
      <c r="B137" s="160" t="n">
        <v>44500</v>
      </c>
      <c r="C137" s="167" t="n">
        <v>73.6569519042969</v>
      </c>
      <c r="D137" s="34">
        <f>(C137-C136)/C136</f>
        <v/>
      </c>
    </row>
    <row r="138">
      <c r="B138" s="160" t="n">
        <v>44530</v>
      </c>
      <c r="C138" s="167" t="n">
        <v>71.4667663574219</v>
      </c>
      <c r="D138" s="34">
        <f>(C138-C137)/C137</f>
        <v/>
      </c>
    </row>
    <row r="139">
      <c r="B139" s="160" t="n">
        <v>44561</v>
      </c>
      <c r="C139" s="167" t="n">
        <v>75.4892120361328</v>
      </c>
      <c r="D139" s="34">
        <f>(C139-C138)/C138</f>
        <v/>
      </c>
    </row>
    <row r="140">
      <c r="B140" s="160" t="n">
        <v>44592</v>
      </c>
      <c r="C140" s="167" t="n">
        <v>79.04295349121089</v>
      </c>
      <c r="D140" s="34">
        <f>(C140-C139)/C139</f>
        <v/>
      </c>
    </row>
    <row r="141">
      <c r="B141" s="160" t="n">
        <v>44620</v>
      </c>
      <c r="C141" s="167" t="n">
        <v>79.65655517578131</v>
      </c>
      <c r="D141" s="34">
        <f>(C141-C140)/C140</f>
        <v/>
      </c>
    </row>
    <row r="142">
      <c r="B142" s="160" t="n">
        <v>44651</v>
      </c>
      <c r="C142" s="167" t="n">
        <v>78.8384323120117</v>
      </c>
      <c r="D142" s="34">
        <f>(C142-C141)/C141</f>
        <v/>
      </c>
    </row>
    <row r="143">
      <c r="B143" s="160" t="n">
        <v>44681</v>
      </c>
      <c r="C143" s="167" t="n">
        <v>86.2271270751953</v>
      </c>
      <c r="D143" s="34">
        <f>(C143-C142)/C142</f>
        <v/>
      </c>
    </row>
    <row r="144">
      <c r="B144" s="160" t="n">
        <v>44712</v>
      </c>
      <c r="C144" s="167" t="n">
        <v>85.15582275390631</v>
      </c>
      <c r="D144" s="34">
        <f>(C144-C143)/C143</f>
        <v/>
      </c>
    </row>
    <row r="145">
      <c r="B145" s="160" t="n">
        <v>44742</v>
      </c>
      <c r="C145" s="167" t="n">
        <v>85.41004943847661</v>
      </c>
      <c r="D145" s="34">
        <f>(C145-C144)/C144</f>
        <v/>
      </c>
    </row>
    <row r="146">
      <c r="B146" s="160" t="n">
        <v>44773</v>
      </c>
      <c r="C146" s="167" t="n">
        <v>86.1813583374023</v>
      </c>
      <c r="D146" s="34">
        <f>(C146-C145)/C145</f>
        <v/>
      </c>
    </row>
    <row r="147">
      <c r="B147" s="160" t="n">
        <v>44804</v>
      </c>
      <c r="C147" s="167" t="n">
        <v>72.8565292358398</v>
      </c>
      <c r="D147" s="34">
        <f>(C147-C146)/C146</f>
        <v/>
      </c>
    </row>
    <row r="148">
      <c r="B148" s="160" t="n">
        <v>44834</v>
      </c>
      <c r="C148" s="167" t="n">
        <v>69.50538635253911</v>
      </c>
      <c r="D148" s="34">
        <f>(C148-C147)/C147</f>
        <v/>
      </c>
    </row>
    <row r="149">
      <c r="B149" s="160" t="n">
        <v>44865</v>
      </c>
      <c r="C149" s="167" t="n">
        <v>77.42225646972661</v>
      </c>
      <c r="D149" s="34">
        <f>(C149-C148)/C148</f>
        <v/>
      </c>
    </row>
    <row r="150">
      <c r="B150" s="160" t="n">
        <v>44895</v>
      </c>
      <c r="C150" s="167" t="n">
        <v>76.66868591308589</v>
      </c>
      <c r="D150" s="34">
        <f>(C150-C149)/C149</f>
        <v/>
      </c>
    </row>
    <row r="151">
      <c r="B151" s="160" t="n">
        <v>44926</v>
      </c>
      <c r="C151" s="167" t="n">
        <v>79.64748382568359</v>
      </c>
      <c r="D151" s="34">
        <f>(C151-C150)/C150</f>
        <v/>
      </c>
    </row>
    <row r="152">
      <c r="B152" s="160" t="n">
        <v>44957</v>
      </c>
      <c r="C152" s="167" t="n">
        <v>79.4967727661133</v>
      </c>
      <c r="D152" s="34">
        <f>(C152-C151)/C151</f>
        <v/>
      </c>
    </row>
    <row r="153">
      <c r="B153" s="160" t="n">
        <v>44985</v>
      </c>
      <c r="C153" s="167" t="n">
        <v>78.8052673339844</v>
      </c>
      <c r="D153" s="34">
        <f>(C153-C152)/C152</f>
        <v/>
      </c>
    </row>
    <row r="154">
      <c r="B154" s="160" t="n">
        <v>45016</v>
      </c>
      <c r="C154" s="167" t="n">
        <v>88.8675918579102</v>
      </c>
      <c r="D154" s="34">
        <f>(C154-C153)/C153</f>
        <v/>
      </c>
    </row>
    <row r="155">
      <c r="B155" s="160" t="n">
        <v>45046</v>
      </c>
      <c r="C155" s="167" t="n">
        <v>88.6548233032227</v>
      </c>
      <c r="D155" s="34">
        <f>(C155-C154)/C154</f>
        <v/>
      </c>
    </row>
    <row r="156">
      <c r="B156" s="160" t="n">
        <v>45077</v>
      </c>
      <c r="C156" s="167" t="n">
        <v>84.11569976806641</v>
      </c>
      <c r="D156" s="34">
        <f>(C156-C155)/C155</f>
        <v/>
      </c>
    </row>
    <row r="157">
      <c r="B157" s="160" t="n">
        <v>45107</v>
      </c>
      <c r="C157" s="167" t="n">
        <v>90.30812072753911</v>
      </c>
      <c r="D157" s="34">
        <f>(C157-C156)/C156</f>
        <v/>
      </c>
    </row>
    <row r="158">
      <c r="B158" s="160" t="n">
        <v>45138</v>
      </c>
      <c r="C158" s="167" t="n">
        <v>89.2873229980469</v>
      </c>
      <c r="D158" s="34">
        <f>(C158-C157)/C157</f>
        <v/>
      </c>
    </row>
    <row r="159">
      <c r="B159" s="160" t="n">
        <v>45169</v>
      </c>
      <c r="C159" s="167" t="n">
        <v>90.712760925293</v>
      </c>
      <c r="D159" s="34">
        <f>(C159-C158)/C158</f>
        <v/>
      </c>
    </row>
    <row r="160">
      <c r="B160" s="160" t="n">
        <v>45199</v>
      </c>
      <c r="C160" s="167" t="n">
        <v>93.3245315551758</v>
      </c>
      <c r="D160" s="34">
        <f>(C160-C159)/C159</f>
        <v/>
      </c>
    </row>
    <row r="161">
      <c r="B161" s="160" t="n">
        <v>45230</v>
      </c>
      <c r="C161" s="167" t="n">
        <v>78.8126907348633</v>
      </c>
      <c r="D161" s="34">
        <f>(C161-C160)/C160</f>
        <v/>
      </c>
    </row>
    <row r="162">
      <c r="B162" s="160" t="n">
        <v>45260</v>
      </c>
      <c r="C162" s="167" t="n">
        <v>78.59197998046881</v>
      </c>
      <c r="D162" s="34">
        <f>(C162-C161)/C161</f>
        <v/>
      </c>
    </row>
    <row r="163">
      <c r="B163" s="160" t="n">
        <v>45291</v>
      </c>
      <c r="C163" s="167" t="n">
        <v>82.54640960693359</v>
      </c>
      <c r="D163" s="34">
        <f>(C163-C162)/C162</f>
        <v/>
      </c>
    </row>
    <row r="164">
      <c r="B164" s="160" t="n">
        <v>45322</v>
      </c>
      <c r="C164" s="167" t="n">
        <v>85.8570861816406</v>
      </c>
      <c r="D164" s="34">
        <f>(C164-C163)/C163</f>
        <v/>
      </c>
    </row>
    <row r="165">
      <c r="B165" s="160" t="n">
        <v>45351</v>
      </c>
      <c r="C165" s="167" t="n">
        <v>80.8266906738281</v>
      </c>
      <c r="D165" s="34">
        <f>(C165-C164)/C164</f>
        <v/>
      </c>
    </row>
    <row r="166">
      <c r="B166" s="160" t="n">
        <v>45382</v>
      </c>
      <c r="C166" s="167" t="n">
        <v>83.64996337890631</v>
      </c>
      <c r="D166" s="34">
        <f>(C166-C165)/C165</f>
        <v/>
      </c>
    </row>
    <row r="167">
      <c r="B167" s="160" t="n">
        <v>45412</v>
      </c>
      <c r="C167" s="167" t="n">
        <v>85.59959411621089</v>
      </c>
      <c r="D167" s="34">
        <f>(C167-C166)/C166</f>
        <v/>
      </c>
    </row>
    <row r="168">
      <c r="B168" s="160" t="n">
        <v>45443</v>
      </c>
      <c r="C168" s="167" t="n">
        <v>82.54640960693359</v>
      </c>
      <c r="D168" s="34">
        <f>(C168-C167)/C167</f>
        <v/>
      </c>
    </row>
    <row r="169">
      <c r="B169" s="160" t="n">
        <v>45473</v>
      </c>
      <c r="C169" s="167" t="n">
        <v>86.1457138061523</v>
      </c>
      <c r="D169" s="34">
        <f>(C169-C168)/C168</f>
        <v/>
      </c>
    </row>
    <row r="170">
      <c r="B170" s="160" t="n">
        <v>45504</v>
      </c>
      <c r="C170" s="167" t="n">
        <v>91.30832672119141</v>
      </c>
      <c r="D170" s="34">
        <f>(C170-C169)/C169</f>
        <v/>
      </c>
    </row>
    <row r="171">
      <c r="B171" s="160" t="n">
        <v>45535</v>
      </c>
      <c r="C171" s="167" t="n">
        <v>96.93068695068359</v>
      </c>
      <c r="D171" s="34">
        <f>(C171-C170)/C170</f>
        <v/>
      </c>
    </row>
    <row r="172">
      <c r="B172" s="160" t="n">
        <v>45565</v>
      </c>
      <c r="C172" s="167" t="n">
        <v>98.55897521972661</v>
      </c>
      <c r="D172" s="34">
        <f>(C172-C171)/C171</f>
        <v/>
      </c>
    </row>
    <row r="173">
      <c r="B173" s="160" t="n">
        <v>45596</v>
      </c>
      <c r="C173" s="167" t="n">
        <v>93.0132369995117</v>
      </c>
      <c r="D173" s="34">
        <f>(C173-C172)/C172</f>
        <v/>
      </c>
    </row>
    <row r="174">
      <c r="B174" s="160" t="n">
        <v>45626</v>
      </c>
      <c r="C174" s="167" t="n">
        <v>88.2050094604492</v>
      </c>
      <c r="D174" s="34">
        <f>(C174-C173)/C173</f>
        <v/>
      </c>
    </row>
    <row r="175">
      <c r="B175" s="160" t="n">
        <v>45657</v>
      </c>
      <c r="C175" s="167" t="n">
        <v>89.785400390625</v>
      </c>
      <c r="D175" s="34">
        <f>(C175-C174)/C174</f>
        <v/>
      </c>
    </row>
    <row r="176">
      <c r="B176" s="160" t="n">
        <v>45688</v>
      </c>
      <c r="C176" s="167" t="n">
        <v>99.9956970214844</v>
      </c>
      <c r="D176" s="34">
        <f>(C176-C175)/C175</f>
        <v/>
      </c>
    </row>
    <row r="177">
      <c r="B177" s="160" t="n">
        <v>45716</v>
      </c>
      <c r="C177" s="167" t="n">
        <v>99.95738220214839</v>
      </c>
      <c r="D177" s="34">
        <f>(C177-C176)/C176</f>
        <v/>
      </c>
    </row>
    <row r="178">
      <c r="B178" s="160" t="n">
        <v>45747</v>
      </c>
      <c r="C178" s="167" t="n">
        <v>97.6203155517578</v>
      </c>
      <c r="D178" s="34">
        <f>(C178-C177)/C177</f>
        <v/>
      </c>
    </row>
    <row r="179">
      <c r="B179" s="160" t="n">
        <v>45777</v>
      </c>
      <c r="C179" s="167" t="n">
        <v>91.8542785644531</v>
      </c>
      <c r="D179" s="34">
        <f>(C179-C178)/C178</f>
        <v/>
      </c>
    </row>
    <row r="180">
      <c r="B180" s="160" t="n">
        <v>45808</v>
      </c>
      <c r="C180" s="167" t="n">
        <v>83.8278045654297</v>
      </c>
      <c r="D180" s="34">
        <f>(C180-C179)/C179</f>
        <v/>
      </c>
    </row>
    <row r="181">
      <c r="B181" s="160" t="n">
        <v>45838</v>
      </c>
      <c r="C181" s="167" t="n">
        <v>82.2099990844727</v>
      </c>
      <c r="D181" s="34">
        <f>(C181-C180)/C180</f>
        <v/>
      </c>
    </row>
    <row r="182">
      <c r="B182" s="160" t="n">
        <v>45869</v>
      </c>
      <c r="C182" s="167" t="n">
        <v>78.8399963378906</v>
      </c>
      <c r="D182" s="34">
        <f>(C182-C181)/C181</f>
        <v/>
      </c>
    </row>
    <row r="183">
      <c r="B183" s="160" t="n">
        <v>45900</v>
      </c>
      <c r="C183" s="167" t="n">
        <v>84.4899978637695</v>
      </c>
      <c r="D183" s="34">
        <f>(C183-C182)/C182</f>
        <v/>
      </c>
    </row>
  </sheetData>
  <pageMargins left="0.7" right="0.7" top="0.75" bottom="0.75" header="0.3" footer="0.3"/>
</worksheet>
</file>

<file path=xl/worksheets/sheet21.xml><?xml version="1.0" encoding="utf-8"?>
<worksheet xmlns="http://schemas.openxmlformats.org/spreadsheetml/2006/main">
  <sheetPr>
    <tabColor theme="7" tint="0.7999816888943144"/>
    <outlinePr summaryBelow="1" summaryRight="1"/>
    <pageSetUpPr/>
  </sheetPr>
  <dimension ref="B2:D183"/>
  <sheetViews>
    <sheetView showGridLines="0" workbookViewId="0">
      <selection activeCell="D2" sqref="D2"/>
    </sheetView>
  </sheetViews>
  <sheetFormatPr baseColWidth="10" defaultColWidth="10.83203125" defaultRowHeight="15"/>
  <cols>
    <col width="12.6640625" bestFit="1" customWidth="1" min="3" max="3"/>
  </cols>
  <sheetData>
    <row r="2">
      <c r="B2" s="30" t="inlineStr">
        <is>
          <t>Date</t>
        </is>
      </c>
      <c r="C2" t="inlineStr">
        <is>
          <t>SU.PA</t>
        </is>
      </c>
      <c r="D2" t="inlineStr">
        <is>
          <t>Monthly Return</t>
        </is>
      </c>
    </row>
    <row r="3">
      <c r="B3" s="160" t="inlineStr">
        <is>
          <t>2010-08</t>
        </is>
      </c>
      <c r="C3" s="167" t="n">
        <v>27.6766128540039</v>
      </c>
    </row>
    <row r="4">
      <c r="B4" s="160" t="n">
        <v>40451</v>
      </c>
      <c r="C4" s="167" t="n">
        <v>30.7587718963623</v>
      </c>
      <c r="D4" s="34">
        <f>(C4-C3)/C3</f>
        <v/>
      </c>
    </row>
    <row r="5">
      <c r="B5" s="160" t="n">
        <v>40482</v>
      </c>
      <c r="C5" s="167" t="n">
        <v>33.731803894043</v>
      </c>
      <c r="D5" s="34">
        <f>(C5-C4)/C4</f>
        <v/>
      </c>
    </row>
    <row r="6">
      <c r="B6" s="160" t="n">
        <v>40512</v>
      </c>
      <c r="C6" s="167" t="n">
        <v>35.765625</v>
      </c>
      <c r="D6" s="34">
        <f>(C6-C5)/C5</f>
        <v/>
      </c>
    </row>
    <row r="7">
      <c r="B7" s="160" t="n">
        <v>40543</v>
      </c>
      <c r="C7" s="167" t="n">
        <v>37.0388298034668</v>
      </c>
      <c r="D7" s="34">
        <f>(C7-C6)/C6</f>
        <v/>
      </c>
    </row>
    <row r="8">
      <c r="B8" s="160" t="n">
        <v>40574</v>
      </c>
      <c r="C8" s="167" t="n">
        <v>37.667179107666</v>
      </c>
      <c r="D8" s="34">
        <f>(C8-C7)/C7</f>
        <v/>
      </c>
    </row>
    <row r="9">
      <c r="B9" s="160" t="n">
        <v>40602</v>
      </c>
      <c r="C9" s="167" t="n">
        <v>39.6513977050781</v>
      </c>
      <c r="D9" s="34">
        <f>(C9-C8)/C8</f>
        <v/>
      </c>
    </row>
    <row r="10">
      <c r="B10" s="160" t="n">
        <v>40633</v>
      </c>
      <c r="C10" s="167" t="n">
        <v>39.8828849792481</v>
      </c>
      <c r="D10" s="34">
        <f>(C10-C9)/C9</f>
        <v/>
      </c>
    </row>
    <row r="11">
      <c r="B11" s="160" t="n">
        <v>40663</v>
      </c>
      <c r="C11" s="167" t="n">
        <v>39.4529762268066</v>
      </c>
      <c r="D11" s="34">
        <f>(C11-C10)/C10</f>
        <v/>
      </c>
    </row>
    <row r="12">
      <c r="B12" s="160" t="n">
        <v>40694</v>
      </c>
      <c r="C12" s="167" t="n">
        <v>38.9259910583496</v>
      </c>
      <c r="D12" s="34">
        <f>(C12-C11)/C11</f>
        <v/>
      </c>
    </row>
    <row r="13">
      <c r="B13" s="160" t="n">
        <v>40724</v>
      </c>
      <c r="C13" s="167" t="n">
        <v>39.1297874450684</v>
      </c>
      <c r="D13" s="34">
        <f>(C13-C12)/C12</f>
        <v/>
      </c>
    </row>
    <row r="14">
      <c r="B14" s="160" t="n">
        <v>40755</v>
      </c>
      <c r="C14" s="167" t="n">
        <v>34.3574562072754</v>
      </c>
      <c r="D14" s="34">
        <f>(C14-C13)/C13</f>
        <v/>
      </c>
    </row>
    <row r="15">
      <c r="B15" s="160" t="n">
        <v>40786</v>
      </c>
      <c r="C15" s="167" t="n">
        <v>31.5381984710693</v>
      </c>
      <c r="D15" s="34">
        <f>(C15-C14)/C14</f>
        <v/>
      </c>
    </row>
    <row r="16">
      <c r="B16" s="160" t="n">
        <v>40816</v>
      </c>
      <c r="C16" s="167" t="n">
        <v>27.5606899261475</v>
      </c>
      <c r="D16" s="34">
        <f>(C16-C15)/C15</f>
        <v/>
      </c>
    </row>
    <row r="17">
      <c r="B17" s="160" t="n">
        <v>40847</v>
      </c>
      <c r="C17" s="167" t="n">
        <v>28.973705291748</v>
      </c>
      <c r="D17" s="34">
        <f>(C17-C16)/C16</f>
        <v/>
      </c>
    </row>
    <row r="18">
      <c r="B18" s="160" t="n">
        <v>40877</v>
      </c>
      <c r="C18" s="167" t="n">
        <v>28.5321388244629</v>
      </c>
      <c r="D18" s="34">
        <f>(C18-C17)/C17</f>
        <v/>
      </c>
    </row>
    <row r="19">
      <c r="B19" s="160" t="n">
        <v>40908</v>
      </c>
      <c r="C19" s="167" t="n">
        <v>27.6354160308838</v>
      </c>
      <c r="D19" s="34">
        <f>(C19-C18)/C18</f>
        <v/>
      </c>
    </row>
    <row r="20">
      <c r="B20" s="160" t="n">
        <v>40939</v>
      </c>
      <c r="C20" s="167" t="n">
        <v>32.2549057006836</v>
      </c>
      <c r="D20" s="34">
        <f>(C20-C19)/C19</f>
        <v/>
      </c>
    </row>
    <row r="21">
      <c r="B21" s="160" t="n">
        <v>40968</v>
      </c>
      <c r="C21" s="167" t="n">
        <v>34.6529579162598</v>
      </c>
      <c r="D21" s="34">
        <f>(C21-C20)/C20</f>
        <v/>
      </c>
    </row>
    <row r="22">
      <c r="B22" s="160" t="n">
        <v>40999</v>
      </c>
      <c r="C22" s="167" t="n">
        <v>33.2806968688965</v>
      </c>
      <c r="D22" s="34">
        <f>(C22-C21)/C21</f>
        <v/>
      </c>
    </row>
    <row r="23">
      <c r="B23" s="160" t="n">
        <v>41029</v>
      </c>
      <c r="C23" s="167" t="n">
        <v>31.5280170440674</v>
      </c>
      <c r="D23" s="34">
        <f>(C23-C22)/C22</f>
        <v/>
      </c>
    </row>
    <row r="24">
      <c r="B24" s="160" t="n">
        <v>41060</v>
      </c>
      <c r="C24" s="167" t="n">
        <v>29.2590293884277</v>
      </c>
      <c r="D24" s="34">
        <f>(C24-C23)/C23</f>
        <v/>
      </c>
    </row>
    <row r="25">
      <c r="B25" s="160" t="n">
        <v>41090</v>
      </c>
      <c r="C25" s="167" t="n">
        <v>30.8681087493897</v>
      </c>
      <c r="D25" s="34">
        <f>(C25-C24)/C24</f>
        <v/>
      </c>
    </row>
    <row r="26">
      <c r="B26" s="160" t="n">
        <v>41121</v>
      </c>
      <c r="C26" s="167" t="n">
        <v>32.491626739502</v>
      </c>
      <c r="D26" s="34">
        <f>(C26-C25)/C25</f>
        <v/>
      </c>
    </row>
    <row r="27">
      <c r="B27" s="160" t="n">
        <v>41152</v>
      </c>
      <c r="C27" s="167" t="n">
        <v>35.4421997070313</v>
      </c>
      <c r="D27" s="34">
        <f>(C27-C26)/C26</f>
        <v/>
      </c>
    </row>
    <row r="28">
      <c r="B28" s="160" t="n">
        <v>41182</v>
      </c>
      <c r="C28" s="167" t="n">
        <v>32.5092811584473</v>
      </c>
      <c r="D28" s="34">
        <f>(C28-C27)/C27</f>
        <v/>
      </c>
    </row>
    <row r="29">
      <c r="B29" s="160" t="n">
        <v>41213</v>
      </c>
      <c r="C29" s="167" t="n">
        <v>34.0480880737305</v>
      </c>
      <c r="D29" s="34">
        <f>(C29-C28)/C28</f>
        <v/>
      </c>
    </row>
    <row r="30">
      <c r="B30" s="160" t="n">
        <v>41243</v>
      </c>
      <c r="C30" s="167" t="n">
        <v>38.1457176208496</v>
      </c>
      <c r="D30" s="34">
        <f>(C30-C29)/C29</f>
        <v/>
      </c>
    </row>
    <row r="31">
      <c r="B31" s="160" t="n">
        <v>41274</v>
      </c>
      <c r="C31" s="167" t="n">
        <v>38.7033653259277</v>
      </c>
      <c r="D31" s="34">
        <f>(C31-C30)/C30</f>
        <v/>
      </c>
    </row>
    <row r="32">
      <c r="B32" s="160" t="n">
        <v>41305</v>
      </c>
      <c r="C32" s="167" t="n">
        <v>39.5998229980469</v>
      </c>
      <c r="D32" s="34">
        <f>(C32-C31)/C31</f>
        <v/>
      </c>
    </row>
    <row r="33">
      <c r="B33" s="160" t="n">
        <v>41333</v>
      </c>
      <c r="C33" s="167" t="n">
        <v>41.5904121398926</v>
      </c>
      <c r="D33" s="34">
        <f>(C33-C32)/C32</f>
        <v/>
      </c>
    </row>
    <row r="34">
      <c r="B34" s="160" t="n">
        <v>41364</v>
      </c>
      <c r="C34" s="167" t="n">
        <v>40.2351303100586</v>
      </c>
      <c r="D34" s="34">
        <f>(C34-C33)/C33</f>
        <v/>
      </c>
    </row>
    <row r="35">
      <c r="B35" s="160" t="n">
        <v>41394</v>
      </c>
      <c r="C35" s="167" t="n">
        <v>40.8704223632813</v>
      </c>
      <c r="D35" s="34">
        <f>(C35-C34)/C34</f>
        <v/>
      </c>
    </row>
    <row r="36">
      <c r="B36" s="160" t="n">
        <v>41425</v>
      </c>
      <c r="C36" s="167" t="n">
        <v>43.2986297607422</v>
      </c>
      <c r="D36" s="34">
        <f>(C36-C35)/C35</f>
        <v/>
      </c>
    </row>
    <row r="37">
      <c r="B37" s="160" t="n">
        <v>41455</v>
      </c>
      <c r="C37" s="167" t="n">
        <v>40.6515808105469</v>
      </c>
      <c r="D37" s="34">
        <f>(C37-C36)/C36</f>
        <v/>
      </c>
    </row>
    <row r="38">
      <c r="B38" s="160" t="n">
        <v>41486</v>
      </c>
      <c r="C38" s="167" t="n">
        <v>43.6276893615723</v>
      </c>
      <c r="D38" s="34">
        <f>(C38-C37)/C37</f>
        <v/>
      </c>
    </row>
    <row r="39">
      <c r="B39" s="160" t="n">
        <v>41517</v>
      </c>
      <c r="C39" s="167" t="n">
        <v>42.2344703674316</v>
      </c>
      <c r="D39" s="34">
        <f>(C39-C38)/C38</f>
        <v/>
      </c>
    </row>
    <row r="40">
      <c r="B40" s="160" t="n">
        <v>41547</v>
      </c>
      <c r="C40" s="167" t="n">
        <v>45.5971717834473</v>
      </c>
      <c r="D40" s="34">
        <f>(C40-C39)/C39</f>
        <v/>
      </c>
    </row>
    <row r="41">
      <c r="B41" s="160" t="n">
        <v>41578</v>
      </c>
      <c r="C41" s="167" t="n">
        <v>45.2616310119629</v>
      </c>
      <c r="D41" s="34">
        <f>(C41-C40)/C40</f>
        <v/>
      </c>
    </row>
    <row r="42">
      <c r="B42" s="160" t="n">
        <v>41608</v>
      </c>
      <c r="C42" s="167" t="n">
        <v>45.4512901306152</v>
      </c>
      <c r="D42" s="34">
        <f>(C42-C41)/C41</f>
        <v/>
      </c>
    </row>
    <row r="43">
      <c r="B43" s="160" t="n">
        <v>41639</v>
      </c>
      <c r="C43" s="167" t="n">
        <v>46.2463760375977</v>
      </c>
      <c r="D43" s="34">
        <f>(C43-C42)/C42</f>
        <v/>
      </c>
    </row>
    <row r="44">
      <c r="B44" s="160" t="n">
        <v>41670</v>
      </c>
      <c r="C44" s="167" t="n">
        <v>43.6860427856445</v>
      </c>
      <c r="D44" s="34">
        <f>(C44-C43)/C43</f>
        <v/>
      </c>
    </row>
    <row r="45">
      <c r="B45" s="160" t="n">
        <v>41698</v>
      </c>
      <c r="C45" s="167" t="n">
        <v>47.2311134338379</v>
      </c>
      <c r="D45" s="34">
        <f>(C45-C44)/C44</f>
        <v/>
      </c>
    </row>
    <row r="46">
      <c r="B46" s="160" t="n">
        <v>41729</v>
      </c>
      <c r="C46" s="167" t="n">
        <v>46.9393348693848</v>
      </c>
      <c r="D46" s="34">
        <f>(C46-C45)/C45</f>
        <v/>
      </c>
    </row>
    <row r="47">
      <c r="B47" s="160" t="n">
        <v>41759</v>
      </c>
      <c r="C47" s="167" t="n">
        <v>49.273551940918</v>
      </c>
      <c r="D47" s="34">
        <f>(C47-C46)/C46</f>
        <v/>
      </c>
    </row>
    <row r="48">
      <c r="B48" s="160" t="n">
        <v>41790</v>
      </c>
      <c r="C48" s="167" t="n">
        <v>50.3895835876465</v>
      </c>
      <c r="D48" s="34">
        <f>(C48-C47)/C47</f>
        <v/>
      </c>
    </row>
    <row r="49">
      <c r="B49" s="160" t="n">
        <v>41820</v>
      </c>
      <c r="C49" s="167" t="n">
        <v>51.8545341491699</v>
      </c>
      <c r="D49" s="34">
        <f>(C49-C48)/C48</f>
        <v/>
      </c>
    </row>
    <row r="50">
      <c r="B50" s="160" t="n">
        <v>41851</v>
      </c>
      <c r="C50" s="167" t="n">
        <v>47.6835403442383</v>
      </c>
      <c r="D50" s="34">
        <f>(C50-C49)/C49</f>
        <v/>
      </c>
    </row>
    <row r="51">
      <c r="B51" s="160" t="n">
        <v>41882</v>
      </c>
      <c r="C51" s="167" t="n">
        <v>48.5132179260254</v>
      </c>
      <c r="D51" s="34">
        <f>(C51-C50)/C50</f>
        <v/>
      </c>
    </row>
    <row r="52">
      <c r="B52" s="160" t="n">
        <v>41912</v>
      </c>
      <c r="C52" s="167" t="n">
        <v>45.8582611083984</v>
      </c>
      <c r="D52" s="34">
        <f>(C52-C51)/C51</f>
        <v/>
      </c>
    </row>
    <row r="53">
      <c r="B53" s="160" t="n">
        <v>41943</v>
      </c>
      <c r="C53" s="167" t="n">
        <v>47.4270973205566</v>
      </c>
      <c r="D53" s="34">
        <f>(C53-C52)/C52</f>
        <v/>
      </c>
    </row>
    <row r="54">
      <c r="B54" s="160" t="n">
        <v>41973</v>
      </c>
      <c r="C54" s="167" t="n">
        <v>49.4786529541016</v>
      </c>
      <c r="D54" s="34">
        <f>(C54-C53)/C53</f>
        <v/>
      </c>
    </row>
    <row r="55">
      <c r="B55" s="160" t="n">
        <v>42004</v>
      </c>
      <c r="C55" s="167" t="n">
        <v>45.714958190918</v>
      </c>
      <c r="D55" s="34">
        <f>(C55-C54)/C54</f>
        <v/>
      </c>
    </row>
    <row r="56">
      <c r="B56" s="160" t="n">
        <v>42035</v>
      </c>
      <c r="C56" s="167" t="n">
        <v>50.534595489502</v>
      </c>
      <c r="D56" s="34">
        <f>(C56-C55)/C55</f>
        <v/>
      </c>
    </row>
    <row r="57">
      <c r="B57" s="160" t="n">
        <v>42063</v>
      </c>
      <c r="C57" s="167" t="n">
        <v>54.2907600402832</v>
      </c>
      <c r="D57" s="34">
        <f>(C57-C56)/C56</f>
        <v/>
      </c>
    </row>
    <row r="58">
      <c r="B58" s="160" t="n">
        <v>42094</v>
      </c>
      <c r="C58" s="167" t="n">
        <v>54.5698204040527</v>
      </c>
      <c r="D58" s="34">
        <f>(C58-C57)/C57</f>
        <v/>
      </c>
    </row>
    <row r="59">
      <c r="B59" s="160" t="n">
        <v>42124</v>
      </c>
      <c r="C59" s="167" t="n">
        <v>50.4139175415039</v>
      </c>
      <c r="D59" s="34">
        <f>(C59-C58)/C58</f>
        <v/>
      </c>
    </row>
    <row r="60">
      <c r="B60" s="160" t="n">
        <v>42155</v>
      </c>
      <c r="C60" s="167" t="n">
        <v>53.4104728698731</v>
      </c>
      <c r="D60" s="34">
        <f>(C60-C59)/C59</f>
        <v/>
      </c>
    </row>
    <row r="61">
      <c r="B61" s="160" t="n">
        <v>42185</v>
      </c>
      <c r="C61" s="167" t="n">
        <v>48.0911750793457</v>
      </c>
      <c r="D61" s="34">
        <f>(C61-C60)/C60</f>
        <v/>
      </c>
    </row>
    <row r="62">
      <c r="B62" s="160" t="n">
        <v>42216</v>
      </c>
      <c r="C62" s="167" t="n">
        <v>49.3802299499512</v>
      </c>
      <c r="D62" s="34">
        <f>(C62-C61)/C61</f>
        <v/>
      </c>
    </row>
    <row r="63">
      <c r="B63" s="160" t="n">
        <v>42247</v>
      </c>
      <c r="C63" s="167" t="n">
        <v>43.7425422668457</v>
      </c>
      <c r="D63" s="34">
        <f>(C63-C62)/C62</f>
        <v/>
      </c>
    </row>
    <row r="64">
      <c r="B64" s="160" t="n">
        <v>42277</v>
      </c>
      <c r="C64" s="167" t="n">
        <v>38.8347969055176</v>
      </c>
      <c r="D64" s="34">
        <f>(C64-C63)/C63</f>
        <v/>
      </c>
    </row>
    <row r="65">
      <c r="B65" s="160" t="n">
        <v>42308</v>
      </c>
      <c r="C65" s="167" t="n">
        <v>42.7718696594238</v>
      </c>
      <c r="D65" s="34">
        <f>(C65-C64)/C64</f>
        <v/>
      </c>
    </row>
    <row r="66">
      <c r="B66" s="160" t="n">
        <v>42338</v>
      </c>
      <c r="C66" s="167" t="n">
        <v>46.5924453735352</v>
      </c>
      <c r="D66" s="34">
        <f>(C66-C65)/C65</f>
        <v/>
      </c>
    </row>
    <row r="67">
      <c r="B67" s="160" t="n">
        <v>42369</v>
      </c>
      <c r="C67" s="167" t="n">
        <v>40.8149795532227</v>
      </c>
      <c r="D67" s="34">
        <f>(C67-C66)/C66</f>
        <v/>
      </c>
    </row>
    <row r="68">
      <c r="B68" s="160" t="n">
        <v>42400</v>
      </c>
      <c r="C68" s="167" t="n">
        <v>38.135913848877</v>
      </c>
      <c r="D68" s="34">
        <f>(C68-C67)/C67</f>
        <v/>
      </c>
    </row>
    <row r="69">
      <c r="B69" s="160" t="n">
        <v>42429</v>
      </c>
      <c r="C69" s="167" t="n">
        <v>42.5311393737793</v>
      </c>
      <c r="D69" s="34">
        <f>(C69-C68)/C68</f>
        <v/>
      </c>
    </row>
    <row r="70">
      <c r="B70" s="160" t="n">
        <v>42460</v>
      </c>
      <c r="C70" s="167" t="n">
        <v>43.129077911377</v>
      </c>
      <c r="D70" s="34">
        <f>(C70-C69)/C69</f>
        <v/>
      </c>
    </row>
    <row r="71">
      <c r="B71" s="160" t="n">
        <v>42490</v>
      </c>
      <c r="C71" s="167" t="n">
        <v>44.1385765075684</v>
      </c>
      <c r="D71" s="34">
        <f>(C71-C70)/C70</f>
        <v/>
      </c>
    </row>
    <row r="72">
      <c r="B72" s="160" t="n">
        <v>42521</v>
      </c>
      <c r="C72" s="167" t="n">
        <v>45.1247901916504</v>
      </c>
      <c r="D72" s="34">
        <f>(C72-C71)/C71</f>
        <v/>
      </c>
    </row>
    <row r="73">
      <c r="B73" s="160" t="n">
        <v>42551</v>
      </c>
      <c r="C73" s="167" t="n">
        <v>42.7607421875</v>
      </c>
      <c r="D73" s="34">
        <f>(C73-C72)/C72</f>
        <v/>
      </c>
    </row>
    <row r="74">
      <c r="B74" s="160" t="n">
        <v>42582</v>
      </c>
      <c r="C74" s="167" t="n">
        <v>47.1609230041504</v>
      </c>
      <c r="D74" s="34">
        <f>(C74-C73)/C73</f>
        <v/>
      </c>
    </row>
    <row r="75">
      <c r="B75" s="160" t="n">
        <v>42613</v>
      </c>
      <c r="C75" s="167" t="n">
        <v>49.2320709228516</v>
      </c>
      <c r="D75" s="34">
        <f>(C75-C74)/C74</f>
        <v/>
      </c>
    </row>
    <row r="76">
      <c r="B76" s="160" t="n">
        <v>42643</v>
      </c>
      <c r="C76" s="167" t="n">
        <v>50.013786315918</v>
      </c>
      <c r="D76" s="34">
        <f>(C76-C75)/C75</f>
        <v/>
      </c>
    </row>
    <row r="77">
      <c r="B77" s="160" t="n">
        <v>42674</v>
      </c>
      <c r="C77" s="167" t="n">
        <v>49.2723617553711</v>
      </c>
      <c r="D77" s="34">
        <f>(C77-C76)/C76</f>
        <v/>
      </c>
    </row>
    <row r="78">
      <c r="B78" s="160" t="n">
        <v>42704</v>
      </c>
      <c r="C78" s="167" t="n">
        <v>50.6262626647949</v>
      </c>
      <c r="D78" s="34">
        <f>(C78-C77)/C77</f>
        <v/>
      </c>
    </row>
    <row r="79">
      <c r="B79" s="160" t="n">
        <v>42735</v>
      </c>
      <c r="C79" s="167" t="n">
        <v>53.2776527404785</v>
      </c>
      <c r="D79" s="34">
        <f>(C79-C78)/C78</f>
        <v/>
      </c>
    </row>
    <row r="80">
      <c r="B80" s="160" t="n">
        <v>42766</v>
      </c>
      <c r="C80" s="167" t="n">
        <v>53.3663101196289</v>
      </c>
      <c r="D80" s="34">
        <f>(C80-C79)/C79</f>
        <v/>
      </c>
    </row>
    <row r="81">
      <c r="B81" s="160" t="n">
        <v>42794</v>
      </c>
      <c r="C81" s="167" t="n">
        <v>51.4885749816895</v>
      </c>
      <c r="D81" s="34">
        <f>(C81-C80)/C80</f>
        <v/>
      </c>
    </row>
    <row r="82">
      <c r="B82" s="160" t="n">
        <v>42825</v>
      </c>
      <c r="C82" s="167" t="n">
        <v>55.3085098266602</v>
      </c>
      <c r="D82" s="34">
        <f>(C82-C81)/C81</f>
        <v/>
      </c>
    </row>
    <row r="83">
      <c r="B83" s="160" t="n">
        <v>42855</v>
      </c>
      <c r="C83" s="167" t="n">
        <v>58.4273223876953</v>
      </c>
      <c r="D83" s="34">
        <f>(C83-C82)/C82</f>
        <v/>
      </c>
    </row>
    <row r="84">
      <c r="B84" s="160" t="n">
        <v>42886</v>
      </c>
      <c r="C84" s="167" t="n">
        <v>55.2521018981934</v>
      </c>
      <c r="D84" s="34">
        <f>(C84-C83)/C83</f>
        <v/>
      </c>
    </row>
    <row r="85">
      <c r="B85" s="160" t="n">
        <v>42916</v>
      </c>
      <c r="C85" s="167" t="n">
        <v>55.7387619018555</v>
      </c>
      <c r="D85" s="34">
        <f>(C85-C84)/C84</f>
        <v/>
      </c>
    </row>
    <row r="86">
      <c r="B86" s="160" t="n">
        <v>42947</v>
      </c>
      <c r="C86" s="167" t="n">
        <v>54.9764671325684</v>
      </c>
      <c r="D86" s="34">
        <f>(C86-C85)/C85</f>
        <v/>
      </c>
    </row>
    <row r="87">
      <c r="B87" s="160" t="n">
        <v>42978</v>
      </c>
      <c r="C87" s="167" t="n">
        <v>56.1199111938477</v>
      </c>
      <c r="D87" s="34">
        <f>(C87-C86)/C86</f>
        <v/>
      </c>
    </row>
    <row r="88">
      <c r="B88" s="160" t="n">
        <v>43008</v>
      </c>
      <c r="C88" s="167" t="n">
        <v>61.0085487365723</v>
      </c>
      <c r="D88" s="34">
        <f>(C88-C87)/C87</f>
        <v/>
      </c>
    </row>
    <row r="89">
      <c r="B89" s="160" t="n">
        <v>43039</v>
      </c>
      <c r="C89" s="167" t="n">
        <v>62.5165824890137</v>
      </c>
      <c r="D89" s="34">
        <f>(C89-C88)/C88</f>
        <v/>
      </c>
    </row>
    <row r="90">
      <c r="B90" s="160" t="n">
        <v>43069</v>
      </c>
      <c r="C90" s="167" t="n">
        <v>59.831974029541</v>
      </c>
      <c r="D90" s="34">
        <f>(C90-C89)/C89</f>
        <v/>
      </c>
    </row>
    <row r="91">
      <c r="B91" s="160" t="n">
        <v>43100</v>
      </c>
      <c r="C91" s="167" t="n">
        <v>58.7133750915527</v>
      </c>
      <c r="D91" s="34">
        <f>(C91-C90)/C90</f>
        <v/>
      </c>
    </row>
    <row r="92">
      <c r="B92" s="160" t="n">
        <v>43131</v>
      </c>
      <c r="C92" s="167" t="n">
        <v>62.541431427002</v>
      </c>
      <c r="D92" s="34">
        <f>(C92-C91)/C91</f>
        <v/>
      </c>
    </row>
    <row r="93">
      <c r="B93" s="160" t="n">
        <v>43159</v>
      </c>
      <c r="C93" s="167" t="n">
        <v>59.3099594116211</v>
      </c>
      <c r="D93" s="34">
        <f>(C93-C92)/C92</f>
        <v/>
      </c>
    </row>
    <row r="94">
      <c r="B94" s="160" t="n">
        <v>43190</v>
      </c>
      <c r="C94" s="167" t="n">
        <v>59.1110954284668</v>
      </c>
      <c r="D94" s="34">
        <f>(C94-C93)/C93</f>
        <v/>
      </c>
    </row>
    <row r="95">
      <c r="B95" s="160" t="n">
        <v>43220</v>
      </c>
      <c r="C95" s="167" t="n">
        <v>62.3757133483887</v>
      </c>
      <c r="D95" s="34">
        <f>(C95-C94)/C94</f>
        <v/>
      </c>
    </row>
    <row r="96">
      <c r="B96" s="160" t="n">
        <v>43251</v>
      </c>
      <c r="C96" s="167" t="n">
        <v>61.1328430175781</v>
      </c>
      <c r="D96" s="34">
        <f>(C96-C95)/C95</f>
        <v/>
      </c>
    </row>
    <row r="97">
      <c r="B97" s="160" t="n">
        <v>43281</v>
      </c>
      <c r="C97" s="167" t="n">
        <v>60.9588584899902</v>
      </c>
      <c r="D97" s="34">
        <f>(C97-C96)/C96</f>
        <v/>
      </c>
    </row>
    <row r="98">
      <c r="B98" s="160" t="n">
        <v>43312</v>
      </c>
      <c r="C98" s="167" t="n">
        <v>58.7567596435547</v>
      </c>
      <c r="D98" s="34">
        <f>(C98-C97)/C97</f>
        <v/>
      </c>
    </row>
    <row r="99">
      <c r="B99" s="160" t="n">
        <v>43343</v>
      </c>
      <c r="C99" s="167" t="n">
        <v>59.9516868591309</v>
      </c>
      <c r="D99" s="34">
        <f>(C99-C98)/C98</f>
        <v/>
      </c>
    </row>
    <row r="100">
      <c r="B100" s="160" t="n">
        <v>43373</v>
      </c>
      <c r="C100" s="167" t="n">
        <v>59.1493797302246</v>
      </c>
      <c r="D100" s="34">
        <f>(C100-C99)/C99</f>
        <v/>
      </c>
    </row>
    <row r="101">
      <c r="B101" s="160" t="n">
        <v>43404</v>
      </c>
      <c r="C101" s="167" t="n">
        <v>54.5915489196777</v>
      </c>
      <c r="D101" s="34">
        <f>(C101-C100)/C100</f>
        <v/>
      </c>
    </row>
    <row r="102">
      <c r="B102" s="160" t="n">
        <v>43434</v>
      </c>
      <c r="C102" s="167" t="n">
        <v>54.8646812438965</v>
      </c>
      <c r="D102" s="34">
        <f>(C102-C101)/C101</f>
        <v/>
      </c>
    </row>
    <row r="103">
      <c r="B103" s="160" t="n">
        <v>43465</v>
      </c>
      <c r="C103" s="167" t="n">
        <v>50.972599029541</v>
      </c>
      <c r="D103" s="34">
        <f>(C103-C102)/C102</f>
        <v/>
      </c>
    </row>
    <row r="104">
      <c r="B104" s="160" t="n">
        <v>43496</v>
      </c>
      <c r="C104" s="167" t="n">
        <v>52.9869194030762</v>
      </c>
      <c r="D104" s="34">
        <f>(C104-C103)/C103</f>
        <v/>
      </c>
    </row>
    <row r="105">
      <c r="B105" s="160" t="n">
        <v>43524</v>
      </c>
      <c r="C105" s="167" t="n">
        <v>58.3982772827148</v>
      </c>
      <c r="D105" s="34">
        <f>(C105-C104)/C104</f>
        <v/>
      </c>
    </row>
    <row r="106">
      <c r="B106" s="160" t="n">
        <v>43555</v>
      </c>
      <c r="C106" s="167" t="n">
        <v>59.6956367492676</v>
      </c>
      <c r="D106" s="34">
        <f>(C106-C105)/C105</f>
        <v/>
      </c>
    </row>
    <row r="107">
      <c r="B107" s="160" t="n">
        <v>43585</v>
      </c>
      <c r="C107" s="167" t="n">
        <v>64.407096862793</v>
      </c>
      <c r="D107" s="34">
        <f>(C107-C106)/C106</f>
        <v/>
      </c>
    </row>
    <row r="108">
      <c r="B108" s="160" t="n">
        <v>43616</v>
      </c>
      <c r="C108" s="167" t="n">
        <v>62.3381500244141</v>
      </c>
      <c r="D108" s="34">
        <f>(C108-C107)/C107</f>
        <v/>
      </c>
    </row>
    <row r="109">
      <c r="B109" s="160" t="n">
        <v>43646</v>
      </c>
      <c r="C109" s="167" t="n">
        <v>70.2272872924805</v>
      </c>
      <c r="D109" s="34">
        <f>(C109-C108)/C108</f>
        <v/>
      </c>
    </row>
    <row r="110">
      <c r="B110" s="160" t="n">
        <v>43677</v>
      </c>
      <c r="C110" s="167" t="n">
        <v>68.74806213378911</v>
      </c>
      <c r="D110" s="34">
        <f>(C110-C109)/C109</f>
        <v/>
      </c>
    </row>
    <row r="111">
      <c r="B111" s="160" t="n">
        <v>43708</v>
      </c>
      <c r="C111" s="167" t="n">
        <v>67.0575485229492</v>
      </c>
      <c r="D111" s="34">
        <f>(C111-C110)/C110</f>
        <v/>
      </c>
    </row>
    <row r="112">
      <c r="B112" s="160" t="n">
        <v>43738</v>
      </c>
      <c r="C112" s="167" t="n">
        <v>70.8788223266602</v>
      </c>
      <c r="D112" s="34">
        <f>(C112-C111)/C111</f>
        <v/>
      </c>
    </row>
    <row r="113">
      <c r="B113" s="160" t="n">
        <v>43769</v>
      </c>
      <c r="C113" s="167" t="n">
        <v>73.308967590332</v>
      </c>
      <c r="D113" s="34">
        <f>(C113-C112)/C112</f>
        <v/>
      </c>
    </row>
    <row r="114">
      <c r="B114" s="160" t="n">
        <v>43799</v>
      </c>
      <c r="C114" s="167" t="n">
        <v>77.130256652832</v>
      </c>
      <c r="D114" s="34">
        <f>(C114-C113)/C113</f>
        <v/>
      </c>
    </row>
    <row r="115">
      <c r="B115" s="160" t="n">
        <v>43830</v>
      </c>
      <c r="C115" s="167" t="n">
        <v>80.5641250610352</v>
      </c>
      <c r="D115" s="34">
        <f>(C115-C114)/C114</f>
        <v/>
      </c>
    </row>
    <row r="116">
      <c r="B116" s="160" t="n">
        <v>43861</v>
      </c>
      <c r="C116" s="167" t="n">
        <v>79.7012557983398</v>
      </c>
      <c r="D116" s="34">
        <f>(C116-C115)/C115</f>
        <v/>
      </c>
    </row>
    <row r="117">
      <c r="B117" s="160" t="n">
        <v>43890</v>
      </c>
      <c r="C117" s="167" t="n">
        <v>79.6836624145508</v>
      </c>
      <c r="D117" s="34">
        <f>(C117-C116)/C116</f>
        <v/>
      </c>
    </row>
    <row r="118">
      <c r="B118" s="160" t="n">
        <v>43921</v>
      </c>
      <c r="C118" s="167" t="n">
        <v>69.1883087158203</v>
      </c>
      <c r="D118" s="34">
        <f>(C118-C117)/C117</f>
        <v/>
      </c>
    </row>
    <row r="119">
      <c r="B119" s="160" t="n">
        <v>43951</v>
      </c>
      <c r="C119" s="167" t="n">
        <v>73.4850616455078</v>
      </c>
      <c r="D119" s="34">
        <f>(C119-C118)/C118</f>
        <v/>
      </c>
    </row>
    <row r="120">
      <c r="B120" s="160" t="n">
        <v>43982</v>
      </c>
      <c r="C120" s="167" t="n">
        <v>78.57423400878911</v>
      </c>
      <c r="D120" s="34">
        <f>(C120-C119)/C119</f>
        <v/>
      </c>
    </row>
    <row r="121">
      <c r="B121" s="160" t="n">
        <v>44012</v>
      </c>
      <c r="C121" s="167" t="n">
        <v>89.90871429443359</v>
      </c>
      <c r="D121" s="34">
        <f>(C121-C120)/C120</f>
        <v/>
      </c>
    </row>
    <row r="122">
      <c r="B122" s="160" t="n">
        <v>44043</v>
      </c>
      <c r="C122" s="167" t="n">
        <v>89.3267822265625</v>
      </c>
      <c r="D122" s="34">
        <f>(C122-C121)/C121</f>
        <v/>
      </c>
    </row>
    <row r="123">
      <c r="B123" s="160" t="n">
        <v>44074</v>
      </c>
      <c r="C123" s="167" t="n">
        <v>94.3368682861328</v>
      </c>
      <c r="D123" s="34">
        <f>(C123-C122)/C122</f>
        <v/>
      </c>
    </row>
    <row r="124">
      <c r="B124" s="160" t="n">
        <v>44104</v>
      </c>
      <c r="C124" s="167" t="n">
        <v>96.4281921386719</v>
      </c>
      <c r="D124" s="34">
        <f>(C124-C123)/C123</f>
        <v/>
      </c>
    </row>
    <row r="125">
      <c r="B125" s="160" t="n">
        <v>44135</v>
      </c>
      <c r="C125" s="167" t="n">
        <v>94.74603271484381</v>
      </c>
      <c r="D125" s="34">
        <f>(C125-C124)/C124</f>
        <v/>
      </c>
    </row>
    <row r="126">
      <c r="B126" s="160" t="n">
        <v>44165</v>
      </c>
      <c r="C126" s="167" t="n">
        <v>106.066467285156</v>
      </c>
      <c r="D126" s="34">
        <f>(C126-C125)/C125</f>
        <v/>
      </c>
    </row>
    <row r="127">
      <c r="B127" s="160" t="n">
        <v>44196</v>
      </c>
      <c r="C127" s="167" t="n">
        <v>107.566757202148</v>
      </c>
      <c r="D127" s="34">
        <f>(C127-C126)/C126</f>
        <v/>
      </c>
    </row>
    <row r="128">
      <c r="B128" s="160" t="n">
        <v>44227</v>
      </c>
      <c r="C128" s="167" t="n">
        <v>109.976318359375</v>
      </c>
      <c r="D128" s="34">
        <f>(C128-C127)/C127</f>
        <v/>
      </c>
    </row>
    <row r="129">
      <c r="B129" s="160" t="n">
        <v>44255</v>
      </c>
      <c r="C129" s="167" t="n">
        <v>111.703941345215</v>
      </c>
      <c r="D129" s="34">
        <f>(C129-C128)/C128</f>
        <v/>
      </c>
    </row>
    <row r="130">
      <c r="B130" s="160" t="n">
        <v>44286</v>
      </c>
      <c r="C130" s="167" t="n">
        <v>118.432556152344</v>
      </c>
      <c r="D130" s="34">
        <f>(C130-C129)/C129</f>
        <v/>
      </c>
    </row>
    <row r="131">
      <c r="B131" s="160" t="n">
        <v>44316</v>
      </c>
      <c r="C131" s="167" t="n">
        <v>120.951232910156</v>
      </c>
      <c r="D131" s="34">
        <f>(C131-C130)/C130</f>
        <v/>
      </c>
    </row>
    <row r="132">
      <c r="B132" s="160" t="n">
        <v>44347</v>
      </c>
      <c r="C132" s="167" t="n">
        <v>117.659660339355</v>
      </c>
      <c r="D132" s="34">
        <f>(C132-C131)/C131</f>
        <v/>
      </c>
    </row>
    <row r="133">
      <c r="B133" s="160" t="n">
        <v>44377</v>
      </c>
      <c r="C133" s="167" t="n">
        <v>123.01188659668</v>
      </c>
      <c r="D133" s="34">
        <f>(C133-C132)/C132</f>
        <v/>
      </c>
    </row>
    <row r="134">
      <c r="B134" s="160" t="n">
        <v>44408</v>
      </c>
      <c r="C134" s="167" t="n">
        <v>131.003784179688</v>
      </c>
      <c r="D134" s="34">
        <f>(C134-C133)/C133</f>
        <v/>
      </c>
    </row>
    <row r="135">
      <c r="B135" s="160" t="n">
        <v>44439</v>
      </c>
      <c r="C135" s="167" t="n">
        <v>140.275100708008</v>
      </c>
      <c r="D135" s="34">
        <f>(C135-C134)/C134</f>
        <v/>
      </c>
    </row>
    <row r="136">
      <c r="B136" s="160" t="n">
        <v>44469</v>
      </c>
      <c r="C136" s="167" t="n">
        <v>133.414306640625</v>
      </c>
      <c r="D136" s="34">
        <f>(C136-C135)/C135</f>
        <v/>
      </c>
    </row>
    <row r="137">
      <c r="B137" s="160" t="n">
        <v>44500</v>
      </c>
      <c r="C137" s="167" t="n">
        <v>138.04997253418</v>
      </c>
      <c r="D137" s="34">
        <f>(C137-C136)/C136</f>
        <v/>
      </c>
    </row>
    <row r="138">
      <c r="B138" s="160" t="n">
        <v>44530</v>
      </c>
      <c r="C138" s="167" t="n">
        <v>144.83659362793</v>
      </c>
      <c r="D138" s="34">
        <f>(C138-C137)/C137</f>
        <v/>
      </c>
    </row>
    <row r="139">
      <c r="B139" s="160" t="n">
        <v>44561</v>
      </c>
      <c r="C139" s="167" t="n">
        <v>159.893218994141</v>
      </c>
      <c r="D139" s="34">
        <f>(C139-C138)/C138</f>
        <v/>
      </c>
    </row>
    <row r="140">
      <c r="B140" s="160" t="n">
        <v>44592</v>
      </c>
      <c r="C140" s="167" t="n">
        <v>138.476455688477</v>
      </c>
      <c r="D140" s="34">
        <f>(C140-C139)/C139</f>
        <v/>
      </c>
    </row>
    <row r="141">
      <c r="B141" s="160" t="n">
        <v>44620</v>
      </c>
      <c r="C141" s="167" t="n">
        <v>129.594512939453</v>
      </c>
      <c r="D141" s="34">
        <f>(C141-C140)/C140</f>
        <v/>
      </c>
    </row>
    <row r="142">
      <c r="B142" s="160" t="n">
        <v>44651</v>
      </c>
      <c r="C142" s="167" t="n">
        <v>141.07243347168</v>
      </c>
      <c r="D142" s="34">
        <f>(C142-C141)/C141</f>
        <v/>
      </c>
    </row>
    <row r="143">
      <c r="B143" s="160" t="n">
        <v>44681</v>
      </c>
      <c r="C143" s="167" t="n">
        <v>127.666091918945</v>
      </c>
      <c r="D143" s="34">
        <f>(C143-C142)/C142</f>
        <v/>
      </c>
    </row>
    <row r="144">
      <c r="B144" s="160" t="n">
        <v>44712</v>
      </c>
      <c r="C144" s="167" t="n">
        <v>119.63712310791</v>
      </c>
      <c r="D144" s="34">
        <f>(C144-C143)/C143</f>
        <v/>
      </c>
    </row>
    <row r="145">
      <c r="B145" s="160" t="n">
        <v>44742</v>
      </c>
      <c r="C145" s="167" t="n">
        <v>107.107093811035</v>
      </c>
      <c r="D145" s="34">
        <f>(C145-C144)/C144</f>
        <v/>
      </c>
    </row>
    <row r="146">
      <c r="B146" s="160" t="n">
        <v>44773</v>
      </c>
      <c r="C146" s="167" t="n">
        <v>127.636734008789</v>
      </c>
      <c r="D146" s="34">
        <f>(C146-C145)/C145</f>
        <v/>
      </c>
    </row>
    <row r="147">
      <c r="B147" s="160" t="n">
        <v>44804</v>
      </c>
      <c r="C147" s="167" t="n">
        <v>112.685386657715</v>
      </c>
      <c r="D147" s="34">
        <f>(C147-C146)/C146</f>
        <v/>
      </c>
    </row>
    <row r="148">
      <c r="B148" s="160" t="n">
        <v>44834</v>
      </c>
      <c r="C148" s="167" t="n">
        <v>110.939804077148</v>
      </c>
      <c r="D148" s="34">
        <f>(C148-C147)/C147</f>
        <v/>
      </c>
    </row>
    <row r="149">
      <c r="B149" s="160" t="n">
        <v>44865</v>
      </c>
      <c r="C149" s="167" t="n">
        <v>121.67896270752</v>
      </c>
      <c r="D149" s="34">
        <f>(C149-C148)/C148</f>
        <v/>
      </c>
    </row>
    <row r="150">
      <c r="B150" s="160" t="n">
        <v>44895</v>
      </c>
      <c r="C150" s="167" t="n">
        <v>131.792007446289</v>
      </c>
      <c r="D150" s="34">
        <f>(C150-C149)/C149</f>
        <v/>
      </c>
    </row>
    <row r="151">
      <c r="B151" s="160" t="n">
        <v>44926</v>
      </c>
      <c r="C151" s="167" t="n">
        <v>124.012748718262</v>
      </c>
      <c r="D151" s="34">
        <f>(C151-C150)/C150</f>
        <v/>
      </c>
    </row>
    <row r="152">
      <c r="B152" s="160" t="n">
        <v>44957</v>
      </c>
      <c r="C152" s="167" t="n">
        <v>140.709701538086</v>
      </c>
      <c r="D152" s="34">
        <f>(C152-C151)/C151</f>
        <v/>
      </c>
    </row>
    <row r="153">
      <c r="B153" s="160" t="n">
        <v>44985</v>
      </c>
      <c r="C153" s="167" t="n">
        <v>144.314697265625</v>
      </c>
      <c r="D153" s="34">
        <f>(C153-C152)/C152</f>
        <v/>
      </c>
    </row>
    <row r="154">
      <c r="B154" s="160" t="n">
        <v>45016</v>
      </c>
      <c r="C154" s="167" t="n">
        <v>145.794662475586</v>
      </c>
      <c r="D154" s="34">
        <f>(C154-C153)/C153</f>
        <v/>
      </c>
    </row>
    <row r="155">
      <c r="B155" s="160" t="n">
        <v>45046</v>
      </c>
      <c r="C155" s="167" t="n">
        <v>149.722259521484</v>
      </c>
      <c r="D155" s="34">
        <f>(C155-C154)/C154</f>
        <v/>
      </c>
    </row>
    <row r="156">
      <c r="B156" s="160" t="n">
        <v>45077</v>
      </c>
      <c r="C156" s="167" t="n">
        <v>153.061630249023</v>
      </c>
      <c r="D156" s="34">
        <f>(C156-C155)/C155</f>
        <v/>
      </c>
    </row>
    <row r="157">
      <c r="B157" s="160" t="n">
        <v>45107</v>
      </c>
      <c r="C157" s="167" t="n">
        <v>161.114852905273</v>
      </c>
      <c r="D157" s="34">
        <f>(C157-C156)/C156</f>
        <v/>
      </c>
    </row>
    <row r="158">
      <c r="B158" s="160" t="n">
        <v>45138</v>
      </c>
      <c r="C158" s="167" t="n">
        <v>156.836761474609</v>
      </c>
      <c r="D158" s="34">
        <f>(C158-C157)/C157</f>
        <v/>
      </c>
    </row>
    <row r="159">
      <c r="B159" s="160" t="n">
        <v>45169</v>
      </c>
      <c r="C159" s="167" t="n">
        <v>153.487869262695</v>
      </c>
      <c r="D159" s="34">
        <f>(C159-C158)/C158</f>
        <v/>
      </c>
    </row>
    <row r="160">
      <c r="B160" s="160" t="n">
        <v>45199</v>
      </c>
      <c r="C160" s="167" t="n">
        <v>151.939239501953</v>
      </c>
      <c r="D160" s="34">
        <f>(C160-C159)/C159</f>
        <v/>
      </c>
    </row>
    <row r="161">
      <c r="B161" s="160" t="n">
        <v>45230</v>
      </c>
      <c r="C161" s="167" t="n">
        <v>140.324584960938</v>
      </c>
      <c r="D161" s="34">
        <f>(C161-C160)/C160</f>
        <v/>
      </c>
    </row>
    <row r="162">
      <c r="B162" s="160" t="n">
        <v>45260</v>
      </c>
      <c r="C162" s="167" t="n">
        <v>163.205474853516</v>
      </c>
      <c r="D162" s="34">
        <f>(C162-C161)/C161</f>
        <v/>
      </c>
    </row>
    <row r="163">
      <c r="B163" s="160" t="n">
        <v>45291</v>
      </c>
      <c r="C163" s="167" t="n">
        <v>175.942901611328</v>
      </c>
      <c r="D163" s="34">
        <f>(C163-C162)/C162</f>
        <v/>
      </c>
    </row>
    <row r="164">
      <c r="B164" s="160" t="n">
        <v>45322</v>
      </c>
      <c r="C164" s="167" t="n">
        <v>177.026931762695</v>
      </c>
      <c r="D164" s="34">
        <f>(C164-C163)/C163</f>
        <v/>
      </c>
    </row>
    <row r="165">
      <c r="B165" s="160" t="n">
        <v>45351</v>
      </c>
      <c r="C165" s="167" t="n">
        <v>203.06315612793</v>
      </c>
      <c r="D165" s="34">
        <f>(C165-C164)/C164</f>
        <v/>
      </c>
    </row>
    <row r="166">
      <c r="B166" s="160" t="n">
        <v>45382</v>
      </c>
      <c r="C166" s="167" t="n">
        <v>202.91796875</v>
      </c>
      <c r="D166" s="34">
        <f>(C166-C165)/C165</f>
        <v/>
      </c>
    </row>
    <row r="167">
      <c r="B167" s="160" t="n">
        <v>45412</v>
      </c>
      <c r="C167" s="167" t="n">
        <v>208.192977905273</v>
      </c>
      <c r="D167" s="34">
        <f>(C167-C166)/C166</f>
        <v/>
      </c>
    </row>
    <row r="168">
      <c r="B168" s="160" t="n">
        <v>45443</v>
      </c>
      <c r="C168" s="167" t="n">
        <v>220.146392822266</v>
      </c>
      <c r="D168" s="34">
        <f>(C168-C167)/C167</f>
        <v/>
      </c>
    </row>
    <row r="169">
      <c r="B169" s="160" t="n">
        <v>45473</v>
      </c>
      <c r="C169" s="167" t="n">
        <v>220.342651367188</v>
      </c>
      <c r="D169" s="34">
        <f>(C169-C168)/C168</f>
        <v/>
      </c>
    </row>
    <row r="170">
      <c r="B170" s="160" t="n">
        <v>45504</v>
      </c>
      <c r="C170" s="167" t="n">
        <v>218.918243408203</v>
      </c>
      <c r="D170" s="34">
        <f>(C170-C169)/C169</f>
        <v/>
      </c>
    </row>
    <row r="171">
      <c r="B171" s="160" t="n">
        <v>45535</v>
      </c>
      <c r="C171" s="167" t="n">
        <v>225.647384643555</v>
      </c>
      <c r="D171" s="34">
        <f>(C171-C170)/C170</f>
        <v/>
      </c>
    </row>
    <row r="172">
      <c r="B172" s="160" t="n">
        <v>45565</v>
      </c>
      <c r="C172" s="167" t="n">
        <v>232.032699584961</v>
      </c>
      <c r="D172" s="34">
        <f>(C172-C171)/C171</f>
        <v/>
      </c>
    </row>
    <row r="173">
      <c r="B173" s="160" t="n">
        <v>45596</v>
      </c>
      <c r="C173" s="167" t="n">
        <v>233.015060424805</v>
      </c>
      <c r="D173" s="34">
        <f>(C173-C172)/C172</f>
        <v/>
      </c>
    </row>
    <row r="174">
      <c r="B174" s="160" t="n">
        <v>45626</v>
      </c>
      <c r="C174" s="167" t="n">
        <v>239.203903198242</v>
      </c>
      <c r="D174" s="34">
        <f>(C174-C173)/C173</f>
        <v/>
      </c>
    </row>
    <row r="175">
      <c r="B175" s="160" t="n">
        <v>45657</v>
      </c>
      <c r="C175" s="167" t="n">
        <v>236.649780273438</v>
      </c>
      <c r="D175" s="34">
        <f>(C175-C174)/C174</f>
        <v/>
      </c>
    </row>
    <row r="176">
      <c r="B176" s="160" t="n">
        <v>45688</v>
      </c>
      <c r="C176" s="167" t="n">
        <v>241.021270751953</v>
      </c>
      <c r="D176" s="34">
        <f>(C176-C175)/C175</f>
        <v/>
      </c>
    </row>
    <row r="177">
      <c r="B177" s="160" t="n">
        <v>45716</v>
      </c>
      <c r="C177" s="167" t="n">
        <v>229.822387695313</v>
      </c>
      <c r="D177" s="34">
        <f>(C177-C176)/C176</f>
        <v/>
      </c>
    </row>
    <row r="178">
      <c r="B178" s="160" t="n">
        <v>45747</v>
      </c>
      <c r="C178" s="167" t="n">
        <v>207.031723022461</v>
      </c>
      <c r="D178" s="34">
        <f>(C178-C177)/C177</f>
        <v/>
      </c>
    </row>
    <row r="179">
      <c r="B179" s="160" t="n">
        <v>45777</v>
      </c>
      <c r="C179" s="167" t="n">
        <v>200.597274780273</v>
      </c>
      <c r="D179" s="34">
        <f>(C179-C178)/C178</f>
        <v/>
      </c>
    </row>
    <row r="180">
      <c r="B180" s="160" t="n">
        <v>45808</v>
      </c>
      <c r="C180" s="167" t="n">
        <v>217.444702148438</v>
      </c>
      <c r="D180" s="34">
        <f>(C180-C179)/C179</f>
        <v/>
      </c>
    </row>
    <row r="181">
      <c r="B181" s="160" t="n">
        <v>45838</v>
      </c>
      <c r="C181" s="167" t="n">
        <v>225.800003051758</v>
      </c>
      <c r="D181" s="34">
        <f>(C181-C180)/C180</f>
        <v/>
      </c>
    </row>
    <row r="182">
      <c r="B182" s="160" t="n">
        <v>45869</v>
      </c>
      <c r="C182" s="167" t="n">
        <v>228.25</v>
      </c>
      <c r="D182" s="34">
        <f>(C182-C181)/C181</f>
        <v/>
      </c>
    </row>
    <row r="183">
      <c r="B183" s="160" t="n">
        <v>45900</v>
      </c>
      <c r="C183" s="167" t="n">
        <v>210.050003051758</v>
      </c>
      <c r="D183" s="34">
        <f>(C183-C182)/C182</f>
        <v/>
      </c>
    </row>
  </sheetData>
  <pageMargins left="0.7" right="0.7" top="0.75" bottom="0.75" header="0.3" footer="0.3"/>
</worksheet>
</file>

<file path=xl/worksheets/sheet22.xml><?xml version="1.0" encoding="utf-8"?>
<worksheet xmlns="http://schemas.openxmlformats.org/spreadsheetml/2006/main">
  <sheetPr>
    <tabColor theme="7" tint="0.7999816888943144"/>
    <outlinePr summaryBelow="1" summaryRight="1"/>
    <pageSetUpPr/>
  </sheetPr>
  <dimension ref="B2:F183"/>
  <sheetViews>
    <sheetView showGridLines="0" workbookViewId="0">
      <selection activeCell="D2" sqref="D2"/>
    </sheetView>
  </sheetViews>
  <sheetFormatPr baseColWidth="10" defaultColWidth="10.83203125" defaultRowHeight="15"/>
  <cols>
    <col width="11.6640625" bestFit="1" customWidth="1" min="3" max="3"/>
  </cols>
  <sheetData>
    <row r="2">
      <c r="B2" s="30" t="inlineStr">
        <is>
          <t>Date</t>
        </is>
      </c>
      <c r="C2" t="inlineStr">
        <is>
          <t>TTE.PA</t>
        </is>
      </c>
      <c r="D2" t="inlineStr">
        <is>
          <t>Monthly Return</t>
        </is>
      </c>
    </row>
    <row r="3">
      <c r="B3" s="160" t="inlineStr">
        <is>
          <t>2010-08</t>
        </is>
      </c>
      <c r="C3" s="167" t="n">
        <v>15.0635852813721</v>
      </c>
    </row>
    <row r="4">
      <c r="B4" s="160" t="n">
        <v>40451</v>
      </c>
      <c r="C4" s="167" t="n">
        <v>15.4455852508545</v>
      </c>
      <c r="D4" s="34">
        <f>(C4-C3)/C3</f>
        <v/>
      </c>
    </row>
    <row r="5">
      <c r="B5" s="160" t="n">
        <v>40482</v>
      </c>
      <c r="C5" s="167" t="n">
        <v>15.9522047042847</v>
      </c>
      <c r="D5" s="34">
        <f>(C5-C4)/C4</f>
        <v/>
      </c>
    </row>
    <row r="6">
      <c r="B6" s="160" t="n">
        <v>40512</v>
      </c>
      <c r="C6" s="167" t="n">
        <v>15.245397567749</v>
      </c>
      <c r="D6" s="34">
        <f>(C6-C5)/C5</f>
        <v/>
      </c>
    </row>
    <row r="7">
      <c r="B7" s="160" t="n">
        <v>40543</v>
      </c>
      <c r="C7" s="167" t="n">
        <v>16.664608001709</v>
      </c>
      <c r="D7" s="34">
        <f>(C7-C6)/C6</f>
        <v/>
      </c>
    </row>
    <row r="8">
      <c r="B8" s="160" t="n">
        <v>40574</v>
      </c>
      <c r="C8" s="167" t="n">
        <v>17.9528045654297</v>
      </c>
      <c r="D8" s="34">
        <f>(C8-C7)/C7</f>
        <v/>
      </c>
    </row>
    <row r="9">
      <c r="B9" s="160" t="n">
        <v>40602</v>
      </c>
      <c r="C9" s="167" t="n">
        <v>18.6652011871338</v>
      </c>
      <c r="D9" s="34">
        <f>(C9-C8)/C8</f>
        <v/>
      </c>
    </row>
    <row r="10">
      <c r="B10" s="160" t="n">
        <v>40633</v>
      </c>
      <c r="C10" s="167" t="n">
        <v>18.0536689758301</v>
      </c>
      <c r="D10" s="34">
        <f>(C10-C9)/C9</f>
        <v/>
      </c>
    </row>
    <row r="11">
      <c r="B11" s="160" t="n">
        <v>40663</v>
      </c>
      <c r="C11" s="167" t="n">
        <v>18.1650543212891</v>
      </c>
      <c r="D11" s="34">
        <f>(C11-C10)/C10</f>
        <v/>
      </c>
    </row>
    <row r="12">
      <c r="B12" s="160" t="n">
        <v>40694</v>
      </c>
      <c r="C12" s="167" t="n">
        <v>16.8243160247803</v>
      </c>
      <c r="D12" s="34">
        <f>(C12-C11)/C11</f>
        <v/>
      </c>
    </row>
    <row r="13">
      <c r="B13" s="160" t="n">
        <v>40724</v>
      </c>
      <c r="C13" s="167" t="n">
        <v>17.2398071289063</v>
      </c>
      <c r="D13" s="34">
        <f>(C13-C12)/C12</f>
        <v/>
      </c>
    </row>
    <row r="14">
      <c r="B14" s="160" t="n">
        <v>40755</v>
      </c>
      <c r="C14" s="167" t="n">
        <v>16.331995010376</v>
      </c>
      <c r="D14" s="34">
        <f>(C14-C13)/C13</f>
        <v/>
      </c>
    </row>
    <row r="15">
      <c r="B15" s="160" t="n">
        <v>40786</v>
      </c>
      <c r="C15" s="167" t="n">
        <v>14.6784753799438</v>
      </c>
      <c r="D15" s="34">
        <f>(C15-C14)/C14</f>
        <v/>
      </c>
    </row>
    <row r="16">
      <c r="B16" s="160" t="n">
        <v>40816</v>
      </c>
      <c r="C16" s="167" t="n">
        <v>14.3672332763672</v>
      </c>
      <c r="D16" s="34">
        <f>(C16-C15)/C15</f>
        <v/>
      </c>
    </row>
    <row r="17">
      <c r="B17" s="160" t="n">
        <v>40847</v>
      </c>
      <c r="C17" s="167" t="n">
        <v>16.6351146697998</v>
      </c>
      <c r="D17" s="34">
        <f>(C17-C16)/C16</f>
        <v/>
      </c>
    </row>
    <row r="18">
      <c r="B18" s="160" t="n">
        <v>40877</v>
      </c>
      <c r="C18" s="167" t="n">
        <v>16.8638687133789</v>
      </c>
      <c r="D18" s="34">
        <f>(C18-C17)/C17</f>
        <v/>
      </c>
    </row>
    <row r="19">
      <c r="B19" s="160" t="n">
        <v>40908</v>
      </c>
      <c r="C19" s="167" t="n">
        <v>17.3763599395752</v>
      </c>
      <c r="D19" s="34">
        <f>(C19-C18)/C18</f>
        <v/>
      </c>
    </row>
    <row r="20">
      <c r="B20" s="160" t="n">
        <v>40939</v>
      </c>
      <c r="C20" s="167" t="n">
        <v>18.0536956787109</v>
      </c>
      <c r="D20" s="34">
        <f>(C20-C19)/C19</f>
        <v/>
      </c>
    </row>
    <row r="21">
      <c r="B21" s="160" t="n">
        <v>40968</v>
      </c>
      <c r="C21" s="167" t="n">
        <v>18.7619037628174</v>
      </c>
      <c r="D21" s="34">
        <f>(C21-C20)/C20</f>
        <v/>
      </c>
    </row>
    <row r="22">
      <c r="B22" s="160" t="n">
        <v>40999</v>
      </c>
      <c r="C22" s="167" t="n">
        <v>17.0863361358643</v>
      </c>
      <c r="D22" s="34">
        <f>(C22-C21)/C21</f>
        <v/>
      </c>
    </row>
    <row r="23">
      <c r="B23" s="160" t="n">
        <v>41029</v>
      </c>
      <c r="C23" s="167" t="n">
        <v>16.3356761932373</v>
      </c>
      <c r="D23" s="34">
        <f>(C23-C22)/C22</f>
        <v/>
      </c>
    </row>
    <row r="24">
      <c r="B24" s="160" t="n">
        <v>41060</v>
      </c>
      <c r="C24" s="167" t="n">
        <v>15.7446537017822</v>
      </c>
      <c r="D24" s="34">
        <f>(C24-C23)/C23</f>
        <v/>
      </c>
    </row>
    <row r="25">
      <c r="B25" s="160" t="n">
        <v>41090</v>
      </c>
      <c r="C25" s="167" t="n">
        <v>16.0775260925293</v>
      </c>
      <c r="D25" s="34">
        <f>(C25-C24)/C24</f>
        <v/>
      </c>
    </row>
    <row r="26">
      <c r="B26" s="160" t="n">
        <v>41121</v>
      </c>
      <c r="C26" s="167" t="n">
        <v>17.309326171875</v>
      </c>
      <c r="D26" s="34">
        <f>(C26-C25)/C25</f>
        <v/>
      </c>
    </row>
    <row r="27">
      <c r="B27" s="160" t="n">
        <v>41152</v>
      </c>
      <c r="C27" s="167" t="n">
        <v>18.2759494781494</v>
      </c>
      <c r="D27" s="34">
        <f>(C27-C26)/C26</f>
        <v/>
      </c>
    </row>
    <row r="28">
      <c r="B28" s="160" t="n">
        <v>41182</v>
      </c>
      <c r="C28" s="167" t="n">
        <v>17.7673263549805</v>
      </c>
      <c r="D28" s="34">
        <f>(C28-C27)/C27</f>
        <v/>
      </c>
    </row>
    <row r="29">
      <c r="B29" s="160" t="n">
        <v>41213</v>
      </c>
      <c r="C29" s="167" t="n">
        <v>18.1217555999756</v>
      </c>
      <c r="D29" s="34">
        <f>(C29-C28)/C28</f>
        <v/>
      </c>
    </row>
    <row r="30">
      <c r="B30" s="160" t="n">
        <v>41243</v>
      </c>
      <c r="C30" s="167" t="n">
        <v>17.9607009887695</v>
      </c>
      <c r="D30" s="34">
        <f>(C30-C29)/C29</f>
        <v/>
      </c>
    </row>
    <row r="31">
      <c r="B31" s="160" t="n">
        <v>41274</v>
      </c>
      <c r="C31" s="167" t="n">
        <v>18.21044921875</v>
      </c>
      <c r="D31" s="34">
        <f>(C31-C30)/C30</f>
        <v/>
      </c>
    </row>
    <row r="32">
      <c r="B32" s="160" t="n">
        <v>41305</v>
      </c>
      <c r="C32" s="167" t="n">
        <v>18.9228534698486</v>
      </c>
      <c r="D32" s="34">
        <f>(C32-C31)/C31</f>
        <v/>
      </c>
    </row>
    <row r="33">
      <c r="B33" s="160" t="n">
        <v>41333</v>
      </c>
      <c r="C33" s="167" t="n">
        <v>18.1480255126953</v>
      </c>
      <c r="D33" s="34">
        <f>(C33-C32)/C32</f>
        <v/>
      </c>
    </row>
    <row r="34">
      <c r="B34" s="160" t="n">
        <v>41364</v>
      </c>
      <c r="C34" s="167" t="n">
        <v>17.7025623321533</v>
      </c>
      <c r="D34" s="34">
        <f>(C34-C33)/C33</f>
        <v/>
      </c>
    </row>
    <row r="35">
      <c r="B35" s="160" t="n">
        <v>41394</v>
      </c>
      <c r="C35" s="167" t="n">
        <v>18.4135704040527</v>
      </c>
      <c r="D35" s="34">
        <f>(C35-C34)/C34</f>
        <v/>
      </c>
    </row>
    <row r="36">
      <c r="B36" s="160" t="n">
        <v>41425</v>
      </c>
      <c r="C36" s="167" t="n">
        <v>18.5651264190674</v>
      </c>
      <c r="D36" s="34">
        <f>(C36-C35)/C35</f>
        <v/>
      </c>
    </row>
    <row r="37">
      <c r="B37" s="160" t="n">
        <v>41455</v>
      </c>
      <c r="C37" s="167" t="n">
        <v>18.0454959869385</v>
      </c>
      <c r="D37" s="34">
        <f>(C37-C36)/C36</f>
        <v/>
      </c>
    </row>
    <row r="38">
      <c r="B38" s="160" t="n">
        <v>41486</v>
      </c>
      <c r="C38" s="167" t="n">
        <v>19.6110210418701</v>
      </c>
      <c r="D38" s="34">
        <f>(C38-C37)/C37</f>
        <v/>
      </c>
    </row>
    <row r="39">
      <c r="B39" s="160" t="n">
        <v>41517</v>
      </c>
      <c r="C39" s="167" t="n">
        <v>20.4986591339111</v>
      </c>
      <c r="D39" s="34">
        <f>(C39-C38)/C38</f>
        <v/>
      </c>
    </row>
    <row r="40">
      <c r="B40" s="160" t="n">
        <v>41547</v>
      </c>
      <c r="C40" s="167" t="n">
        <v>20.9779357910156</v>
      </c>
      <c r="D40" s="34">
        <f>(C40-C39)/C39</f>
        <v/>
      </c>
    </row>
    <row r="41">
      <c r="B41" s="160" t="n">
        <v>41578</v>
      </c>
      <c r="C41" s="167" t="n">
        <v>22.4470691680908</v>
      </c>
      <c r="D41" s="34">
        <f>(C41-C40)/C40</f>
        <v/>
      </c>
    </row>
    <row r="42">
      <c r="B42" s="160" t="n">
        <v>41608</v>
      </c>
      <c r="C42" s="167" t="n">
        <v>22.1148204803467</v>
      </c>
      <c r="D42" s="34">
        <f>(C42-C41)/C41</f>
        <v/>
      </c>
    </row>
    <row r="43">
      <c r="B43" s="160" t="n">
        <v>41639</v>
      </c>
      <c r="C43" s="167" t="n">
        <v>22.0825881958008</v>
      </c>
      <c r="D43" s="34">
        <f>(C43-C42)/C42</f>
        <v/>
      </c>
    </row>
    <row r="44">
      <c r="B44" s="160" t="n">
        <v>41670</v>
      </c>
      <c r="C44" s="167" t="n">
        <v>21.2989177703857</v>
      </c>
      <c r="D44" s="34">
        <f>(C44-C43)/C43</f>
        <v/>
      </c>
    </row>
    <row r="45">
      <c r="B45" s="160" t="n">
        <v>41698</v>
      </c>
      <c r="C45" s="167" t="n">
        <v>23.6581993103027</v>
      </c>
      <c r="D45" s="34">
        <f>(C45-C44)/C44</f>
        <v/>
      </c>
    </row>
    <row r="46">
      <c r="B46" s="160" t="n">
        <v>41729</v>
      </c>
      <c r="C46" s="167" t="n">
        <v>23.9449405670166</v>
      </c>
      <c r="D46" s="34">
        <f>(C46-C45)/C45</f>
        <v/>
      </c>
    </row>
    <row r="47">
      <c r="B47" s="160" t="n">
        <v>41759</v>
      </c>
      <c r="C47" s="167" t="n">
        <v>26.2220153808594</v>
      </c>
      <c r="D47" s="34">
        <f>(C47-C46)/C46</f>
        <v/>
      </c>
    </row>
    <row r="48">
      <c r="B48" s="160" t="n">
        <v>41790</v>
      </c>
      <c r="C48" s="167" t="n">
        <v>26.2220153808594</v>
      </c>
      <c r="D48" s="34">
        <f>(C48-C47)/C47</f>
        <v/>
      </c>
    </row>
    <row r="49">
      <c r="B49" s="160" t="n">
        <v>41820</v>
      </c>
      <c r="C49" s="167" t="n">
        <v>26.884183883667</v>
      </c>
      <c r="D49" s="34">
        <f>(C49-C48)/C48</f>
        <v/>
      </c>
    </row>
    <row r="50">
      <c r="B50" s="160" t="n">
        <v>41851</v>
      </c>
      <c r="C50" s="167" t="n">
        <v>24.7890014648438</v>
      </c>
      <c r="D50" s="34">
        <f>(C50-C49)/C49</f>
        <v/>
      </c>
    </row>
    <row r="51">
      <c r="B51" s="160" t="n">
        <v>41882</v>
      </c>
      <c r="C51" s="167" t="n">
        <v>25.8714981079102</v>
      </c>
      <c r="D51" s="34">
        <f>(C51-C50)/C50</f>
        <v/>
      </c>
    </row>
    <row r="52">
      <c r="B52" s="160" t="n">
        <v>41912</v>
      </c>
      <c r="C52" s="167" t="n">
        <v>26.5209884643555</v>
      </c>
      <c r="D52" s="34">
        <f>(C52-C51)/C51</f>
        <v/>
      </c>
    </row>
    <row r="53">
      <c r="B53" s="160" t="n">
        <v>41943</v>
      </c>
      <c r="C53" s="167" t="n">
        <v>24.7447395324707</v>
      </c>
      <c r="D53" s="34">
        <f>(C53-C52)/C52</f>
        <v/>
      </c>
    </row>
    <row r="54">
      <c r="B54" s="160" t="n">
        <v>41973</v>
      </c>
      <c r="C54" s="167" t="n">
        <v>23.4767189025879</v>
      </c>
      <c r="D54" s="34">
        <f>(C54-C53)/C53</f>
        <v/>
      </c>
    </row>
    <row r="55">
      <c r="B55" s="160" t="n">
        <v>42004</v>
      </c>
      <c r="C55" s="167" t="n">
        <v>22.1878223419189</v>
      </c>
      <c r="D55" s="34">
        <f>(C55-C54)/C54</f>
        <v/>
      </c>
    </row>
    <row r="56">
      <c r="B56" s="160" t="n">
        <v>42035</v>
      </c>
      <c r="C56" s="167" t="n">
        <v>24.1002349853516</v>
      </c>
      <c r="D56" s="34">
        <f>(C56-C55)/C55</f>
        <v/>
      </c>
    </row>
    <row r="57">
      <c r="B57" s="160" t="n">
        <v>42063</v>
      </c>
      <c r="C57" s="167" t="n">
        <v>25.5488986968994</v>
      </c>
      <c r="D57" s="34">
        <f>(C57-C56)/C56</f>
        <v/>
      </c>
    </row>
    <row r="58">
      <c r="B58" s="160" t="n">
        <v>42094</v>
      </c>
      <c r="C58" s="167" t="n">
        <v>24.5107307434082</v>
      </c>
      <c r="D58" s="34">
        <f>(C58-C57)/C57</f>
        <v/>
      </c>
    </row>
    <row r="59">
      <c r="B59" s="160" t="n">
        <v>42124</v>
      </c>
      <c r="C59" s="167" t="n">
        <v>26.0144481658936</v>
      </c>
      <c r="D59" s="34">
        <f>(C59-C58)/C58</f>
        <v/>
      </c>
    </row>
    <row r="60">
      <c r="B60" s="160" t="n">
        <v>42155</v>
      </c>
      <c r="C60" s="167" t="n">
        <v>24.6677150726318</v>
      </c>
      <c r="D60" s="34">
        <f>(C60-C59)/C59</f>
        <v/>
      </c>
    </row>
    <row r="61">
      <c r="B61" s="160" t="n">
        <v>42185</v>
      </c>
      <c r="C61" s="167" t="n">
        <v>23.3773155212402</v>
      </c>
      <c r="D61" s="34">
        <f>(C61-C60)/C60</f>
        <v/>
      </c>
    </row>
    <row r="62">
      <c r="B62" s="160" t="n">
        <v>42216</v>
      </c>
      <c r="C62" s="167" t="n">
        <v>24.5130653381348</v>
      </c>
      <c r="D62" s="34">
        <f>(C62-C61)/C61</f>
        <v/>
      </c>
    </row>
    <row r="63">
      <c r="B63" s="160" t="n">
        <v>42247</v>
      </c>
      <c r="C63" s="167" t="n">
        <v>22.1909236907959</v>
      </c>
      <c r="D63" s="34">
        <f>(C63-C62)/C62</f>
        <v/>
      </c>
    </row>
    <row r="64">
      <c r="B64" s="160" t="n">
        <v>42277</v>
      </c>
      <c r="C64" s="167" t="n">
        <v>21.8619003295898</v>
      </c>
      <c r="D64" s="34">
        <f>(C64-C63)/C63</f>
        <v/>
      </c>
    </row>
    <row r="65">
      <c r="B65" s="160" t="n">
        <v>42308</v>
      </c>
      <c r="C65" s="167" t="n">
        <v>24.3754787445068</v>
      </c>
      <c r="D65" s="34">
        <f>(C65-C64)/C64</f>
        <v/>
      </c>
    </row>
    <row r="66">
      <c r="B66" s="160" t="n">
        <v>42338</v>
      </c>
      <c r="C66" s="167" t="n">
        <v>25.9519233703613</v>
      </c>
      <c r="D66" s="34">
        <f>(C66-C65)/C65</f>
        <v/>
      </c>
    </row>
    <row r="67">
      <c r="B67" s="160" t="n">
        <v>42369</v>
      </c>
      <c r="C67" s="167" t="n">
        <v>22.7852382659912</v>
      </c>
      <c r="D67" s="34">
        <f>(C67-C66)/C66</f>
        <v/>
      </c>
    </row>
    <row r="68">
      <c r="B68" s="160" t="n">
        <v>42400</v>
      </c>
      <c r="C68" s="167" t="n">
        <v>22.9276561737061</v>
      </c>
      <c r="D68" s="34">
        <f>(C68-C67)/C67</f>
        <v/>
      </c>
    </row>
    <row r="69">
      <c r="B69" s="160" t="n">
        <v>42429</v>
      </c>
      <c r="C69" s="167" t="n">
        <v>23.1826019287109</v>
      </c>
      <c r="D69" s="34">
        <f>(C69-C68)/C68</f>
        <v/>
      </c>
    </row>
    <row r="70">
      <c r="B70" s="160" t="n">
        <v>42460</v>
      </c>
      <c r="C70" s="167" t="n">
        <v>22.4457969665527</v>
      </c>
      <c r="D70" s="34">
        <f>(C70-C69)/C69</f>
        <v/>
      </c>
    </row>
    <row r="71">
      <c r="B71" s="160" t="n">
        <v>42490</v>
      </c>
      <c r="C71" s="167" t="n">
        <v>24.9693012237549</v>
      </c>
      <c r="D71" s="34">
        <f>(C71-C70)/C70</f>
        <v/>
      </c>
    </row>
    <row r="72">
      <c r="B72" s="160" t="n">
        <v>42521</v>
      </c>
      <c r="C72" s="167" t="n">
        <v>24.8243618011475</v>
      </c>
      <c r="D72" s="34">
        <f>(C72-C71)/C71</f>
        <v/>
      </c>
    </row>
    <row r="73">
      <c r="B73" s="160" t="n">
        <v>42551</v>
      </c>
      <c r="C73" s="167" t="n">
        <v>24.6566886901855</v>
      </c>
      <c r="D73" s="34">
        <f>(C73-C72)/C72</f>
        <v/>
      </c>
    </row>
    <row r="74">
      <c r="B74" s="160" t="n">
        <v>42582</v>
      </c>
      <c r="C74" s="167" t="n">
        <v>24.6599426269531</v>
      </c>
      <c r="D74" s="34">
        <f>(C74-C73)/C73</f>
        <v/>
      </c>
    </row>
    <row r="75">
      <c r="B75" s="160" t="n">
        <v>42613</v>
      </c>
      <c r="C75" s="167" t="n">
        <v>24.6541767120361</v>
      </c>
      <c r="D75" s="34">
        <f>(C75-C74)/C74</f>
        <v/>
      </c>
    </row>
    <row r="76">
      <c r="B76" s="160" t="n">
        <v>42643</v>
      </c>
      <c r="C76" s="167" t="n">
        <v>24.3196907043457</v>
      </c>
      <c r="D76" s="34">
        <f>(C76-C75)/C75</f>
        <v/>
      </c>
    </row>
    <row r="77">
      <c r="B77" s="160" t="n">
        <v>42674</v>
      </c>
      <c r="C77" s="167" t="n">
        <v>25.5876197814941</v>
      </c>
      <c r="D77" s="34">
        <f>(C77-C76)/C76</f>
        <v/>
      </c>
    </row>
    <row r="78">
      <c r="B78" s="160" t="n">
        <v>42704</v>
      </c>
      <c r="C78" s="167" t="n">
        <v>26.3104114532471</v>
      </c>
      <c r="D78" s="34">
        <f>(C78-C77)/C77</f>
        <v/>
      </c>
    </row>
    <row r="79">
      <c r="B79" s="160" t="n">
        <v>42735</v>
      </c>
      <c r="C79" s="167" t="n">
        <v>28.5139179229736</v>
      </c>
      <c r="D79" s="34">
        <f>(C79-C78)/C78</f>
        <v/>
      </c>
    </row>
    <row r="80">
      <c r="B80" s="160" t="n">
        <v>42766</v>
      </c>
      <c r="C80" s="167" t="n">
        <v>27.6578044891357</v>
      </c>
      <c r="D80" s="34">
        <f>(C80-C79)/C79</f>
        <v/>
      </c>
    </row>
    <row r="81">
      <c r="B81" s="160" t="n">
        <v>42794</v>
      </c>
      <c r="C81" s="167" t="n">
        <v>27.8889751434326</v>
      </c>
      <c r="D81" s="34">
        <f>(C81-C80)/C80</f>
        <v/>
      </c>
    </row>
    <row r="82">
      <c r="B82" s="160" t="n">
        <v>42825</v>
      </c>
      <c r="C82" s="167" t="n">
        <v>28.1053295135498</v>
      </c>
      <c r="D82" s="34">
        <f>(C82-C81)/C81</f>
        <v/>
      </c>
    </row>
    <row r="83">
      <c r="B83" s="160" t="n">
        <v>42855</v>
      </c>
      <c r="C83" s="167" t="n">
        <v>28.3249454498291</v>
      </c>
      <c r="D83" s="34">
        <f>(C83-C82)/C82</f>
        <v/>
      </c>
    </row>
    <row r="84">
      <c r="B84" s="160" t="n">
        <v>42886</v>
      </c>
      <c r="C84" s="167" t="n">
        <v>28.3849811553955</v>
      </c>
      <c r="D84" s="34">
        <f>(C84-C83)/C83</f>
        <v/>
      </c>
    </row>
    <row r="85">
      <c r="B85" s="160" t="n">
        <v>42916</v>
      </c>
      <c r="C85" s="167" t="n">
        <v>25.9920539855957</v>
      </c>
      <c r="D85" s="34">
        <f>(C85-C84)/C84</f>
        <v/>
      </c>
    </row>
    <row r="86">
      <c r="B86" s="160" t="n">
        <v>42947</v>
      </c>
      <c r="C86" s="167" t="n">
        <v>26.1432304382324</v>
      </c>
      <c r="D86" s="34">
        <f>(C86-C85)/C85</f>
        <v/>
      </c>
    </row>
    <row r="87">
      <c r="B87" s="160" t="n">
        <v>42978</v>
      </c>
      <c r="C87" s="167" t="n">
        <v>26.4383792877197</v>
      </c>
      <c r="D87" s="34">
        <f>(C87-C86)/C86</f>
        <v/>
      </c>
    </row>
    <row r="88">
      <c r="B88" s="160" t="n">
        <v>43008</v>
      </c>
      <c r="C88" s="167" t="n">
        <v>27.6554737091064</v>
      </c>
      <c r="D88" s="34">
        <f>(C88-C87)/C87</f>
        <v/>
      </c>
    </row>
    <row r="89">
      <c r="B89" s="160" t="n">
        <v>43039</v>
      </c>
      <c r="C89" s="167" t="n">
        <v>29.5297737121582</v>
      </c>
      <c r="D89" s="34">
        <f>(C89-C88)/C88</f>
        <v/>
      </c>
    </row>
    <row r="90">
      <c r="B90" s="160" t="n">
        <v>43069</v>
      </c>
      <c r="C90" s="167" t="n">
        <v>29.2429294586182</v>
      </c>
      <c r="D90" s="34">
        <f>(C90-C89)/C89</f>
        <v/>
      </c>
    </row>
    <row r="91">
      <c r="B91" s="160" t="n">
        <v>43100</v>
      </c>
      <c r="C91" s="167" t="n">
        <v>28.4039707183838</v>
      </c>
      <c r="D91" s="34">
        <f>(C91-C90)/C90</f>
        <v/>
      </c>
    </row>
    <row r="92">
      <c r="B92" s="160" t="n">
        <v>43131</v>
      </c>
      <c r="C92" s="167" t="n">
        <v>29.1495780944824</v>
      </c>
      <c r="D92" s="34">
        <f>(C92-C91)/C91</f>
        <v/>
      </c>
    </row>
    <row r="93">
      <c r="B93" s="160" t="n">
        <v>43159</v>
      </c>
      <c r="C93" s="167" t="n">
        <v>29.3589744567871</v>
      </c>
      <c r="D93" s="34">
        <f>(C93-C92)/C92</f>
        <v/>
      </c>
    </row>
    <row r="94">
      <c r="B94" s="160" t="n">
        <v>43190</v>
      </c>
      <c r="C94" s="167" t="n">
        <v>28.8339290618897</v>
      </c>
      <c r="D94" s="34">
        <f>(C94-C93)/C93</f>
        <v/>
      </c>
    </row>
    <row r="95">
      <c r="B95" s="160" t="n">
        <v>43220</v>
      </c>
      <c r="C95" s="167" t="n">
        <v>33.1393051147461</v>
      </c>
      <c r="D95" s="34">
        <f>(C95-C94)/C94</f>
        <v/>
      </c>
    </row>
    <row r="96">
      <c r="B96" s="160" t="n">
        <v>43251</v>
      </c>
      <c r="C96" s="167" t="n">
        <v>32.9619865417481</v>
      </c>
      <c r="D96" s="34">
        <f>(C96-C95)/C95</f>
        <v/>
      </c>
    </row>
    <row r="97">
      <c r="B97" s="160" t="n">
        <v>43281</v>
      </c>
      <c r="C97" s="167" t="n">
        <v>33.0633163452148</v>
      </c>
      <c r="D97" s="34">
        <f>(C97-C96)/C96</f>
        <v/>
      </c>
    </row>
    <row r="98">
      <c r="B98" s="160" t="n">
        <v>43312</v>
      </c>
      <c r="C98" s="167" t="n">
        <v>35.7926864624023</v>
      </c>
      <c r="D98" s="34">
        <f>(C98-C97)/C97</f>
        <v/>
      </c>
    </row>
    <row r="99">
      <c r="B99" s="160" t="n">
        <v>43343</v>
      </c>
      <c r="C99" s="167" t="n">
        <v>34.5175857543945</v>
      </c>
      <c r="D99" s="34">
        <f>(C99-C98)/C98</f>
        <v/>
      </c>
    </row>
    <row r="100">
      <c r="B100" s="160" t="n">
        <v>43373</v>
      </c>
      <c r="C100" s="167" t="n">
        <v>35.7798767089844</v>
      </c>
      <c r="D100" s="34">
        <f>(C100-C99)/C99</f>
        <v/>
      </c>
    </row>
    <row r="101">
      <c r="B101" s="160" t="n">
        <v>43404</v>
      </c>
      <c r="C101" s="167" t="n">
        <v>33.6819267272949</v>
      </c>
      <c r="D101" s="34">
        <f>(C101-C100)/C100</f>
        <v/>
      </c>
    </row>
    <row r="102">
      <c r="B102" s="160" t="n">
        <v>43434</v>
      </c>
      <c r="C102" s="167" t="n">
        <v>31.8701362609863</v>
      </c>
      <c r="D102" s="34">
        <f>(C102-C101)/C101</f>
        <v/>
      </c>
    </row>
    <row r="103">
      <c r="B103" s="160" t="n">
        <v>43465</v>
      </c>
      <c r="C103" s="167" t="n">
        <v>29.9351654052734</v>
      </c>
      <c r="D103" s="34">
        <f>(C103-C102)/C102</f>
        <v/>
      </c>
    </row>
    <row r="104">
      <c r="B104" s="160" t="n">
        <v>43496</v>
      </c>
      <c r="C104" s="167" t="n">
        <v>31.5168876647949</v>
      </c>
      <c r="D104" s="34">
        <f>(C104-C103)/C103</f>
        <v/>
      </c>
    </row>
    <row r="105">
      <c r="B105" s="160" t="n">
        <v>43524</v>
      </c>
      <c r="C105" s="167" t="n">
        <v>32.8372039794922</v>
      </c>
      <c r="D105" s="34">
        <f>(C105-C104)/C104</f>
        <v/>
      </c>
    </row>
    <row r="106">
      <c r="B106" s="160" t="n">
        <v>43555</v>
      </c>
      <c r="C106" s="167" t="n">
        <v>32.5284729003906</v>
      </c>
      <c r="D106" s="34">
        <f>(C106-C105)/C105</f>
        <v/>
      </c>
    </row>
    <row r="107">
      <c r="B107" s="160" t="n">
        <v>43585</v>
      </c>
      <c r="C107" s="167" t="n">
        <v>32.9483222961426</v>
      </c>
      <c r="D107" s="34">
        <f>(C107-C106)/C106</f>
        <v/>
      </c>
    </row>
    <row r="108">
      <c r="B108" s="160" t="n">
        <v>43616</v>
      </c>
      <c r="C108" s="167" t="n">
        <v>31.0164375305176</v>
      </c>
      <c r="D108" s="34">
        <f>(C108-C107)/C107</f>
        <v/>
      </c>
    </row>
    <row r="109">
      <c r="B109" s="160" t="n">
        <v>43646</v>
      </c>
      <c r="C109" s="167" t="n">
        <v>32.7687683105469</v>
      </c>
      <c r="D109" s="34">
        <f>(C109-C108)/C108</f>
        <v/>
      </c>
    </row>
    <row r="110">
      <c r="B110" s="160" t="n">
        <v>43677</v>
      </c>
      <c r="C110" s="167" t="n">
        <v>31.6996059417725</v>
      </c>
      <c r="D110" s="34">
        <f>(C110-C109)/C109</f>
        <v/>
      </c>
    </row>
    <row r="111">
      <c r="B111" s="160" t="n">
        <v>43708</v>
      </c>
      <c r="C111" s="167" t="n">
        <v>30.5909442901611</v>
      </c>
      <c r="D111" s="34">
        <f>(C111-C110)/C110</f>
        <v/>
      </c>
    </row>
    <row r="112">
      <c r="B112" s="160" t="n">
        <v>43738</v>
      </c>
      <c r="C112" s="167" t="n">
        <v>32.2724533081055</v>
      </c>
      <c r="D112" s="34">
        <f>(C112-C111)/C111</f>
        <v/>
      </c>
    </row>
    <row r="113">
      <c r="B113" s="160" t="n">
        <v>43769</v>
      </c>
      <c r="C113" s="167" t="n">
        <v>32.2157516479492</v>
      </c>
      <c r="D113" s="34">
        <f>(C113-C112)/C112</f>
        <v/>
      </c>
    </row>
    <row r="114">
      <c r="B114" s="160" t="n">
        <v>43799</v>
      </c>
      <c r="C114" s="167" t="n">
        <v>32.5609092712402</v>
      </c>
      <c r="D114" s="34">
        <f>(C114-C113)/C113</f>
        <v/>
      </c>
    </row>
    <row r="115">
      <c r="B115" s="160" t="n">
        <v>43830</v>
      </c>
      <c r="C115" s="167" t="n">
        <v>33.6271362304688</v>
      </c>
      <c r="D115" s="34">
        <f>(C115-C114)/C114</f>
        <v/>
      </c>
    </row>
    <row r="116">
      <c r="B116" s="160" t="n">
        <v>43861</v>
      </c>
      <c r="C116" s="167" t="n">
        <v>30.1721515655518</v>
      </c>
      <c r="D116" s="34">
        <f>(C116-C115)/C115</f>
        <v/>
      </c>
    </row>
    <row r="117">
      <c r="B117" s="160" t="n">
        <v>43890</v>
      </c>
      <c r="C117" s="167" t="n">
        <v>26.5801162719727</v>
      </c>
      <c r="D117" s="34">
        <f>(C117-C116)/C116</f>
        <v/>
      </c>
    </row>
    <row r="118">
      <c r="B118" s="160" t="n">
        <v>43921</v>
      </c>
      <c r="C118" s="167" t="n">
        <v>24.5093822479248</v>
      </c>
      <c r="D118" s="34">
        <f>(C118-C117)/C117</f>
        <v/>
      </c>
    </row>
    <row r="119">
      <c r="B119" s="160" t="n">
        <v>43951</v>
      </c>
      <c r="C119" s="167" t="n">
        <v>23.240327835083</v>
      </c>
      <c r="D119" s="34">
        <f>(C119-C118)/C118</f>
        <v/>
      </c>
    </row>
    <row r="120">
      <c r="B120" s="160" t="n">
        <v>43982</v>
      </c>
      <c r="C120" s="167" t="n">
        <v>23.7886219024658</v>
      </c>
      <c r="D120" s="34">
        <f>(C120-C119)/C119</f>
        <v/>
      </c>
    </row>
    <row r="121">
      <c r="B121" s="160" t="n">
        <v>44012</v>
      </c>
      <c r="C121" s="167" t="n">
        <v>24.0362339019775</v>
      </c>
      <c r="D121" s="34">
        <f>(C121-C120)/C120</f>
        <v/>
      </c>
    </row>
    <row r="122">
      <c r="B122" s="160" t="n">
        <v>44043</v>
      </c>
      <c r="C122" s="167" t="n">
        <v>22.5806560516357</v>
      </c>
      <c r="D122" s="34">
        <f>(C122-C121)/C121</f>
        <v/>
      </c>
    </row>
    <row r="123">
      <c r="B123" s="160" t="n">
        <v>44074</v>
      </c>
      <c r="C123" s="167" t="n">
        <v>23.8792247772217</v>
      </c>
      <c r="D123" s="34">
        <f>(C123-C122)/C122</f>
        <v/>
      </c>
    </row>
    <row r="124">
      <c r="B124" s="160" t="n">
        <v>44104</v>
      </c>
      <c r="C124" s="167" t="n">
        <v>21.0656604766846</v>
      </c>
      <c r="D124" s="34">
        <f>(C124-C123)/C123</f>
        <v/>
      </c>
    </row>
    <row r="125">
      <c r="B125" s="160" t="n">
        <v>44135</v>
      </c>
      <c r="C125" s="167" t="n">
        <v>19.0606575012207</v>
      </c>
      <c r="D125" s="34">
        <f>(C125-C124)/C124</f>
        <v/>
      </c>
    </row>
    <row r="126">
      <c r="B126" s="160" t="n">
        <v>44165</v>
      </c>
      <c r="C126" s="167" t="n">
        <v>26.4464778900147</v>
      </c>
      <c r="D126" s="34">
        <f>(C126-C125)/C125</f>
        <v/>
      </c>
    </row>
    <row r="127">
      <c r="B127" s="160" t="n">
        <v>44196</v>
      </c>
      <c r="C127" s="167" t="n">
        <v>26.0589199066162</v>
      </c>
      <c r="D127" s="34">
        <f>(C127-C126)/C126</f>
        <v/>
      </c>
    </row>
    <row r="128">
      <c r="B128" s="160" t="n">
        <v>44227</v>
      </c>
      <c r="C128" s="167" t="n">
        <v>25.7599449157715</v>
      </c>
      <c r="D128" s="34">
        <f>(C128-C127)/C127</f>
        <v/>
      </c>
    </row>
    <row r="129">
      <c r="B129" s="160" t="n">
        <v>44255</v>
      </c>
      <c r="C129" s="167" t="n">
        <v>28.8686771392822</v>
      </c>
      <c r="D129" s="34">
        <f>(C129-C128)/C128</f>
        <v/>
      </c>
    </row>
    <row r="130">
      <c r="B130" s="160" t="n">
        <v>44286</v>
      </c>
      <c r="C130" s="167" t="n">
        <v>29.9218711853027</v>
      </c>
      <c r="D130" s="34">
        <f>(C130-C129)/C129</f>
        <v/>
      </c>
    </row>
    <row r="131">
      <c r="B131" s="160" t="n">
        <v>44316</v>
      </c>
      <c r="C131" s="167" t="n">
        <v>28.1666431427002</v>
      </c>
      <c r="D131" s="34">
        <f>(C131-C130)/C130</f>
        <v/>
      </c>
    </row>
    <row r="132">
      <c r="B132" s="160" t="n">
        <v>44347</v>
      </c>
      <c r="C132" s="167" t="n">
        <v>28.9927082061768</v>
      </c>
      <c r="D132" s="34">
        <f>(C132-C131)/C131</f>
        <v/>
      </c>
    </row>
    <row r="133">
      <c r="B133" s="160" t="n">
        <v>44377</v>
      </c>
      <c r="C133" s="167" t="n">
        <v>29.1839256286621</v>
      </c>
      <c r="D133" s="34">
        <f>(C133-C132)/C132</f>
        <v/>
      </c>
    </row>
    <row r="134">
      <c r="B134" s="160" t="n">
        <v>44408</v>
      </c>
      <c r="C134" s="167" t="n">
        <v>28.5414981842041</v>
      </c>
      <c r="D134" s="34">
        <f>(C134-C133)/C133</f>
        <v/>
      </c>
    </row>
    <row r="135">
      <c r="B135" s="160" t="n">
        <v>44439</v>
      </c>
      <c r="C135" s="167" t="n">
        <v>29.0431137084961</v>
      </c>
      <c r="D135" s="34">
        <f>(C135-C134)/C134</f>
        <v/>
      </c>
    </row>
    <row r="136">
      <c r="B136" s="160" t="n">
        <v>44469</v>
      </c>
      <c r="C136" s="167" t="n">
        <v>32.1461219787598</v>
      </c>
      <c r="D136" s="34">
        <f>(C136-C135)/C135</f>
        <v/>
      </c>
    </row>
    <row r="137">
      <c r="B137" s="160" t="n">
        <v>44500</v>
      </c>
      <c r="C137" s="167" t="n">
        <v>34.3273887634277</v>
      </c>
      <c r="D137" s="34">
        <f>(C137-C136)/C136</f>
        <v/>
      </c>
    </row>
    <row r="138">
      <c r="B138" s="160" t="n">
        <v>44530</v>
      </c>
      <c r="C138" s="167" t="n">
        <v>32.1428527832031</v>
      </c>
      <c r="D138" s="34">
        <f>(C138-C137)/C137</f>
        <v/>
      </c>
    </row>
    <row r="139">
      <c r="B139" s="160" t="n">
        <v>44561</v>
      </c>
      <c r="C139" s="167" t="n">
        <v>35.3246879577637</v>
      </c>
      <c r="D139" s="34">
        <f>(C139-C138)/C138</f>
        <v/>
      </c>
    </row>
    <row r="140">
      <c r="B140" s="160" t="n">
        <v>44592</v>
      </c>
      <c r="C140" s="167" t="n">
        <v>39.7491683959961</v>
      </c>
      <c r="D140" s="34">
        <f>(C140-C139)/C139</f>
        <v/>
      </c>
    </row>
    <row r="141">
      <c r="B141" s="160" t="n">
        <v>44620</v>
      </c>
      <c r="C141" s="167" t="n">
        <v>36.6261558532715</v>
      </c>
      <c r="D141" s="34">
        <f>(C141-C140)/C140</f>
        <v/>
      </c>
    </row>
    <row r="142">
      <c r="B142" s="160" t="n">
        <v>44651</v>
      </c>
      <c r="C142" s="167" t="n">
        <v>36.9796447753906</v>
      </c>
      <c r="D142" s="34">
        <f>(C142-C141)/C141</f>
        <v/>
      </c>
    </row>
    <row r="143">
      <c r="B143" s="160" t="n">
        <v>44681</v>
      </c>
      <c r="C143" s="167" t="n">
        <v>38.4947242736816</v>
      </c>
      <c r="D143" s="34">
        <f>(C143-C142)/C142</f>
        <v/>
      </c>
    </row>
    <row r="144">
      <c r="B144" s="160" t="n">
        <v>44712</v>
      </c>
      <c r="C144" s="167" t="n">
        <v>45.3133201599121</v>
      </c>
      <c r="D144" s="34">
        <f>(C144-C143)/C143</f>
        <v/>
      </c>
    </row>
    <row r="145">
      <c r="B145" s="160" t="n">
        <v>44742</v>
      </c>
      <c r="C145" s="167" t="n">
        <v>41.0583152770996</v>
      </c>
      <c r="D145" s="34">
        <f>(C145-C144)/C144</f>
        <v/>
      </c>
    </row>
    <row r="146">
      <c r="B146" s="160" t="n">
        <v>44773</v>
      </c>
      <c r="C146" s="167" t="n">
        <v>41.1009178161621</v>
      </c>
      <c r="D146" s="34">
        <f>(C146-C145)/C145</f>
        <v/>
      </c>
    </row>
    <row r="147">
      <c r="B147" s="160" t="n">
        <v>44804</v>
      </c>
      <c r="C147" s="167" t="n">
        <v>41.869083404541</v>
      </c>
      <c r="D147" s="34">
        <f>(C147-C146)/C146</f>
        <v/>
      </c>
    </row>
    <row r="148">
      <c r="B148" s="160" t="n">
        <v>44834</v>
      </c>
      <c r="C148" s="167" t="n">
        <v>39.8743362426758</v>
      </c>
      <c r="D148" s="34">
        <f>(C148-C147)/C147</f>
        <v/>
      </c>
    </row>
    <row r="149">
      <c r="B149" s="160" t="n">
        <v>44865</v>
      </c>
      <c r="C149" s="167" t="n">
        <v>46.1634483337402</v>
      </c>
      <c r="D149" s="34">
        <f>(C149-C148)/C148</f>
        <v/>
      </c>
    </row>
    <row r="150">
      <c r="B150" s="160" t="n">
        <v>44895</v>
      </c>
      <c r="C150" s="167" t="n">
        <v>50.5284538269043</v>
      </c>
      <c r="D150" s="34">
        <f>(C150-C149)/C149</f>
        <v/>
      </c>
    </row>
    <row r="151">
      <c r="B151" s="160" t="n">
        <v>44926</v>
      </c>
      <c r="C151" s="167" t="n">
        <v>49.1376876831055</v>
      </c>
      <c r="D151" s="34">
        <f>(C151-C150)/C150</f>
        <v/>
      </c>
    </row>
    <row r="152">
      <c r="B152" s="160" t="n">
        <v>44957</v>
      </c>
      <c r="C152" s="167" t="n">
        <v>48.5650367736816</v>
      </c>
      <c r="D152" s="34">
        <f>(C152-C151)/C151</f>
        <v/>
      </c>
    </row>
    <row r="153">
      <c r="B153" s="160" t="n">
        <v>44985</v>
      </c>
      <c r="C153" s="167" t="n">
        <v>50.5145149230957</v>
      </c>
      <c r="D153" s="34">
        <f>(C153-C152)/C152</f>
        <v/>
      </c>
    </row>
    <row r="154">
      <c r="B154" s="160" t="n">
        <v>45016</v>
      </c>
      <c r="C154" s="167" t="n">
        <v>46.8835411071777</v>
      </c>
      <c r="D154" s="34">
        <f>(C154-C153)/C153</f>
        <v/>
      </c>
    </row>
    <row r="155">
      <c r="B155" s="160" t="n">
        <v>45046</v>
      </c>
      <c r="C155" s="167" t="n">
        <v>50.6035919189453</v>
      </c>
      <c r="D155" s="34">
        <f>(C155-C154)/C154</f>
        <v/>
      </c>
    </row>
    <row r="156">
      <c r="B156" s="160" t="n">
        <v>45077</v>
      </c>
      <c r="C156" s="167" t="n">
        <v>46.3589668273926</v>
      </c>
      <c r="D156" s="34">
        <f>(C156-C155)/C155</f>
        <v/>
      </c>
    </row>
    <row r="157">
      <c r="B157" s="160" t="n">
        <v>45107</v>
      </c>
      <c r="C157" s="167" t="n">
        <v>45.8960762023926</v>
      </c>
      <c r="D157" s="34">
        <f>(C157-C156)/C156</f>
        <v/>
      </c>
    </row>
    <row r="158">
      <c r="B158" s="160" t="n">
        <v>45138</v>
      </c>
      <c r="C158" s="167" t="n">
        <v>48.9442481994629</v>
      </c>
      <c r="D158" s="34">
        <f>(C158-C157)/C157</f>
        <v/>
      </c>
    </row>
    <row r="159">
      <c r="B159" s="160" t="n">
        <v>45169</v>
      </c>
      <c r="C159" s="167" t="n">
        <v>51.4330863952637</v>
      </c>
      <c r="D159" s="34">
        <f>(C159-C158)/C158</f>
        <v/>
      </c>
    </row>
    <row r="160">
      <c r="B160" s="160" t="n">
        <v>45199</v>
      </c>
      <c r="C160" s="167" t="n">
        <v>55.1884956359863</v>
      </c>
      <c r="D160" s="34">
        <f>(C160-C159)/C159</f>
        <v/>
      </c>
    </row>
    <row r="161">
      <c r="B161" s="160" t="n">
        <v>45230</v>
      </c>
      <c r="C161" s="167" t="n">
        <v>56.6416702270508</v>
      </c>
      <c r="D161" s="34">
        <f>(C161-C160)/C160</f>
        <v/>
      </c>
    </row>
    <row r="162">
      <c r="B162" s="160" t="n">
        <v>45260</v>
      </c>
      <c r="C162" s="167" t="n">
        <v>55.7992134094238</v>
      </c>
      <c r="D162" s="34">
        <f>(C162-C161)/C161</f>
        <v/>
      </c>
    </row>
    <row r="163">
      <c r="B163" s="160" t="n">
        <v>45291</v>
      </c>
      <c r="C163" s="167" t="n">
        <v>55.2077026367188</v>
      </c>
      <c r="D163" s="34">
        <f>(C163-C162)/C162</f>
        <v/>
      </c>
    </row>
    <row r="164">
      <c r="B164" s="160" t="n">
        <v>45322</v>
      </c>
      <c r="C164" s="167" t="n">
        <v>53.8633537292481</v>
      </c>
      <c r="D164" s="34">
        <f>(C164-C163)/C163</f>
        <v/>
      </c>
    </row>
    <row r="165">
      <c r="B165" s="160" t="n">
        <v>45351</v>
      </c>
      <c r="C165" s="167" t="n">
        <v>53.5113754272461</v>
      </c>
      <c r="D165" s="34">
        <f>(C165-C164)/C164</f>
        <v/>
      </c>
    </row>
    <row r="166">
      <c r="B166" s="160" t="n">
        <v>45382</v>
      </c>
      <c r="C166" s="167" t="n">
        <v>57.5753059387207</v>
      </c>
      <c r="D166" s="34">
        <f>(C166-C165)/C165</f>
        <v/>
      </c>
    </row>
    <row r="167">
      <c r="B167" s="160" t="n">
        <v>45412</v>
      </c>
      <c r="C167" s="167" t="n">
        <v>62.9441795349121</v>
      </c>
      <c r="D167" s="34">
        <f>(C167-C166)/C166</f>
        <v/>
      </c>
    </row>
    <row r="168">
      <c r="B168" s="160" t="n">
        <v>45443</v>
      </c>
      <c r="C168" s="167" t="n">
        <v>61.4942398071289</v>
      </c>
      <c r="D168" s="34">
        <f>(C168-C167)/C167</f>
        <v/>
      </c>
      <c r="F168" s="33" t="n"/>
    </row>
    <row r="169">
      <c r="B169" s="160" t="n">
        <v>45473</v>
      </c>
      <c r="C169" s="167" t="n">
        <v>57.1994590759277</v>
      </c>
      <c r="D169" s="34">
        <f>(C169-C168)/C168</f>
        <v/>
      </c>
    </row>
    <row r="170">
      <c r="B170" s="160" t="n">
        <v>45504</v>
      </c>
      <c r="C170" s="167" t="n">
        <v>58.0668716430664</v>
      </c>
      <c r="D170" s="34">
        <f>(C170-C169)/C169</f>
        <v/>
      </c>
    </row>
    <row r="171">
      <c r="B171" s="160" t="n">
        <v>45535</v>
      </c>
      <c r="C171" s="167" t="n">
        <v>57.7973556518555</v>
      </c>
      <c r="D171" s="34">
        <f>(C171-C170)/C170</f>
        <v/>
      </c>
    </row>
    <row r="172">
      <c r="B172" s="160" t="n">
        <v>45565</v>
      </c>
      <c r="C172" s="167" t="n">
        <v>54.3679924011231</v>
      </c>
      <c r="D172" s="34">
        <f>(C172-C171)/C171</f>
        <v/>
      </c>
    </row>
    <row r="173">
      <c r="B173" s="160" t="n">
        <v>45596</v>
      </c>
      <c r="C173" s="167" t="n">
        <v>54.0264091491699</v>
      </c>
      <c r="D173" s="34">
        <f>(C173-C172)/C172</f>
        <v/>
      </c>
    </row>
    <row r="174">
      <c r="B174" s="160" t="n">
        <v>45626</v>
      </c>
      <c r="C174" s="167" t="n">
        <v>51.7392234802246</v>
      </c>
      <c r="D174" s="34">
        <f>(C174-C173)/C173</f>
        <v/>
      </c>
    </row>
    <row r="175">
      <c r="B175" s="160" t="n">
        <v>45657</v>
      </c>
      <c r="C175" s="167" t="n">
        <v>50.2332572937012</v>
      </c>
      <c r="D175" s="34">
        <f>(C175-C174)/C174</f>
        <v/>
      </c>
    </row>
    <row r="176">
      <c r="B176" s="160" t="n">
        <v>45688</v>
      </c>
      <c r="C176" s="167" t="n">
        <v>53.0757675170898</v>
      </c>
      <c r="D176" s="34">
        <f>(C176-C175)/C175</f>
        <v/>
      </c>
    </row>
    <row r="177">
      <c r="B177" s="160" t="n">
        <v>45716</v>
      </c>
      <c r="C177" s="167" t="n">
        <v>55.2011795043945</v>
      </c>
      <c r="D177" s="34">
        <f>(C177-C176)/C176</f>
        <v/>
      </c>
    </row>
    <row r="178">
      <c r="B178" s="160" t="n">
        <v>45747</v>
      </c>
      <c r="C178" s="167" t="n">
        <v>56.9972686767578</v>
      </c>
      <c r="D178" s="34">
        <f>(C178-C177)/C177</f>
        <v/>
      </c>
    </row>
    <row r="179">
      <c r="B179" s="160" t="n">
        <v>45777</v>
      </c>
      <c r="C179" s="167" t="n">
        <v>49.5360069274902</v>
      </c>
      <c r="D179" s="34">
        <f>(C179-C178)/C178</f>
        <v/>
      </c>
    </row>
    <row r="180">
      <c r="B180" s="160" t="n">
        <v>45808</v>
      </c>
      <c r="C180" s="167" t="n">
        <v>50.0201377868652</v>
      </c>
      <c r="D180" s="34">
        <f>(C180-C179)/C179</f>
        <v/>
      </c>
    </row>
    <row r="181">
      <c r="B181" s="160" t="n">
        <v>45838</v>
      </c>
      <c r="C181" s="167" t="n">
        <v>50.4461669921875</v>
      </c>
      <c r="D181" s="34">
        <f>(C181-C180)/C180</f>
        <v/>
      </c>
    </row>
    <row r="182">
      <c r="B182" s="160" t="n">
        <v>45869</v>
      </c>
      <c r="C182" s="167" t="n">
        <v>51.1652374267578</v>
      </c>
      <c r="D182" s="34">
        <f>(C182-C181)/C181</f>
        <v/>
      </c>
    </row>
    <row r="183">
      <c r="B183" s="160" t="n">
        <v>45900</v>
      </c>
      <c r="C183" s="167" t="n">
        <v>52.6209182739258</v>
      </c>
      <c r="D183" s="34">
        <f>(C183-C182)/C182</f>
        <v/>
      </c>
    </row>
  </sheetData>
  <pageMargins left="0.7" right="0.7" top="0.75" bottom="0.75" header="0.3" footer="0.3"/>
</worksheet>
</file>

<file path=xl/worksheets/sheet23.xml><?xml version="1.0" encoding="utf-8"?>
<worksheet xmlns="http://schemas.openxmlformats.org/spreadsheetml/2006/main">
  <sheetPr>
    <tabColor theme="7" tint="0.7999816888943144"/>
    <outlinePr summaryBelow="1" summaryRight="1"/>
    <pageSetUpPr/>
  </sheetPr>
  <dimension ref="B2:D183"/>
  <sheetViews>
    <sheetView showGridLines="0" workbookViewId="0">
      <selection activeCell="K21" sqref="K21"/>
    </sheetView>
  </sheetViews>
  <sheetFormatPr baseColWidth="10" defaultColWidth="10.83203125" defaultRowHeight="15"/>
  <cols>
    <col width="12.6640625" bestFit="1" customWidth="1" min="3" max="3"/>
  </cols>
  <sheetData>
    <row r="2">
      <c r="B2" s="30" t="inlineStr">
        <is>
          <t>Date</t>
        </is>
      </c>
      <c r="C2" t="inlineStr">
        <is>
          <t>DG.PA</t>
        </is>
      </c>
      <c r="D2" t="inlineStr">
        <is>
          <t>Monthly Return</t>
        </is>
      </c>
    </row>
    <row r="3">
      <c r="B3" s="160" t="inlineStr">
        <is>
          <t>2010-08</t>
        </is>
      </c>
      <c r="C3" s="167" t="n">
        <v>20.0078754425049</v>
      </c>
    </row>
    <row r="4">
      <c r="B4" s="160" t="n">
        <v>40451</v>
      </c>
      <c r="C4" s="167" t="n">
        <v>21.247350692749</v>
      </c>
      <c r="D4" s="34">
        <f>(C4-C3)/C3</f>
        <v/>
      </c>
    </row>
    <row r="5">
      <c r="B5" s="160" t="n">
        <v>40482</v>
      </c>
      <c r="C5" s="167" t="n">
        <v>22.1776847839355</v>
      </c>
      <c r="D5" s="34">
        <f>(C5-C4)/C4</f>
        <v/>
      </c>
    </row>
    <row r="6">
      <c r="B6" s="160" t="n">
        <v>40512</v>
      </c>
      <c r="C6" s="167" t="n">
        <v>21.5536136627197</v>
      </c>
      <c r="D6" s="34">
        <f>(C6-C5)/C5</f>
        <v/>
      </c>
    </row>
    <row r="7">
      <c r="B7" s="160" t="n">
        <v>40543</v>
      </c>
      <c r="C7" s="167" t="n">
        <v>23.5067253112793</v>
      </c>
      <c r="D7" s="34">
        <f>(C7-C6)/C6</f>
        <v/>
      </c>
    </row>
    <row r="8">
      <c r="B8" s="160" t="n">
        <v>40574</v>
      </c>
      <c r="C8" s="167" t="n">
        <v>24.7537250518799</v>
      </c>
      <c r="D8" s="34">
        <f>(C8-C7)/C7</f>
        <v/>
      </c>
    </row>
    <row r="9">
      <c r="B9" s="160" t="n">
        <v>40602</v>
      </c>
      <c r="C9" s="167" t="n">
        <v>25.5352401733398</v>
      </c>
      <c r="D9" s="34">
        <f>(C9-C8)/C8</f>
        <v/>
      </c>
    </row>
    <row r="10">
      <c r="B10" s="160" t="n">
        <v>40633</v>
      </c>
      <c r="C10" s="167" t="n">
        <v>25.8133106231689</v>
      </c>
      <c r="D10" s="34">
        <f>(C10-C9)/C9</f>
        <v/>
      </c>
    </row>
    <row r="11">
      <c r="B11" s="160" t="n">
        <v>40663</v>
      </c>
      <c r="C11" s="167" t="n">
        <v>26.4016284942627</v>
      </c>
      <c r="D11" s="34">
        <f>(C11-C10)/C10</f>
        <v/>
      </c>
    </row>
    <row r="12">
      <c r="B12" s="160" t="n">
        <v>40694</v>
      </c>
      <c r="C12" s="167" t="n">
        <v>26.2465019226074</v>
      </c>
      <c r="D12" s="34">
        <f>(C12-C11)/C11</f>
        <v/>
      </c>
    </row>
    <row r="13">
      <c r="B13" s="160" t="n">
        <v>40724</v>
      </c>
      <c r="C13" s="167" t="n">
        <v>25.8572082519531</v>
      </c>
      <c r="D13" s="34">
        <f>(C13-C12)/C12</f>
        <v/>
      </c>
    </row>
    <row r="14">
      <c r="B14" s="160" t="n">
        <v>40755</v>
      </c>
      <c r="C14" s="167" t="n">
        <v>24.3676738739014</v>
      </c>
      <c r="D14" s="34">
        <f>(C14-C13)/C13</f>
        <v/>
      </c>
    </row>
    <row r="15">
      <c r="B15" s="160" t="n">
        <v>40786</v>
      </c>
      <c r="C15" s="167" t="n">
        <v>21.74267578125</v>
      </c>
      <c r="D15" s="34">
        <f>(C15-C14)/C14</f>
        <v/>
      </c>
    </row>
    <row r="16">
      <c r="B16" s="160" t="n">
        <v>40816</v>
      </c>
      <c r="C16" s="167" t="n">
        <v>19.4965400695801</v>
      </c>
      <c r="D16" s="34">
        <f>(C16-C15)/C15</f>
        <v/>
      </c>
    </row>
    <row r="17">
      <c r="B17" s="160" t="n">
        <v>40847</v>
      </c>
      <c r="C17" s="167" t="n">
        <v>21.469051361084</v>
      </c>
      <c r="D17" s="34">
        <f>(C17-C16)/C16</f>
        <v/>
      </c>
    </row>
    <row r="18">
      <c r="B18" s="160" t="n">
        <v>40877</v>
      </c>
      <c r="C18" s="167" t="n">
        <v>19.9084854125977</v>
      </c>
      <c r="D18" s="34">
        <f>(C18-C17)/C17</f>
        <v/>
      </c>
    </row>
    <row r="19">
      <c r="B19" s="160" t="n">
        <v>40908</v>
      </c>
      <c r="C19" s="167" t="n">
        <v>20.3023853302002</v>
      </c>
      <c r="D19" s="34">
        <f>(C19-C18)/C18</f>
        <v/>
      </c>
    </row>
    <row r="20">
      <c r="B20" s="160" t="n">
        <v>40939</v>
      </c>
      <c r="C20" s="167" t="n">
        <v>21.685375213623</v>
      </c>
      <c r="D20" s="34">
        <f>(C20-C19)/C19</f>
        <v/>
      </c>
    </row>
    <row r="21">
      <c r="B21" s="160" t="n">
        <v>40968</v>
      </c>
      <c r="C21" s="167" t="n">
        <v>23.9022235870361</v>
      </c>
      <c r="D21" s="34">
        <f>(C21-C20)/C20</f>
        <v/>
      </c>
    </row>
    <row r="22">
      <c r="B22" s="160" t="n">
        <v>40999</v>
      </c>
      <c r="C22" s="167" t="n">
        <v>23.91139793396</v>
      </c>
      <c r="D22" s="34">
        <f>(C22-C21)/C21</f>
        <v/>
      </c>
    </row>
    <row r="23">
      <c r="B23" s="160" t="n">
        <v>41029</v>
      </c>
      <c r="C23" s="167" t="n">
        <v>21.4040641784668</v>
      </c>
      <c r="D23" s="34">
        <f>(C23-C22)/C22</f>
        <v/>
      </c>
    </row>
    <row r="24">
      <c r="B24" s="160" t="n">
        <v>41060</v>
      </c>
      <c r="C24" s="167" t="n">
        <v>19.7559585571289</v>
      </c>
      <c r="D24" s="34">
        <f>(C24-C23)/C23</f>
        <v/>
      </c>
    </row>
    <row r="25">
      <c r="B25" s="160" t="n">
        <v>41090</v>
      </c>
      <c r="C25" s="167" t="n">
        <v>23.3647289276123</v>
      </c>
      <c r="D25" s="34">
        <f>(C25-C24)/C24</f>
        <v/>
      </c>
    </row>
    <row r="26">
      <c r="B26" s="160" t="n">
        <v>41121</v>
      </c>
      <c r="C26" s="167" t="n">
        <v>21.9451217651367</v>
      </c>
      <c r="D26" s="34">
        <f>(C26-C25)/C25</f>
        <v/>
      </c>
    </row>
    <row r="27">
      <c r="B27" s="160" t="n">
        <v>41152</v>
      </c>
      <c r="C27" s="167" t="n">
        <v>21.9705295562744</v>
      </c>
      <c r="D27" s="34">
        <f>(C27-C26)/C26</f>
        <v/>
      </c>
    </row>
    <row r="28">
      <c r="B28" s="160" t="n">
        <v>41182</v>
      </c>
      <c r="C28" s="167" t="n">
        <v>21.0527095794678</v>
      </c>
      <c r="D28" s="34">
        <f>(C28-C27)/C27</f>
        <v/>
      </c>
    </row>
    <row r="29">
      <c r="B29" s="160" t="n">
        <v>41213</v>
      </c>
      <c r="C29" s="167" t="n">
        <v>21.6878814697266</v>
      </c>
      <c r="D29" s="34">
        <f>(C29-C28)/C28</f>
        <v/>
      </c>
    </row>
    <row r="30">
      <c r="B30" s="160" t="n">
        <v>41243</v>
      </c>
      <c r="C30" s="167" t="n">
        <v>21.5481414794922</v>
      </c>
      <c r="D30" s="34">
        <f>(C30-C29)/C29</f>
        <v/>
      </c>
    </row>
    <row r="31">
      <c r="B31" s="160" t="n">
        <v>41274</v>
      </c>
      <c r="C31" s="167" t="n">
        <v>23.2304840087891</v>
      </c>
      <c r="D31" s="34">
        <f>(C31-C30)/C30</f>
        <v/>
      </c>
    </row>
    <row r="32">
      <c r="B32" s="160" t="n">
        <v>41305</v>
      </c>
      <c r="C32" s="167" t="n">
        <v>24.2414894104004</v>
      </c>
      <c r="D32" s="34">
        <f>(C32-C31)/C31</f>
        <v/>
      </c>
    </row>
    <row r="33">
      <c r="B33" s="160" t="n">
        <v>41333</v>
      </c>
      <c r="C33" s="167" t="n">
        <v>22.9010200500488</v>
      </c>
      <c r="D33" s="34">
        <f>(C33-C32)/C32</f>
        <v/>
      </c>
    </row>
    <row r="34">
      <c r="B34" s="160" t="n">
        <v>41364</v>
      </c>
      <c r="C34" s="167" t="n">
        <v>22.7039890289307</v>
      </c>
      <c r="D34" s="34">
        <f>(C34-C33)/C33</f>
        <v/>
      </c>
    </row>
    <row r="35">
      <c r="B35" s="160" t="n">
        <v>41394</v>
      </c>
      <c r="C35" s="167" t="n">
        <v>23.6180877685547</v>
      </c>
      <c r="D35" s="34">
        <f>(C35-C34)/C34</f>
        <v/>
      </c>
    </row>
    <row r="36">
      <c r="B36" s="160" t="n">
        <v>41425</v>
      </c>
      <c r="C36" s="167" t="n">
        <v>26.5791625976563</v>
      </c>
      <c r="D36" s="34">
        <f>(C36-C35)/C35</f>
        <v/>
      </c>
    </row>
    <row r="37">
      <c r="B37" s="160" t="n">
        <v>41455</v>
      </c>
      <c r="C37" s="167" t="n">
        <v>25.8158397674561</v>
      </c>
      <c r="D37" s="34">
        <f>(C37-C36)/C36</f>
        <v/>
      </c>
    </row>
    <row r="38">
      <c r="B38" s="160" t="n">
        <v>41486</v>
      </c>
      <c r="C38" s="167" t="n">
        <v>27.1784400939941</v>
      </c>
      <c r="D38" s="34">
        <f>(C38-C37)/C37</f>
        <v/>
      </c>
    </row>
    <row r="39">
      <c r="B39" s="160" t="n">
        <v>41517</v>
      </c>
      <c r="C39" s="167" t="n">
        <v>26.1606750488281</v>
      </c>
      <c r="D39" s="34">
        <f>(C39-C38)/C38</f>
        <v/>
      </c>
    </row>
    <row r="40">
      <c r="B40" s="160" t="n">
        <v>41547</v>
      </c>
      <c r="C40" s="167" t="n">
        <v>28.7720508575439</v>
      </c>
      <c r="D40" s="34">
        <f>(C40-C39)/C39</f>
        <v/>
      </c>
    </row>
    <row r="41">
      <c r="B41" s="160" t="n">
        <v>41578</v>
      </c>
      <c r="C41" s="167" t="n">
        <v>31.6345291137695</v>
      </c>
      <c r="D41" s="34">
        <f>(C41-C40)/C40</f>
        <v/>
      </c>
    </row>
    <row r="42">
      <c r="B42" s="160" t="n">
        <v>41608</v>
      </c>
      <c r="C42" s="167" t="n">
        <v>31.6880893707275</v>
      </c>
      <c r="D42" s="34">
        <f>(C42-C41)/C41</f>
        <v/>
      </c>
    </row>
    <row r="43">
      <c r="B43" s="160" t="n">
        <v>41639</v>
      </c>
      <c r="C43" s="167" t="n">
        <v>32.3318939208984</v>
      </c>
      <c r="D43" s="34">
        <f>(C43-C42)/C42</f>
        <v/>
      </c>
    </row>
    <row r="44">
      <c r="B44" s="160" t="n">
        <v>41670</v>
      </c>
      <c r="C44" s="167" t="n">
        <v>32.9044151306152</v>
      </c>
      <c r="D44" s="34">
        <f>(C44-C43)/C43</f>
        <v/>
      </c>
    </row>
    <row r="45">
      <c r="B45" s="160" t="n">
        <v>41698</v>
      </c>
      <c r="C45" s="167" t="n">
        <v>36.6748886108398</v>
      </c>
      <c r="D45" s="34">
        <f>(C45-C44)/C44</f>
        <v/>
      </c>
    </row>
    <row r="46">
      <c r="B46" s="160" t="n">
        <v>41729</v>
      </c>
      <c r="C46" s="167" t="n">
        <v>36.5258331298828</v>
      </c>
      <c r="D46" s="34">
        <f>(C46-C45)/C45</f>
        <v/>
      </c>
    </row>
    <row r="47">
      <c r="B47" s="160" t="n">
        <v>41759</v>
      </c>
      <c r="C47" s="167" t="n">
        <v>36.8171730041504</v>
      </c>
      <c r="D47" s="34">
        <f>(C47-C46)/C46</f>
        <v/>
      </c>
    </row>
    <row r="48">
      <c r="B48" s="160" t="n">
        <v>41790</v>
      </c>
      <c r="C48" s="167" t="n">
        <v>37.6383743286133</v>
      </c>
      <c r="D48" s="34">
        <f>(C48-C47)/C47</f>
        <v/>
      </c>
    </row>
    <row r="49">
      <c r="B49" s="160" t="n">
        <v>41820</v>
      </c>
      <c r="C49" s="167" t="n">
        <v>37.8463134765625</v>
      </c>
      <c r="D49" s="34">
        <f>(C49-C48)/C48</f>
        <v/>
      </c>
    </row>
    <row r="50">
      <c r="B50" s="160" t="n">
        <v>41851</v>
      </c>
      <c r="C50" s="167" t="n">
        <v>35.7807159423828</v>
      </c>
      <c r="D50" s="34">
        <f>(C50-C49)/C49</f>
        <v/>
      </c>
    </row>
    <row r="51">
      <c r="B51" s="160" t="n">
        <v>41882</v>
      </c>
      <c r="C51" s="167" t="n">
        <v>34.4845123291016</v>
      </c>
      <c r="D51" s="34">
        <f>(C51-C50)/C50</f>
        <v/>
      </c>
    </row>
    <row r="52">
      <c r="B52" s="160" t="n">
        <v>41912</v>
      </c>
      <c r="C52" s="167" t="n">
        <v>31.8886451721191</v>
      </c>
      <c r="D52" s="34">
        <f>(C52-C51)/C51</f>
        <v/>
      </c>
    </row>
    <row r="53">
      <c r="B53" s="160" t="n">
        <v>41943</v>
      </c>
      <c r="C53" s="167" t="n">
        <v>31.5212707519531</v>
      </c>
      <c r="D53" s="34">
        <f>(C53-C52)/C52</f>
        <v/>
      </c>
    </row>
    <row r="54">
      <c r="B54" s="160" t="n">
        <v>41973</v>
      </c>
      <c r="C54" s="167" t="n">
        <v>30.1349563598633</v>
      </c>
      <c r="D54" s="34">
        <f>(C54-C53)/C53</f>
        <v/>
      </c>
    </row>
    <row r="55">
      <c r="B55" s="160" t="n">
        <v>42004</v>
      </c>
      <c r="C55" s="167" t="n">
        <v>32.2418251037598</v>
      </c>
      <c r="D55" s="34">
        <f>(C55-C54)/C54</f>
        <v/>
      </c>
    </row>
    <row r="56">
      <c r="B56" s="160" t="n">
        <v>42035</v>
      </c>
      <c r="C56" s="167" t="n">
        <v>33.1840744018555</v>
      </c>
      <c r="D56" s="34">
        <f>(C56-C55)/C55</f>
        <v/>
      </c>
    </row>
    <row r="57">
      <c r="B57" s="160" t="n">
        <v>42063</v>
      </c>
      <c r="C57" s="167" t="n">
        <v>37.5623359680176</v>
      </c>
      <c r="D57" s="34">
        <f>(C57-C56)/C56</f>
        <v/>
      </c>
    </row>
    <row r="58">
      <c r="B58" s="160" t="n">
        <v>42094</v>
      </c>
      <c r="C58" s="167" t="n">
        <v>37.7111053466797</v>
      </c>
      <c r="D58" s="34">
        <f>(C58-C57)/C57</f>
        <v/>
      </c>
    </row>
    <row r="59">
      <c r="B59" s="160" t="n">
        <v>42124</v>
      </c>
      <c r="C59" s="167" t="n">
        <v>38.8375549316406</v>
      </c>
      <c r="D59" s="34">
        <f>(C59-C58)/C58</f>
        <v/>
      </c>
    </row>
    <row r="60">
      <c r="B60" s="160" t="n">
        <v>42155</v>
      </c>
      <c r="C60" s="167" t="n">
        <v>39.1559524536133</v>
      </c>
      <c r="D60" s="34">
        <f>(C60-C59)/C59</f>
        <v/>
      </c>
    </row>
    <row r="61">
      <c r="B61" s="160" t="n">
        <v>42185</v>
      </c>
      <c r="C61" s="167" t="n">
        <v>37.5630722045898</v>
      </c>
      <c r="D61" s="34">
        <f>(C61-C60)/C60</f>
        <v/>
      </c>
    </row>
    <row r="62">
      <c r="B62" s="160" t="n">
        <v>42216</v>
      </c>
      <c r="C62" s="167" t="n">
        <v>42.2837944030762</v>
      </c>
      <c r="D62" s="34">
        <f>(C62-C61)/C61</f>
        <v/>
      </c>
    </row>
    <row r="63">
      <c r="B63" s="160" t="n">
        <v>42247</v>
      </c>
      <c r="C63" s="167" t="n">
        <v>41.5669975280762</v>
      </c>
      <c r="D63" s="34">
        <f>(C63-C62)/C62</f>
        <v/>
      </c>
    </row>
    <row r="64">
      <c r="B64" s="160" t="n">
        <v>42277</v>
      </c>
      <c r="C64" s="167" t="n">
        <v>41.060173034668</v>
      </c>
      <c r="D64" s="34">
        <f>(C64-C63)/C63</f>
        <v/>
      </c>
    </row>
    <row r="65">
      <c r="B65" s="160" t="n">
        <v>42308</v>
      </c>
      <c r="C65" s="167" t="n">
        <v>44.4414253234863</v>
      </c>
      <c r="D65" s="34">
        <f>(C65-C64)/C64</f>
        <v/>
      </c>
    </row>
    <row r="66">
      <c r="B66" s="160" t="n">
        <v>42338</v>
      </c>
      <c r="C66" s="167" t="n">
        <v>44.5717582702637</v>
      </c>
      <c r="D66" s="34">
        <f>(C66-C65)/C65</f>
        <v/>
      </c>
    </row>
    <row r="67">
      <c r="B67" s="160" t="n">
        <v>42369</v>
      </c>
      <c r="C67" s="167" t="n">
        <v>43.2179985046387</v>
      </c>
      <c r="D67" s="34">
        <f>(C67-C66)/C66</f>
        <v/>
      </c>
    </row>
    <row r="68">
      <c r="B68" s="160" t="n">
        <v>42400</v>
      </c>
      <c r="C68" s="167" t="n">
        <v>45.6149368286133</v>
      </c>
      <c r="D68" s="34">
        <f>(C68-C67)/C67</f>
        <v/>
      </c>
    </row>
    <row r="69">
      <c r="B69" s="160" t="n">
        <v>42429</v>
      </c>
      <c r="C69" s="167" t="n">
        <v>46.6380271911621</v>
      </c>
      <c r="D69" s="34">
        <f>(C69-C68)/C68</f>
        <v/>
      </c>
    </row>
    <row r="70">
      <c r="B70" s="160" t="n">
        <v>42460</v>
      </c>
      <c r="C70" s="167" t="n">
        <v>47.8438034057617</v>
      </c>
      <c r="D70" s="34">
        <f>(C70-C69)/C69</f>
        <v/>
      </c>
    </row>
    <row r="71">
      <c r="B71" s="160" t="n">
        <v>42490</v>
      </c>
      <c r="C71" s="167" t="n">
        <v>47.675724029541</v>
      </c>
      <c r="D71" s="34">
        <f>(C71-C70)/C70</f>
        <v/>
      </c>
    </row>
    <row r="72">
      <c r="B72" s="160" t="n">
        <v>42521</v>
      </c>
      <c r="C72" s="167" t="n">
        <v>50.3699836730957</v>
      </c>
      <c r="D72" s="34">
        <f>(C72-C71)/C71</f>
        <v/>
      </c>
    </row>
    <row r="73">
      <c r="B73" s="160" t="n">
        <v>42551</v>
      </c>
      <c r="C73" s="167" t="n">
        <v>47.4635925292969</v>
      </c>
      <c r="D73" s="34">
        <f>(C73-C72)/C72</f>
        <v/>
      </c>
    </row>
    <row r="74">
      <c r="B74" s="160" t="n">
        <v>42582</v>
      </c>
      <c r="C74" s="167" t="n">
        <v>50.5935478210449</v>
      </c>
      <c r="D74" s="34">
        <f>(C74-C73)/C73</f>
        <v/>
      </c>
    </row>
    <row r="75">
      <c r="B75" s="160" t="n">
        <v>42613</v>
      </c>
      <c r="C75" s="167" t="n">
        <v>50.6680679321289</v>
      </c>
      <c r="D75" s="34">
        <f>(C75-C74)/C74</f>
        <v/>
      </c>
    </row>
    <row r="76">
      <c r="B76" s="160" t="n">
        <v>42643</v>
      </c>
      <c r="C76" s="167" t="n">
        <v>50.7649574279785</v>
      </c>
      <c r="D76" s="34">
        <f>(C76-C75)/C75</f>
        <v/>
      </c>
    </row>
    <row r="77">
      <c r="B77" s="160" t="n">
        <v>42674</v>
      </c>
      <c r="C77" s="167" t="n">
        <v>49.170166015625</v>
      </c>
      <c r="D77" s="34">
        <f>(C77-C76)/C76</f>
        <v/>
      </c>
    </row>
    <row r="78">
      <c r="B78" s="160" t="n">
        <v>42704</v>
      </c>
      <c r="C78" s="167" t="n">
        <v>45.6303291320801</v>
      </c>
      <c r="D78" s="34">
        <f>(C78-C77)/C77</f>
        <v/>
      </c>
    </row>
    <row r="79">
      <c r="B79" s="160" t="n">
        <v>42735</v>
      </c>
      <c r="C79" s="167" t="n">
        <v>48.698055267334</v>
      </c>
      <c r="D79" s="34">
        <f>(C79-C78)/C78</f>
        <v/>
      </c>
    </row>
    <row r="80">
      <c r="B80" s="160" t="n">
        <v>42766</v>
      </c>
      <c r="C80" s="167" t="n">
        <v>48.8485870361328</v>
      </c>
      <c r="D80" s="34">
        <f>(C80-C79)/C79</f>
        <v/>
      </c>
    </row>
    <row r="81">
      <c r="B81" s="160" t="n">
        <v>42794</v>
      </c>
      <c r="C81" s="167" t="n">
        <v>51.1894073486328</v>
      </c>
      <c r="D81" s="34">
        <f>(C81-C80)/C80</f>
        <v/>
      </c>
    </row>
    <row r="82">
      <c r="B82" s="160" t="n">
        <v>42825</v>
      </c>
      <c r="C82" s="167" t="n">
        <v>55.9237365722656</v>
      </c>
      <c r="D82" s="34">
        <f>(C82-C81)/C81</f>
        <v/>
      </c>
    </row>
    <row r="83">
      <c r="B83" s="160" t="n">
        <v>42855</v>
      </c>
      <c r="C83" s="167" t="n">
        <v>58.7838935852051</v>
      </c>
      <c r="D83" s="34">
        <f>(C83-C82)/C82</f>
        <v/>
      </c>
    </row>
    <row r="84">
      <c r="B84" s="160" t="n">
        <v>42886</v>
      </c>
      <c r="C84" s="167" t="n">
        <v>59.6218948364258</v>
      </c>
      <c r="D84" s="34">
        <f>(C84-C83)/C83</f>
        <v/>
      </c>
    </row>
    <row r="85">
      <c r="B85" s="160" t="n">
        <v>42916</v>
      </c>
      <c r="C85" s="167" t="n">
        <v>57.3207817077637</v>
      </c>
      <c r="D85" s="34">
        <f>(C85-C84)/C84</f>
        <v/>
      </c>
    </row>
    <row r="86">
      <c r="B86" s="160" t="n">
        <v>42947</v>
      </c>
      <c r="C86" s="167" t="n">
        <v>58.0954704284668</v>
      </c>
      <c r="D86" s="34">
        <f>(C86-C85)/C85</f>
        <v/>
      </c>
    </row>
    <row r="87">
      <c r="B87" s="160" t="n">
        <v>42978</v>
      </c>
      <c r="C87" s="167" t="n">
        <v>59.3304176330566</v>
      </c>
      <c r="D87" s="34">
        <f>(C87-C86)/C86</f>
        <v/>
      </c>
    </row>
    <row r="88">
      <c r="B88" s="160" t="n">
        <v>43008</v>
      </c>
      <c r="C88" s="167" t="n">
        <v>61.6698799133301</v>
      </c>
      <c r="D88" s="34">
        <f>(C88-C87)/C87</f>
        <v/>
      </c>
    </row>
    <row r="89">
      <c r="B89" s="160" t="n">
        <v>43039</v>
      </c>
      <c r="C89" s="167" t="n">
        <v>64.46958160400391</v>
      </c>
      <c r="D89" s="34">
        <f>(C89-C88)/C88</f>
        <v/>
      </c>
    </row>
    <row r="90">
      <c r="B90" s="160" t="n">
        <v>43069</v>
      </c>
      <c r="C90" s="167" t="n">
        <v>65.8425674438477</v>
      </c>
      <c r="D90" s="34">
        <f>(C90-C89)/C89</f>
        <v/>
      </c>
    </row>
    <row r="91">
      <c r="B91" s="160" t="n">
        <v>43100</v>
      </c>
      <c r="C91" s="167" t="n">
        <v>65.8434371948242</v>
      </c>
      <c r="D91" s="34">
        <f>(C91-C90)/C90</f>
        <v/>
      </c>
    </row>
    <row r="92">
      <c r="B92" s="160" t="n">
        <v>43131</v>
      </c>
      <c r="C92" s="167" t="n">
        <v>67.2739791870117</v>
      </c>
      <c r="D92" s="34">
        <f>(C92-C91)/C91</f>
        <v/>
      </c>
    </row>
    <row r="93">
      <c r="B93" s="160" t="n">
        <v>43159</v>
      </c>
      <c r="C93" s="167" t="n">
        <v>62.8818473815918</v>
      </c>
      <c r="D93" s="34">
        <f>(C93-C92)/C92</f>
        <v/>
      </c>
    </row>
    <row r="94">
      <c r="B94" s="160" t="n">
        <v>43190</v>
      </c>
      <c r="C94" s="167" t="n">
        <v>61.7838096618652</v>
      </c>
      <c r="D94" s="34">
        <f>(C94-C93)/C93</f>
        <v/>
      </c>
    </row>
    <row r="95">
      <c r="B95" s="160" t="n">
        <v>43220</v>
      </c>
      <c r="C95" s="167" t="n">
        <v>64.2582550048828</v>
      </c>
      <c r="D95" s="34">
        <f>(C95-C94)/C94</f>
        <v/>
      </c>
    </row>
    <row r="96">
      <c r="B96" s="160" t="n">
        <v>43251</v>
      </c>
      <c r="C96" s="167" t="n">
        <v>66.1127624511719</v>
      </c>
      <c r="D96" s="34">
        <f>(C96-C95)/C95</f>
        <v/>
      </c>
    </row>
    <row r="97">
      <c r="B97" s="160" t="n">
        <v>43281</v>
      </c>
      <c r="C97" s="167" t="n">
        <v>65.0387649536133</v>
      </c>
      <c r="D97" s="34">
        <f>(C97-C96)/C96</f>
        <v/>
      </c>
    </row>
    <row r="98">
      <c r="B98" s="160" t="n">
        <v>43312</v>
      </c>
      <c r="C98" s="167" t="n">
        <v>67.9132461547852</v>
      </c>
      <c r="D98" s="34">
        <f>(C98-C97)/C97</f>
        <v/>
      </c>
    </row>
    <row r="99">
      <c r="B99" s="160" t="n">
        <v>43343</v>
      </c>
      <c r="C99" s="167" t="n">
        <v>65.19671630859381</v>
      </c>
      <c r="D99" s="34">
        <f>(C99-C98)/C98</f>
        <v/>
      </c>
    </row>
    <row r="100">
      <c r="B100" s="160" t="n">
        <v>43373</v>
      </c>
      <c r="C100" s="167" t="n">
        <v>64.7702713012695</v>
      </c>
      <c r="D100" s="34">
        <f>(C100-C99)/C99</f>
        <v/>
      </c>
    </row>
    <row r="101">
      <c r="B101" s="160" t="n">
        <v>43404</v>
      </c>
      <c r="C101" s="167" t="n">
        <v>62.2906532287598</v>
      </c>
      <c r="D101" s="34">
        <f>(C101-C100)/C100</f>
        <v/>
      </c>
    </row>
    <row r="102">
      <c r="B102" s="160" t="n">
        <v>43434</v>
      </c>
      <c r="C102" s="167" t="n">
        <v>60.8850059509277</v>
      </c>
      <c r="D102" s="34">
        <f>(C102-C101)/C101</f>
        <v/>
      </c>
    </row>
    <row r="103">
      <c r="B103" s="160" t="n">
        <v>43465</v>
      </c>
      <c r="C103" s="167" t="n">
        <v>57.4231338500977</v>
      </c>
      <c r="D103" s="34">
        <f>(C103-C102)/C102</f>
        <v/>
      </c>
    </row>
    <row r="104">
      <c r="B104" s="160" t="n">
        <v>43496</v>
      </c>
      <c r="C104" s="167" t="n">
        <v>61.2981262207031</v>
      </c>
      <c r="D104" s="34">
        <f>(C104-C103)/C103</f>
        <v/>
      </c>
    </row>
    <row r="105">
      <c r="B105" s="160" t="n">
        <v>43524</v>
      </c>
      <c r="C105" s="167" t="n">
        <v>66.91127014160161</v>
      </c>
      <c r="D105" s="34">
        <f>(C105-C104)/C104</f>
        <v/>
      </c>
    </row>
    <row r="106">
      <c r="B106" s="160" t="n">
        <v>43555</v>
      </c>
      <c r="C106" s="167" t="n">
        <v>69.14377593994141</v>
      </c>
      <c r="D106" s="34">
        <f>(C106-C105)/C105</f>
        <v/>
      </c>
    </row>
    <row r="107">
      <c r="B107" s="160" t="n">
        <v>43585</v>
      </c>
      <c r="C107" s="167" t="n">
        <v>71.77492523193359</v>
      </c>
      <c r="D107" s="34">
        <f>(C107-C106)/C106</f>
        <v/>
      </c>
    </row>
    <row r="108">
      <c r="B108" s="160" t="n">
        <v>43616</v>
      </c>
      <c r="C108" s="167" t="n">
        <v>72.0798263549805</v>
      </c>
      <c r="D108" s="34">
        <f>(C108-C107)/C107</f>
        <v/>
      </c>
    </row>
    <row r="109">
      <c r="B109" s="160" t="n">
        <v>43646</v>
      </c>
      <c r="C109" s="167" t="n">
        <v>73.3835525512695</v>
      </c>
      <c r="D109" s="34">
        <f>(C109-C108)/C108</f>
        <v/>
      </c>
    </row>
    <row r="110">
      <c r="B110" s="160" t="n">
        <v>43677</v>
      </c>
      <c r="C110" s="167" t="n">
        <v>75.9747009277344</v>
      </c>
      <c r="D110" s="34">
        <f>(C110-C109)/C109</f>
        <v/>
      </c>
    </row>
    <row r="111">
      <c r="B111" s="160" t="n">
        <v>43708</v>
      </c>
      <c r="C111" s="167" t="n">
        <v>81.075553894043</v>
      </c>
      <c r="D111" s="34">
        <f>(C111-C110)/C110</f>
        <v/>
      </c>
    </row>
    <row r="112">
      <c r="B112" s="160" t="n">
        <v>43738</v>
      </c>
      <c r="C112" s="167" t="n">
        <v>80.5214538574219</v>
      </c>
      <c r="D112" s="34">
        <f>(C112-C111)/C111</f>
        <v/>
      </c>
    </row>
    <row r="113">
      <c r="B113" s="160" t="n">
        <v>43769</v>
      </c>
      <c r="C113" s="167" t="n">
        <v>81.9718475341797</v>
      </c>
      <c r="D113" s="34">
        <f>(C113-C112)/C112</f>
        <v/>
      </c>
    </row>
    <row r="114">
      <c r="B114" s="160" t="n">
        <v>43799</v>
      </c>
      <c r="C114" s="167" t="n">
        <v>80.6518478393555</v>
      </c>
      <c r="D114" s="34">
        <f>(C114-C113)/C113</f>
        <v/>
      </c>
    </row>
    <row r="115">
      <c r="B115" s="160" t="n">
        <v>43830</v>
      </c>
      <c r="C115" s="167" t="n">
        <v>81.2953186035156</v>
      </c>
      <c r="D115" s="34">
        <f>(C115-C114)/C114</f>
        <v/>
      </c>
    </row>
    <row r="116">
      <c r="B116" s="160" t="n">
        <v>43861</v>
      </c>
      <c r="C116" s="167" t="n">
        <v>82.2807235717773</v>
      </c>
      <c r="D116" s="34">
        <f>(C116-C115)/C115</f>
        <v/>
      </c>
    </row>
    <row r="117">
      <c r="B117" s="160" t="n">
        <v>43890</v>
      </c>
      <c r="C117" s="167" t="n">
        <v>74.70957946777339</v>
      </c>
      <c r="D117" s="34">
        <f>(C117-C116)/C116</f>
        <v/>
      </c>
    </row>
    <row r="118">
      <c r="B118" s="160" t="n">
        <v>43921</v>
      </c>
      <c r="C118" s="167" t="n">
        <v>61.9158210754395</v>
      </c>
      <c r="D118" s="34">
        <f>(C118-C117)/C117</f>
        <v/>
      </c>
    </row>
    <row r="119">
      <c r="B119" s="160" t="n">
        <v>43951</v>
      </c>
      <c r="C119" s="167" t="n">
        <v>61.341007232666</v>
      </c>
      <c r="D119" s="34">
        <f>(C119-C118)/C118</f>
        <v/>
      </c>
    </row>
    <row r="120">
      <c r="B120" s="160" t="n">
        <v>43982</v>
      </c>
      <c r="C120" s="167" t="n">
        <v>68.1895217895508</v>
      </c>
      <c r="D120" s="34">
        <f>(C120-C119)/C119</f>
        <v/>
      </c>
    </row>
    <row r="121">
      <c r="B121" s="160" t="n">
        <v>44012</v>
      </c>
      <c r="C121" s="167" t="n">
        <v>67.33551025390631</v>
      </c>
      <c r="D121" s="34">
        <f>(C121-C120)/C120</f>
        <v/>
      </c>
    </row>
    <row r="122">
      <c r="B122" s="160" t="n">
        <v>44043</v>
      </c>
      <c r="C122" s="167" t="n">
        <v>60.6683883666992</v>
      </c>
      <c r="D122" s="34">
        <f>(C122-C121)/C121</f>
        <v/>
      </c>
    </row>
    <row r="123">
      <c r="B123" s="160" t="n">
        <v>44074</v>
      </c>
      <c r="C123" s="167" t="n">
        <v>65.4851913452148</v>
      </c>
      <c r="D123" s="34">
        <f>(C123-C122)/C122</f>
        <v/>
      </c>
    </row>
    <row r="124">
      <c r="B124" s="160" t="n">
        <v>44104</v>
      </c>
      <c r="C124" s="167" t="n">
        <v>59.6016845703125</v>
      </c>
      <c r="D124" s="34">
        <f>(C124-C123)/C123</f>
        <v/>
      </c>
    </row>
    <row r="125">
      <c r="B125" s="160" t="n">
        <v>44135</v>
      </c>
      <c r="C125" s="167" t="n">
        <v>56.5182609558106</v>
      </c>
      <c r="D125" s="34">
        <f>(C125-C124)/C124</f>
        <v/>
      </c>
    </row>
    <row r="126">
      <c r="B126" s="160" t="n">
        <v>44165</v>
      </c>
      <c r="C126" s="167" t="n">
        <v>71.2520217895508</v>
      </c>
      <c r="D126" s="34">
        <f>(C126-C125)/C125</f>
        <v/>
      </c>
    </row>
    <row r="127">
      <c r="B127" s="160" t="n">
        <v>44196</v>
      </c>
      <c r="C127" s="167" t="n">
        <v>67.8019104003906</v>
      </c>
      <c r="D127" s="34">
        <f>(C127-C126)/C126</f>
        <v/>
      </c>
    </row>
    <row r="128">
      <c r="B128" s="160" t="n">
        <v>44227</v>
      </c>
      <c r="C128" s="167" t="n">
        <v>63.8184814453125</v>
      </c>
      <c r="D128" s="34">
        <f>(C128-C127)/C127</f>
        <v/>
      </c>
    </row>
    <row r="129">
      <c r="B129" s="160" t="n">
        <v>44255</v>
      </c>
      <c r="C129" s="167" t="n">
        <v>71.702033996582</v>
      </c>
      <c r="D129" s="34">
        <f>(C129-C128)/C128</f>
        <v/>
      </c>
    </row>
    <row r="130">
      <c r="B130" s="160" t="n">
        <v>44286</v>
      </c>
      <c r="C130" s="167" t="n">
        <v>72.80206298828131</v>
      </c>
      <c r="D130" s="34">
        <f>(C130-C129)/C129</f>
        <v/>
      </c>
    </row>
    <row r="131">
      <c r="B131" s="160" t="n">
        <v>44316</v>
      </c>
      <c r="C131" s="167" t="n">
        <v>76.1688232421875</v>
      </c>
      <c r="D131" s="34">
        <f>(C131-C130)/C130</f>
        <v/>
      </c>
    </row>
    <row r="132">
      <c r="B132" s="160" t="n">
        <v>44347</v>
      </c>
      <c r="C132" s="167" t="n">
        <v>79.18994140625</v>
      </c>
      <c r="D132" s="34">
        <f>(C132-C131)/C131</f>
        <v/>
      </c>
    </row>
    <row r="133">
      <c r="B133" s="160" t="n">
        <v>44377</v>
      </c>
      <c r="C133" s="167" t="n">
        <v>76.69288635253911</v>
      </c>
      <c r="D133" s="34">
        <f>(C133-C132)/C132</f>
        <v/>
      </c>
    </row>
    <row r="134">
      <c r="B134" s="160" t="n">
        <v>44408</v>
      </c>
      <c r="C134" s="167" t="n">
        <v>76.0281524658203</v>
      </c>
      <c r="D134" s="34">
        <f>(C134-C133)/C133</f>
        <v/>
      </c>
    </row>
    <row r="135">
      <c r="B135" s="160" t="n">
        <v>44439</v>
      </c>
      <c r="C135" s="167" t="n">
        <v>77.45989990234381</v>
      </c>
      <c r="D135" s="34">
        <f>(C135-C134)/C134</f>
        <v/>
      </c>
    </row>
    <row r="136">
      <c r="B136" s="160" t="n">
        <v>44469</v>
      </c>
      <c r="C136" s="167" t="n">
        <v>76.82924652099609</v>
      </c>
      <c r="D136" s="34">
        <f>(C136-C135)/C135</f>
        <v/>
      </c>
    </row>
    <row r="137">
      <c r="B137" s="160" t="n">
        <v>44500</v>
      </c>
      <c r="C137" s="167" t="n">
        <v>78.7212219238281</v>
      </c>
      <c r="D137" s="34">
        <f>(C137-C136)/C136</f>
        <v/>
      </c>
    </row>
    <row r="138">
      <c r="B138" s="160" t="n">
        <v>44530</v>
      </c>
      <c r="C138" s="167" t="n">
        <v>71.298225402832</v>
      </c>
      <c r="D138" s="34">
        <f>(C138-C137)/C137</f>
        <v/>
      </c>
    </row>
    <row r="139">
      <c r="B139" s="160" t="n">
        <v>44561</v>
      </c>
      <c r="C139" s="167" t="n">
        <v>79.7290725708008</v>
      </c>
      <c r="D139" s="34">
        <f>(C139-C138)/C138</f>
        <v/>
      </c>
    </row>
    <row r="140">
      <c r="B140" s="160" t="n">
        <v>44592</v>
      </c>
      <c r="C140" s="167" t="n">
        <v>82.9470672607422</v>
      </c>
      <c r="D140" s="34">
        <f>(C140-C139)/C139</f>
        <v/>
      </c>
    </row>
    <row r="141">
      <c r="B141" s="160" t="n">
        <v>44620</v>
      </c>
      <c r="C141" s="167" t="n">
        <v>81.11065673828131</v>
      </c>
      <c r="D141" s="34">
        <f>(C141-C140)/C140</f>
        <v/>
      </c>
    </row>
    <row r="142">
      <c r="B142" s="160" t="n">
        <v>44651</v>
      </c>
      <c r="C142" s="167" t="n">
        <v>79.79771423339839</v>
      </c>
      <c r="D142" s="34">
        <f>(C142-C141)/C141</f>
        <v/>
      </c>
    </row>
    <row r="143">
      <c r="B143" s="160" t="n">
        <v>44681</v>
      </c>
      <c r="C143" s="167" t="n">
        <v>79.66900634765631</v>
      </c>
      <c r="D143" s="34">
        <f>(C143-C142)/C142</f>
        <v/>
      </c>
    </row>
    <row r="144">
      <c r="B144" s="160" t="n">
        <v>44712</v>
      </c>
      <c r="C144" s="167" t="n">
        <v>78.8424911499023</v>
      </c>
      <c r="D144" s="34">
        <f>(C144-C143)/C143</f>
        <v/>
      </c>
    </row>
    <row r="145">
      <c r="B145" s="160" t="n">
        <v>44742</v>
      </c>
      <c r="C145" s="167" t="n">
        <v>74.69288635253911</v>
      </c>
      <c r="D145" s="34">
        <f>(C145-C144)/C144</f>
        <v/>
      </c>
    </row>
    <row r="146">
      <c r="B146" s="160" t="n">
        <v>44773</v>
      </c>
      <c r="C146" s="167" t="n">
        <v>82.095344543457</v>
      </c>
      <c r="D146" s="34">
        <f>(C146-C145)/C145</f>
        <v/>
      </c>
    </row>
    <row r="147">
      <c r="B147" s="160" t="n">
        <v>44804</v>
      </c>
      <c r="C147" s="167" t="n">
        <v>81.10191345214839</v>
      </c>
      <c r="D147" s="34">
        <f>(C147-C146)/C146</f>
        <v/>
      </c>
    </row>
    <row r="148">
      <c r="B148" s="160" t="n">
        <v>44834</v>
      </c>
      <c r="C148" s="167" t="n">
        <v>73.11920166015631</v>
      </c>
      <c r="D148" s="34">
        <f>(C148-C147)/C147</f>
        <v/>
      </c>
    </row>
    <row r="149">
      <c r="B149" s="160" t="n">
        <v>44865</v>
      </c>
      <c r="C149" s="167" t="n">
        <v>81.91953277587891</v>
      </c>
      <c r="D149" s="34">
        <f>(C149-C148)/C148</f>
        <v/>
      </c>
    </row>
    <row r="150">
      <c r="B150" s="160" t="n">
        <v>44895</v>
      </c>
      <c r="C150" s="167" t="n">
        <v>84.9438171386719</v>
      </c>
      <c r="D150" s="34">
        <f>(C150-C149)/C149</f>
        <v/>
      </c>
    </row>
    <row r="151">
      <c r="B151" s="160" t="n">
        <v>44926</v>
      </c>
      <c r="C151" s="167" t="n">
        <v>82.8874435424805</v>
      </c>
      <c r="D151" s="34">
        <f>(C151-C150)/C150</f>
        <v/>
      </c>
    </row>
    <row r="152">
      <c r="B152" s="160" t="n">
        <v>44957</v>
      </c>
      <c r="C152" s="167" t="n">
        <v>92.08335113525391</v>
      </c>
      <c r="D152" s="34">
        <f>(C152-C151)/C151</f>
        <v/>
      </c>
    </row>
    <row r="153">
      <c r="B153" s="160" t="n">
        <v>44985</v>
      </c>
      <c r="C153" s="167" t="n">
        <v>95.81500244140631</v>
      </c>
      <c r="D153" s="34">
        <f>(C153-C152)/C152</f>
        <v/>
      </c>
    </row>
    <row r="154">
      <c r="B154" s="160" t="n">
        <v>45016</v>
      </c>
      <c r="C154" s="167" t="n">
        <v>93.9314041137695</v>
      </c>
      <c r="D154" s="34">
        <f>(C154-C153)/C153</f>
        <v/>
      </c>
    </row>
    <row r="155">
      <c r="B155" s="160" t="n">
        <v>45046</v>
      </c>
      <c r="C155" s="167" t="n">
        <v>99.68881988525391</v>
      </c>
      <c r="D155" s="34">
        <f>(C155-C154)/C154</f>
        <v/>
      </c>
    </row>
    <row r="156">
      <c r="B156" s="160" t="n">
        <v>45077</v>
      </c>
      <c r="C156" s="167" t="n">
        <v>97.08657073974609</v>
      </c>
      <c r="D156" s="34">
        <f>(C156-C155)/C155</f>
        <v/>
      </c>
    </row>
    <row r="157">
      <c r="B157" s="160" t="n">
        <v>45107</v>
      </c>
      <c r="C157" s="167" t="n">
        <v>97.141357421875</v>
      </c>
      <c r="D157" s="34">
        <f>(C157-C156)/C156</f>
        <v/>
      </c>
    </row>
    <row r="158">
      <c r="B158" s="160" t="n">
        <v>45138</v>
      </c>
      <c r="C158" s="167" t="n">
        <v>97.5066223144531</v>
      </c>
      <c r="D158" s="34">
        <f>(C158-C157)/C157</f>
        <v/>
      </c>
    </row>
    <row r="159">
      <c r="B159" s="160" t="n">
        <v>45169</v>
      </c>
      <c r="C159" s="167" t="n">
        <v>94.01837158203131</v>
      </c>
      <c r="D159" s="34">
        <f>(C159-C158)/C158</f>
        <v/>
      </c>
    </row>
    <row r="160">
      <c r="B160" s="160" t="n">
        <v>45199</v>
      </c>
      <c r="C160" s="167" t="n">
        <v>95.89947509765631</v>
      </c>
      <c r="D160" s="34">
        <f>(C160-C159)/C159</f>
        <v/>
      </c>
    </row>
    <row r="161">
      <c r="B161" s="160" t="n">
        <v>45230</v>
      </c>
      <c r="C161" s="167" t="n">
        <v>95.406364440918</v>
      </c>
      <c r="D161" s="34">
        <f>(C161-C160)/C160</f>
        <v/>
      </c>
    </row>
    <row r="162">
      <c r="B162" s="160" t="n">
        <v>45260</v>
      </c>
      <c r="C162" s="167" t="n">
        <v>102.547233581543</v>
      </c>
      <c r="D162" s="34">
        <f>(C162-C161)/C161</f>
        <v/>
      </c>
    </row>
    <row r="163">
      <c r="B163" s="160" t="n">
        <v>45291</v>
      </c>
      <c r="C163" s="167" t="n">
        <v>104.853630065918</v>
      </c>
      <c r="D163" s="34">
        <f>(C163-C162)/C162</f>
        <v/>
      </c>
    </row>
    <row r="164">
      <c r="B164" s="160" t="n">
        <v>45322</v>
      </c>
      <c r="C164" s="167" t="n">
        <v>107.970642089844</v>
      </c>
      <c r="D164" s="34">
        <f>(C164-C163)/C163</f>
        <v/>
      </c>
    </row>
    <row r="165">
      <c r="B165" s="160" t="n">
        <v>45351</v>
      </c>
      <c r="C165" s="167" t="n">
        <v>109.187942504883</v>
      </c>
      <c r="D165" s="34">
        <f>(C165-C164)/C164</f>
        <v/>
      </c>
    </row>
    <row r="166">
      <c r="B166" s="160" t="n">
        <v>45382</v>
      </c>
      <c r="C166" s="167" t="n">
        <v>109.519927978516</v>
      </c>
      <c r="D166" s="34">
        <f>(C166-C165)/C165</f>
        <v/>
      </c>
    </row>
    <row r="167">
      <c r="B167" s="160" t="n">
        <v>45412</v>
      </c>
      <c r="C167" s="167" t="n">
        <v>101.672050476074</v>
      </c>
      <c r="D167" s="34">
        <f>(C167-C166)/C166</f>
        <v/>
      </c>
    </row>
    <row r="168">
      <c r="B168" s="160" t="n">
        <v>45443</v>
      </c>
      <c r="C168" s="167" t="n">
        <v>108.852554321289</v>
      </c>
      <c r="D168" s="34">
        <f>(C168-C167)/C167</f>
        <v/>
      </c>
    </row>
    <row r="169">
      <c r="B169" s="160" t="n">
        <v>45473</v>
      </c>
      <c r="C169" s="167" t="n">
        <v>93.5684814453125</v>
      </c>
      <c r="D169" s="34">
        <f>(C169-C168)/C168</f>
        <v/>
      </c>
    </row>
    <row r="170">
      <c r="B170" s="160" t="n">
        <v>45504</v>
      </c>
      <c r="C170" s="167" t="n">
        <v>100.435386657715</v>
      </c>
      <c r="D170" s="34">
        <f>(C170-C169)/C169</f>
        <v/>
      </c>
    </row>
    <row r="171">
      <c r="B171" s="160" t="n">
        <v>45535</v>
      </c>
      <c r="C171" s="167" t="n">
        <v>102.860664367676</v>
      </c>
      <c r="D171" s="34">
        <f>(C171-C170)/C170</f>
        <v/>
      </c>
    </row>
    <row r="172">
      <c r="B172" s="160" t="n">
        <v>45565</v>
      </c>
      <c r="C172" s="167" t="n">
        <v>99.8171691894531</v>
      </c>
      <c r="D172" s="34">
        <f>(C172-C171)/C171</f>
        <v/>
      </c>
    </row>
    <row r="173">
      <c r="B173" s="160" t="n">
        <v>45596</v>
      </c>
      <c r="C173" s="167" t="n">
        <v>97.6772079467773</v>
      </c>
      <c r="D173" s="34">
        <f>(C173-C172)/C172</f>
        <v/>
      </c>
    </row>
    <row r="174">
      <c r="B174" s="160" t="n">
        <v>45626</v>
      </c>
      <c r="C174" s="167" t="n">
        <v>95.9147033691406</v>
      </c>
      <c r="D174" s="34">
        <f>(C174-C173)/C173</f>
        <v/>
      </c>
    </row>
    <row r="175">
      <c r="B175" s="160" t="n">
        <v>45657</v>
      </c>
      <c r="C175" s="167" t="n">
        <v>95.7994384765625</v>
      </c>
      <c r="D175" s="34">
        <f>(C175-C174)/C174</f>
        <v/>
      </c>
    </row>
    <row r="176">
      <c r="B176" s="160" t="n">
        <v>45688</v>
      </c>
      <c r="C176" s="167" t="n">
        <v>100.371383666992</v>
      </c>
      <c r="D176" s="34">
        <f>(C176-C175)/C175</f>
        <v/>
      </c>
    </row>
    <row r="177">
      <c r="B177" s="160" t="n">
        <v>45716</v>
      </c>
      <c r="C177" s="167" t="n">
        <v>106.710624694824</v>
      </c>
      <c r="D177" s="34">
        <f>(C177-C176)/C176</f>
        <v/>
      </c>
    </row>
    <row r="178">
      <c r="B178" s="160" t="n">
        <v>45747</v>
      </c>
      <c r="C178" s="167" t="n">
        <v>111.705184936523</v>
      </c>
      <c r="D178" s="34">
        <f>(C178-C177)/C177</f>
        <v/>
      </c>
    </row>
    <row r="179">
      <c r="B179" s="160" t="n">
        <v>45777</v>
      </c>
      <c r="C179" s="167" t="n">
        <v>117.756271362305</v>
      </c>
      <c r="D179" s="34">
        <f>(C179-C178)/C178</f>
        <v/>
      </c>
    </row>
    <row r="180">
      <c r="B180" s="160" t="n">
        <v>45808</v>
      </c>
      <c r="C180" s="167" t="n">
        <v>124.733459472656</v>
      </c>
      <c r="D180" s="34">
        <f>(C180-C179)/C179</f>
        <v/>
      </c>
    </row>
    <row r="181">
      <c r="B181" s="160" t="n">
        <v>45838</v>
      </c>
      <c r="C181" s="167" t="n">
        <v>123.990112304688</v>
      </c>
      <c r="D181" s="34">
        <f>(C181-C180)/C180</f>
        <v/>
      </c>
    </row>
    <row r="182">
      <c r="B182" s="160" t="n">
        <v>45869</v>
      </c>
      <c r="C182" s="167" t="n">
        <v>120.52116394043</v>
      </c>
      <c r="D182" s="34">
        <f>(C182-C181)/C181</f>
        <v/>
      </c>
    </row>
    <row r="183">
      <c r="B183" s="160" t="n">
        <v>45900</v>
      </c>
      <c r="C183" s="167" t="n">
        <v>114.871742248535</v>
      </c>
      <c r="D183" s="34">
        <f>(C183-C182)/C182</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tdavid</dc:creator>
  <dcterms:created xmlns:dcterms="http://purl.org/dc/terms/" xmlns:xsi="http://www.w3.org/2001/XMLSchema-instance" xsi:type="dcterms:W3CDTF">2021-08-25T14:37:22Z</dcterms:created>
  <dcterms:modified xmlns:dcterms="http://purl.org/dc/terms/" xmlns:xsi="http://www.w3.org/2001/XMLSchema-instance" xsi:type="dcterms:W3CDTF">2026-06-06T15:40:35Z</dcterms:modified>
  <cp:lastModifiedBy>Paul Desferet</cp:lastModifiedBy>
</cp:coreProperties>
</file>